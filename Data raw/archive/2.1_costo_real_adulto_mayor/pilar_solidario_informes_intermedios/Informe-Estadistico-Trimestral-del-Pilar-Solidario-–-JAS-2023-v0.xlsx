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W:\Repositorio\UAPP\Informes PGU y Pilar Solidario\2023\9. Septiembre 2023\VERSIONES\"/>
    </mc:Choice>
  </mc:AlternateContent>
  <xr:revisionPtr revIDLastSave="0" documentId="13_ncr:1_{136BB8A3-7E88-4559-8AF3-3800822CAD01}" xr6:coauthVersionLast="47" xr6:coauthVersionMax="47" xr10:uidLastSave="{00000000-0000-0000-0000-000000000000}"/>
  <bookViews>
    <workbookView xWindow="-28920" yWindow="-8085" windowWidth="29040" windowHeight="15840" xr2:uid="{26D8F194-EB32-4EC6-A94C-427CE860A783}"/>
    <workbookView xWindow="-120" yWindow="-120" windowWidth="20730" windowHeight="11160" firstSheet="9" activeTab="16" xr2:uid="{7F0E282C-19A2-4746-94DF-87825EF1240B}"/>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2" r:id="rId7"/>
    <sheet name="1.3" sheetId="3" r:id="rId8"/>
    <sheet name="DINAMICA APS" sheetId="23" state="hidden" r:id="rId9"/>
    <sheet name="1.4" sheetId="4" r:id="rId10"/>
    <sheet name="Hoja2" sheetId="16" state="hidden" r:id="rId11"/>
    <sheet name="II. Estado de Solicitudes" sheetId="30" r:id="rId12"/>
    <sheet name="2.1" sheetId="7" r:id="rId13"/>
    <sheet name="Solicitudes_compl" sheetId="8" state="hidden" r:id="rId14"/>
    <sheet name="2.2" sheetId="27" r:id="rId15"/>
    <sheet name="2.3" sheetId="9" r:id="rId16"/>
    <sheet name="2.4" sheetId="28" r:id="rId17"/>
    <sheet name="2.5" sheetId="10" r:id="rId18"/>
    <sheet name="2.6" sheetId="12" r:id="rId19"/>
    <sheet name="III. Bono por hijo" sheetId="31" r:id="rId20"/>
    <sheet name="3.1" sheetId="34" r:id="rId21"/>
    <sheet name="IV. Subsidio STJ" sheetId="35" r:id="rId22"/>
    <sheet name="4.1" sheetId="33" r:id="rId23"/>
    <sheet name="4.2" sheetId="32" r:id="rId24"/>
    <sheet name="4.3" sheetId="36" r:id="rId25"/>
    <sheet name="Regiones" sheetId="14" state="hidden" r:id="rId26"/>
    <sheet name="Comunas" sheetId="15" state="hidden" r:id="rId27"/>
    <sheet name="Hoja2 (2)" sheetId="18" state="hidden" r:id="rId28"/>
    <sheet name="Por sexo" sheetId="11" state="hidden" r:id="rId29"/>
    <sheet name="Focalización y monto del benef" sheetId="13" state="hidden" r:id="rId30"/>
  </sheets>
  <definedNames>
    <definedName name="_xlnm._FilterDatabase" localSheetId="12" hidden="1">'2.1'!$A$9:$AD$24</definedName>
  </definedNames>
  <calcPr calcId="191029"/>
  <pivotCaches>
    <pivotCache cacheId="0" r:id="rId31"/>
    <pivotCache cacheId="1" r:id="rId32"/>
    <pivotCache cacheId="2" r:id="rId33"/>
    <pivotCache cacheId="3" r:id="rId3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0" i="12" l="1"/>
  <c r="D230" i="12"/>
  <c r="E230" i="12"/>
  <c r="F230" i="12"/>
  <c r="G230" i="12"/>
  <c r="H230" i="12"/>
  <c r="I230" i="12"/>
  <c r="J230" i="12"/>
  <c r="K230" i="12"/>
  <c r="L230" i="12"/>
  <c r="M230" i="12"/>
  <c r="N230" i="12"/>
  <c r="O230" i="12"/>
  <c r="P230" i="12"/>
  <c r="Q230" i="12"/>
  <c r="R230" i="12"/>
  <c r="S230" i="12"/>
  <c r="T230" i="12"/>
  <c r="U230" i="12"/>
  <c r="V230" i="12"/>
  <c r="W230" i="12"/>
  <c r="C231" i="12"/>
  <c r="D231" i="12"/>
  <c r="E231" i="12"/>
  <c r="F231" i="12"/>
  <c r="G231" i="12"/>
  <c r="H231" i="12"/>
  <c r="I231" i="12"/>
  <c r="J231" i="12"/>
  <c r="K231" i="12"/>
  <c r="L231" i="12"/>
  <c r="M231" i="12"/>
  <c r="N231" i="12"/>
  <c r="O231" i="12"/>
  <c r="P231" i="12"/>
  <c r="Q231" i="12"/>
  <c r="R231" i="12"/>
  <c r="S231" i="12"/>
  <c r="T231" i="12"/>
  <c r="U231" i="12"/>
  <c r="V231" i="12"/>
  <c r="W231" i="12"/>
  <c r="C232" i="12"/>
  <c r="D232" i="12"/>
  <c r="E232" i="12"/>
  <c r="F232" i="12"/>
  <c r="G232" i="12"/>
  <c r="H232" i="12"/>
  <c r="I232" i="12"/>
  <c r="J232" i="12"/>
  <c r="K232" i="12"/>
  <c r="L232" i="12"/>
  <c r="M232" i="12"/>
  <c r="N232" i="12"/>
  <c r="O232" i="12"/>
  <c r="P232" i="12"/>
  <c r="Q232" i="12"/>
  <c r="R232" i="12"/>
  <c r="S232" i="12"/>
  <c r="T232" i="12"/>
  <c r="U232" i="12"/>
  <c r="V232" i="12"/>
  <c r="W232" i="12"/>
  <c r="O11" i="7" l="1"/>
  <c r="O12" i="7"/>
  <c r="O13" i="7"/>
  <c r="O14" i="7"/>
  <c r="O15" i="7"/>
  <c r="O16" i="7"/>
  <c r="O17" i="7"/>
  <c r="O18" i="7"/>
  <c r="O19" i="7"/>
  <c r="O20" i="7"/>
  <c r="O21" i="7"/>
  <c r="O22" i="7"/>
  <c r="O23" i="7"/>
  <c r="O24" i="7"/>
  <c r="O10" i="7"/>
  <c r="C214" i="12"/>
  <c r="D214" i="12"/>
  <c r="E214" i="12"/>
  <c r="F214" i="12"/>
  <c r="G214" i="12"/>
  <c r="H214" i="12"/>
  <c r="I214" i="12"/>
  <c r="J214" i="12"/>
  <c r="K214" i="12"/>
  <c r="L214" i="12"/>
  <c r="M214" i="12"/>
  <c r="N214" i="12"/>
  <c r="O214" i="12"/>
  <c r="P214" i="12"/>
  <c r="Q214" i="12"/>
  <c r="R214" i="12"/>
  <c r="S214" i="12"/>
  <c r="T214" i="12"/>
  <c r="U214" i="12"/>
  <c r="V214" i="12"/>
  <c r="W214" i="12"/>
  <c r="C215" i="12"/>
  <c r="D215" i="12"/>
  <c r="E215" i="12"/>
  <c r="F215" i="12"/>
  <c r="G215" i="12"/>
  <c r="H215" i="12"/>
  <c r="I215" i="12"/>
  <c r="J215" i="12"/>
  <c r="K215" i="12"/>
  <c r="L215" i="12"/>
  <c r="M215" i="12"/>
  <c r="N215" i="12"/>
  <c r="O215" i="12"/>
  <c r="P215" i="12"/>
  <c r="Q215" i="12"/>
  <c r="R215" i="12"/>
  <c r="S215" i="12"/>
  <c r="T215" i="12"/>
  <c r="U215" i="12"/>
  <c r="V215" i="12"/>
  <c r="W215" i="12"/>
  <c r="C216" i="12"/>
  <c r="D216" i="12"/>
  <c r="E216" i="12"/>
  <c r="F216" i="12"/>
  <c r="G216" i="12"/>
  <c r="H216" i="12"/>
  <c r="I216" i="12"/>
  <c r="J216" i="12"/>
  <c r="K216" i="12"/>
  <c r="L216" i="12"/>
  <c r="M216" i="12"/>
  <c r="N216" i="12"/>
  <c r="O216" i="12"/>
  <c r="P216" i="12"/>
  <c r="Q216" i="12"/>
  <c r="R216" i="12"/>
  <c r="S216" i="12"/>
  <c r="T216" i="12"/>
  <c r="U216" i="12"/>
  <c r="V216" i="12"/>
  <c r="W216" i="12"/>
  <c r="C217" i="12"/>
  <c r="D217" i="12"/>
  <c r="E217" i="12"/>
  <c r="F217" i="12"/>
  <c r="G217" i="12"/>
  <c r="H217" i="12"/>
  <c r="I217" i="12"/>
  <c r="J217" i="12"/>
  <c r="K217" i="12"/>
  <c r="L217" i="12"/>
  <c r="M217" i="12"/>
  <c r="N217" i="12"/>
  <c r="O217" i="12"/>
  <c r="P217" i="12"/>
  <c r="Q217" i="12"/>
  <c r="R217" i="12"/>
  <c r="S217" i="12"/>
  <c r="T217" i="12"/>
  <c r="U217" i="12"/>
  <c r="V217" i="12"/>
  <c r="W217" i="12"/>
  <c r="C218" i="12"/>
  <c r="D218" i="12"/>
  <c r="E218" i="12"/>
  <c r="F218" i="12"/>
  <c r="G218" i="12"/>
  <c r="H218" i="12"/>
  <c r="I218" i="12"/>
  <c r="J218" i="12"/>
  <c r="K218" i="12"/>
  <c r="L218" i="12"/>
  <c r="M218" i="12"/>
  <c r="N218" i="12"/>
  <c r="O218" i="12"/>
  <c r="P218" i="12"/>
  <c r="Q218" i="12"/>
  <c r="R218" i="12"/>
  <c r="S218" i="12"/>
  <c r="T218" i="12"/>
  <c r="U218" i="12"/>
  <c r="V218" i="12"/>
  <c r="W218" i="12"/>
  <c r="C219" i="12"/>
  <c r="D219" i="12"/>
  <c r="E219" i="12"/>
  <c r="F219" i="12"/>
  <c r="G219" i="12"/>
  <c r="H219" i="12"/>
  <c r="I219" i="12"/>
  <c r="J219" i="12"/>
  <c r="K219" i="12"/>
  <c r="L219" i="12"/>
  <c r="M219" i="12"/>
  <c r="N219" i="12"/>
  <c r="O219" i="12"/>
  <c r="P219" i="12"/>
  <c r="Q219" i="12"/>
  <c r="R219" i="12"/>
  <c r="S219" i="12"/>
  <c r="T219" i="12"/>
  <c r="U219" i="12"/>
  <c r="V219" i="12"/>
  <c r="W219" i="12"/>
  <c r="C220" i="12"/>
  <c r="D220" i="12"/>
  <c r="E220" i="12"/>
  <c r="F220" i="12"/>
  <c r="G220" i="12"/>
  <c r="H220" i="12"/>
  <c r="I220" i="12"/>
  <c r="J220" i="12"/>
  <c r="K220" i="12"/>
  <c r="L220" i="12"/>
  <c r="M220" i="12"/>
  <c r="N220" i="12"/>
  <c r="O220" i="12"/>
  <c r="P220" i="12"/>
  <c r="Q220" i="12"/>
  <c r="R220" i="12"/>
  <c r="S220" i="12"/>
  <c r="T220" i="12"/>
  <c r="U220" i="12"/>
  <c r="V220" i="12"/>
  <c r="W220" i="12"/>
  <c r="C221" i="12"/>
  <c r="D221" i="12"/>
  <c r="E221" i="12"/>
  <c r="F221" i="12"/>
  <c r="G221" i="12"/>
  <c r="H221" i="12"/>
  <c r="I221" i="12"/>
  <c r="J221" i="12"/>
  <c r="K221" i="12"/>
  <c r="L221" i="12"/>
  <c r="M221" i="12"/>
  <c r="N221" i="12"/>
  <c r="O221" i="12"/>
  <c r="P221" i="12"/>
  <c r="Q221" i="12"/>
  <c r="R221" i="12"/>
  <c r="S221" i="12"/>
  <c r="T221" i="12"/>
  <c r="U221" i="12"/>
  <c r="V221" i="12"/>
  <c r="W221" i="12"/>
  <c r="C222" i="12"/>
  <c r="D222" i="12"/>
  <c r="E222" i="12"/>
  <c r="F222" i="12"/>
  <c r="G222" i="12"/>
  <c r="H222" i="12"/>
  <c r="I222" i="12"/>
  <c r="J222" i="12"/>
  <c r="K222" i="12"/>
  <c r="L222" i="12"/>
  <c r="M222" i="12"/>
  <c r="N222" i="12"/>
  <c r="O222" i="12"/>
  <c r="P222" i="12"/>
  <c r="Q222" i="12"/>
  <c r="R222" i="12"/>
  <c r="S222" i="12"/>
  <c r="T222" i="12"/>
  <c r="U222" i="12"/>
  <c r="V222" i="12"/>
  <c r="W222" i="12"/>
  <c r="C223" i="12"/>
  <c r="D223" i="12"/>
  <c r="E223" i="12"/>
  <c r="F223" i="12"/>
  <c r="G223" i="12"/>
  <c r="H223" i="12"/>
  <c r="I223" i="12"/>
  <c r="J223" i="12"/>
  <c r="K223" i="12"/>
  <c r="L223" i="12"/>
  <c r="M223" i="12"/>
  <c r="N223" i="12"/>
  <c r="O223" i="12"/>
  <c r="P223" i="12"/>
  <c r="Q223" i="12"/>
  <c r="R223" i="12"/>
  <c r="S223" i="12"/>
  <c r="T223" i="12"/>
  <c r="U223" i="12"/>
  <c r="V223" i="12"/>
  <c r="W223" i="12"/>
  <c r="C224" i="12"/>
  <c r="D224" i="12"/>
  <c r="E224" i="12"/>
  <c r="F224" i="12"/>
  <c r="G224" i="12"/>
  <c r="H224" i="12"/>
  <c r="I224" i="12"/>
  <c r="J224" i="12"/>
  <c r="K224" i="12"/>
  <c r="L224" i="12"/>
  <c r="M224" i="12"/>
  <c r="N224" i="12"/>
  <c r="O224" i="12"/>
  <c r="P224" i="12"/>
  <c r="Q224" i="12"/>
  <c r="R224" i="12"/>
  <c r="S224" i="12"/>
  <c r="T224" i="12"/>
  <c r="U224" i="12"/>
  <c r="V224" i="12"/>
  <c r="W224" i="12"/>
  <c r="C225" i="12"/>
  <c r="D225" i="12"/>
  <c r="E225" i="12"/>
  <c r="F225" i="12"/>
  <c r="G225" i="12"/>
  <c r="H225" i="12"/>
  <c r="I225" i="12"/>
  <c r="J225" i="12"/>
  <c r="K225" i="12"/>
  <c r="L225" i="12"/>
  <c r="M225" i="12"/>
  <c r="N225" i="12"/>
  <c r="O225" i="12"/>
  <c r="P225" i="12"/>
  <c r="Q225" i="12"/>
  <c r="R225" i="12"/>
  <c r="S225" i="12"/>
  <c r="T225" i="12"/>
  <c r="U225" i="12"/>
  <c r="V225" i="12"/>
  <c r="W225" i="12"/>
  <c r="C226" i="12"/>
  <c r="D226" i="12"/>
  <c r="E226" i="12"/>
  <c r="F226" i="12"/>
  <c r="G226" i="12"/>
  <c r="H226" i="12"/>
  <c r="I226" i="12"/>
  <c r="J226" i="12"/>
  <c r="K226" i="12"/>
  <c r="L226" i="12"/>
  <c r="M226" i="12"/>
  <c r="N226" i="12"/>
  <c r="O226" i="12"/>
  <c r="P226" i="12"/>
  <c r="Q226" i="12"/>
  <c r="R226" i="12"/>
  <c r="S226" i="12"/>
  <c r="T226" i="12"/>
  <c r="U226" i="12"/>
  <c r="V226" i="12"/>
  <c r="W226" i="12"/>
  <c r="C227" i="12"/>
  <c r="D227" i="12"/>
  <c r="E227" i="12"/>
  <c r="F227" i="12"/>
  <c r="G227" i="12"/>
  <c r="H227" i="12"/>
  <c r="I227" i="12"/>
  <c r="J227" i="12"/>
  <c r="K227" i="12"/>
  <c r="L227" i="12"/>
  <c r="M227" i="12"/>
  <c r="N227" i="12"/>
  <c r="O227" i="12"/>
  <c r="P227" i="12"/>
  <c r="Q227" i="12"/>
  <c r="R227" i="12"/>
  <c r="S227" i="12"/>
  <c r="T227" i="12"/>
  <c r="U227" i="12"/>
  <c r="V227" i="12"/>
  <c r="W227" i="12"/>
  <c r="C228" i="12"/>
  <c r="D228" i="12"/>
  <c r="E228" i="12"/>
  <c r="F228" i="12"/>
  <c r="G228" i="12"/>
  <c r="H228" i="12"/>
  <c r="I228" i="12"/>
  <c r="J228" i="12"/>
  <c r="K228" i="12"/>
  <c r="L228" i="12"/>
  <c r="M228" i="12"/>
  <c r="N228" i="12"/>
  <c r="O228" i="12"/>
  <c r="P228" i="12"/>
  <c r="Q228" i="12"/>
  <c r="R228" i="12"/>
  <c r="S228" i="12"/>
  <c r="T228" i="12"/>
  <c r="U228" i="12"/>
  <c r="V228" i="12"/>
  <c r="W228" i="12"/>
  <c r="C229" i="12"/>
  <c r="D229" i="12"/>
  <c r="E229" i="12"/>
  <c r="F229" i="12"/>
  <c r="G229" i="12"/>
  <c r="H229" i="12"/>
  <c r="I229" i="12"/>
  <c r="J229" i="12"/>
  <c r="K229" i="12"/>
  <c r="L229" i="12"/>
  <c r="M229" i="12"/>
  <c r="N229" i="12"/>
  <c r="O229" i="12"/>
  <c r="P229" i="12"/>
  <c r="Q229" i="12"/>
  <c r="R229" i="12"/>
  <c r="S229" i="12"/>
  <c r="T229" i="12"/>
  <c r="U229" i="12"/>
  <c r="V229" i="12"/>
  <c r="W229" i="12"/>
  <c r="C233" i="12"/>
  <c r="D233" i="12"/>
  <c r="E233" i="12"/>
  <c r="F233" i="12"/>
  <c r="G233" i="12"/>
  <c r="H233" i="12"/>
  <c r="I233" i="12"/>
  <c r="J233" i="12"/>
  <c r="K233" i="12"/>
  <c r="L233" i="12"/>
  <c r="M233" i="12"/>
  <c r="N233" i="12"/>
  <c r="O233" i="12"/>
  <c r="P233" i="12"/>
  <c r="Q233" i="12"/>
  <c r="R233" i="12"/>
  <c r="S233" i="12"/>
  <c r="T233" i="12"/>
  <c r="U233" i="12"/>
  <c r="V233" i="12"/>
  <c r="W233" i="12"/>
  <c r="C234" i="12"/>
  <c r="D234" i="12"/>
  <c r="E234" i="12"/>
  <c r="F234" i="12"/>
  <c r="G234" i="12"/>
  <c r="H234" i="12"/>
  <c r="I234" i="12"/>
  <c r="J234" i="12"/>
  <c r="K234" i="12"/>
  <c r="L234" i="12"/>
  <c r="M234" i="12"/>
  <c r="N234" i="12"/>
  <c r="O234" i="12"/>
  <c r="P234" i="12"/>
  <c r="Q234" i="12"/>
  <c r="R234" i="12"/>
  <c r="S234" i="12"/>
  <c r="T234" i="12"/>
  <c r="U234" i="12"/>
  <c r="V234" i="12"/>
  <c r="W234" i="12"/>
  <c r="C180" i="12"/>
  <c r="D180" i="12"/>
  <c r="E180" i="12"/>
  <c r="F180" i="12"/>
  <c r="G180" i="12"/>
  <c r="H180" i="12"/>
  <c r="I180" i="12"/>
  <c r="J180" i="12"/>
  <c r="K180" i="12"/>
  <c r="L180" i="12"/>
  <c r="M180" i="12"/>
  <c r="N180" i="12"/>
  <c r="O180" i="12"/>
  <c r="P180" i="12"/>
  <c r="Q180" i="12"/>
  <c r="R180" i="12"/>
  <c r="S180" i="12"/>
  <c r="T180" i="12"/>
  <c r="U180" i="12"/>
  <c r="V180" i="12"/>
  <c r="W180" i="12"/>
  <c r="C181" i="12"/>
  <c r="D181" i="12"/>
  <c r="E181" i="12"/>
  <c r="F181" i="12"/>
  <c r="G181" i="12"/>
  <c r="H181" i="12"/>
  <c r="I181" i="12"/>
  <c r="J181" i="12"/>
  <c r="K181" i="12"/>
  <c r="L181" i="12"/>
  <c r="M181" i="12"/>
  <c r="N181" i="12"/>
  <c r="O181" i="12"/>
  <c r="P181" i="12"/>
  <c r="Q181" i="12"/>
  <c r="R181" i="12"/>
  <c r="S181" i="12"/>
  <c r="T181" i="12"/>
  <c r="U181" i="12"/>
  <c r="V181" i="12"/>
  <c r="W181" i="12"/>
  <c r="C182" i="12"/>
  <c r="D182" i="12"/>
  <c r="E182" i="12"/>
  <c r="F182" i="12"/>
  <c r="G182" i="12"/>
  <c r="H182" i="12"/>
  <c r="I182" i="12"/>
  <c r="J182" i="12"/>
  <c r="K182" i="12"/>
  <c r="L182" i="12"/>
  <c r="M182" i="12"/>
  <c r="N182" i="12"/>
  <c r="O182" i="12"/>
  <c r="P182" i="12"/>
  <c r="Q182" i="12"/>
  <c r="R182" i="12"/>
  <c r="S182" i="12"/>
  <c r="T182" i="12"/>
  <c r="U182" i="12"/>
  <c r="V182" i="12"/>
  <c r="W182" i="12"/>
  <c r="C183" i="12"/>
  <c r="D183" i="12"/>
  <c r="E183" i="12"/>
  <c r="F183" i="12"/>
  <c r="G183" i="12"/>
  <c r="H183" i="12"/>
  <c r="I183" i="12"/>
  <c r="J183" i="12"/>
  <c r="K183" i="12"/>
  <c r="L183" i="12"/>
  <c r="M183" i="12"/>
  <c r="N183" i="12"/>
  <c r="O183" i="12"/>
  <c r="P183" i="12"/>
  <c r="Q183" i="12"/>
  <c r="R183" i="12"/>
  <c r="S183" i="12"/>
  <c r="T183" i="12"/>
  <c r="U183" i="12"/>
  <c r="V183" i="12"/>
  <c r="W183" i="12"/>
  <c r="C184" i="12"/>
  <c r="D184" i="12"/>
  <c r="E184" i="12"/>
  <c r="F184" i="12"/>
  <c r="G184" i="12"/>
  <c r="H184" i="12"/>
  <c r="I184" i="12"/>
  <c r="J184" i="12"/>
  <c r="K184" i="12"/>
  <c r="L184" i="12"/>
  <c r="M184" i="12"/>
  <c r="N184" i="12"/>
  <c r="O184" i="12"/>
  <c r="P184" i="12"/>
  <c r="Q184" i="12"/>
  <c r="R184" i="12"/>
  <c r="S184" i="12"/>
  <c r="T184" i="12"/>
  <c r="U184" i="12"/>
  <c r="V184" i="12"/>
  <c r="W184" i="12"/>
  <c r="C185" i="12"/>
  <c r="D185" i="12"/>
  <c r="E185" i="12"/>
  <c r="F185" i="12"/>
  <c r="G185" i="12"/>
  <c r="H185" i="12"/>
  <c r="I185" i="12"/>
  <c r="J185" i="12"/>
  <c r="K185" i="12"/>
  <c r="L185" i="12"/>
  <c r="M185" i="12"/>
  <c r="N185" i="12"/>
  <c r="O185" i="12"/>
  <c r="P185" i="12"/>
  <c r="Q185" i="12"/>
  <c r="R185" i="12"/>
  <c r="S185" i="12"/>
  <c r="T185" i="12"/>
  <c r="U185" i="12"/>
  <c r="V185" i="12"/>
  <c r="W185" i="12"/>
  <c r="C186" i="12"/>
  <c r="D186" i="12"/>
  <c r="E186" i="12"/>
  <c r="F186" i="12"/>
  <c r="G186" i="12"/>
  <c r="H186" i="12"/>
  <c r="I186" i="12"/>
  <c r="J186" i="12"/>
  <c r="K186" i="12"/>
  <c r="L186" i="12"/>
  <c r="M186" i="12"/>
  <c r="N186" i="12"/>
  <c r="O186" i="12"/>
  <c r="P186" i="12"/>
  <c r="Q186" i="12"/>
  <c r="R186" i="12"/>
  <c r="S186" i="12"/>
  <c r="T186" i="12"/>
  <c r="U186" i="12"/>
  <c r="V186" i="12"/>
  <c r="W186" i="12"/>
  <c r="C187" i="12"/>
  <c r="D187" i="12"/>
  <c r="E187" i="12"/>
  <c r="F187" i="12"/>
  <c r="G187" i="12"/>
  <c r="H187" i="12"/>
  <c r="I187" i="12"/>
  <c r="J187" i="12"/>
  <c r="K187" i="12"/>
  <c r="L187" i="12"/>
  <c r="M187" i="12"/>
  <c r="N187" i="12"/>
  <c r="O187" i="12"/>
  <c r="P187" i="12"/>
  <c r="Q187" i="12"/>
  <c r="R187" i="12"/>
  <c r="S187" i="12"/>
  <c r="T187" i="12"/>
  <c r="U187" i="12"/>
  <c r="V187" i="12"/>
  <c r="W187" i="12"/>
  <c r="C188" i="12"/>
  <c r="D188" i="12"/>
  <c r="E188" i="12"/>
  <c r="F188" i="12"/>
  <c r="G188" i="12"/>
  <c r="H188" i="12"/>
  <c r="I188" i="12"/>
  <c r="J188" i="12"/>
  <c r="K188" i="12"/>
  <c r="L188" i="12"/>
  <c r="M188" i="12"/>
  <c r="N188" i="12"/>
  <c r="O188" i="12"/>
  <c r="P188" i="12"/>
  <c r="Q188" i="12"/>
  <c r="R188" i="12"/>
  <c r="S188" i="12"/>
  <c r="T188" i="12"/>
  <c r="U188" i="12"/>
  <c r="V188" i="12"/>
  <c r="W188" i="12"/>
  <c r="C189" i="12"/>
  <c r="D189" i="12"/>
  <c r="E189" i="12"/>
  <c r="F189" i="12"/>
  <c r="G189" i="12"/>
  <c r="H189" i="12"/>
  <c r="I189" i="12"/>
  <c r="J189" i="12"/>
  <c r="K189" i="12"/>
  <c r="L189" i="12"/>
  <c r="M189" i="12"/>
  <c r="N189" i="12"/>
  <c r="O189" i="12"/>
  <c r="P189" i="12"/>
  <c r="Q189" i="12"/>
  <c r="R189" i="12"/>
  <c r="S189" i="12"/>
  <c r="T189" i="12"/>
  <c r="U189" i="12"/>
  <c r="V189" i="12"/>
  <c r="W189" i="12"/>
  <c r="C190" i="12"/>
  <c r="D190" i="12"/>
  <c r="E190" i="12"/>
  <c r="F190" i="12"/>
  <c r="G190" i="12"/>
  <c r="H190" i="12"/>
  <c r="I190" i="12"/>
  <c r="J190" i="12"/>
  <c r="K190" i="12"/>
  <c r="L190" i="12"/>
  <c r="M190" i="12"/>
  <c r="N190" i="12"/>
  <c r="O190" i="12"/>
  <c r="P190" i="12"/>
  <c r="Q190" i="12"/>
  <c r="R190" i="12"/>
  <c r="S190" i="12"/>
  <c r="T190" i="12"/>
  <c r="U190" i="12"/>
  <c r="V190" i="12"/>
  <c r="W190" i="12"/>
  <c r="C191" i="12"/>
  <c r="D191" i="12"/>
  <c r="E191" i="12"/>
  <c r="F191" i="12"/>
  <c r="G191" i="12"/>
  <c r="H191" i="12"/>
  <c r="I191" i="12"/>
  <c r="J191" i="12"/>
  <c r="K191" i="12"/>
  <c r="L191" i="12"/>
  <c r="M191" i="12"/>
  <c r="N191" i="12"/>
  <c r="O191" i="12"/>
  <c r="P191" i="12"/>
  <c r="Q191" i="12"/>
  <c r="R191" i="12"/>
  <c r="S191" i="12"/>
  <c r="T191" i="12"/>
  <c r="U191" i="12"/>
  <c r="V191" i="12"/>
  <c r="W191" i="12"/>
  <c r="C192" i="12"/>
  <c r="D192" i="12"/>
  <c r="E192" i="12"/>
  <c r="F192" i="12"/>
  <c r="G192" i="12"/>
  <c r="H192" i="12"/>
  <c r="I192" i="12"/>
  <c r="J192" i="12"/>
  <c r="K192" i="12"/>
  <c r="L192" i="12"/>
  <c r="M192" i="12"/>
  <c r="N192" i="12"/>
  <c r="O192" i="12"/>
  <c r="P192" i="12"/>
  <c r="Q192" i="12"/>
  <c r="R192" i="12"/>
  <c r="S192" i="12"/>
  <c r="T192" i="12"/>
  <c r="U192" i="12"/>
  <c r="V192" i="12"/>
  <c r="W192" i="12"/>
  <c r="C193" i="12"/>
  <c r="D193" i="12"/>
  <c r="E193" i="12"/>
  <c r="F193" i="12"/>
  <c r="G193" i="12"/>
  <c r="H193" i="12"/>
  <c r="I193" i="12"/>
  <c r="J193" i="12"/>
  <c r="K193" i="12"/>
  <c r="L193" i="12"/>
  <c r="M193" i="12"/>
  <c r="N193" i="12"/>
  <c r="O193" i="12"/>
  <c r="P193" i="12"/>
  <c r="Q193" i="12"/>
  <c r="R193" i="12"/>
  <c r="S193" i="12"/>
  <c r="T193" i="12"/>
  <c r="U193" i="12"/>
  <c r="V193" i="12"/>
  <c r="W193" i="12"/>
  <c r="C194" i="12"/>
  <c r="D194" i="12"/>
  <c r="E194" i="12"/>
  <c r="F194" i="12"/>
  <c r="G194" i="12"/>
  <c r="H194" i="12"/>
  <c r="I194" i="12"/>
  <c r="J194" i="12"/>
  <c r="K194" i="12"/>
  <c r="L194" i="12"/>
  <c r="M194" i="12"/>
  <c r="N194" i="12"/>
  <c r="O194" i="12"/>
  <c r="P194" i="12"/>
  <c r="Q194" i="12"/>
  <c r="R194" i="12"/>
  <c r="S194" i="12"/>
  <c r="T194" i="12"/>
  <c r="U194" i="12"/>
  <c r="V194" i="12"/>
  <c r="W194" i="12"/>
  <c r="C195" i="12"/>
  <c r="D195" i="12"/>
  <c r="E195" i="12"/>
  <c r="F195" i="12"/>
  <c r="G195" i="12"/>
  <c r="H195" i="12"/>
  <c r="I195" i="12"/>
  <c r="J195" i="12"/>
  <c r="K195" i="12"/>
  <c r="L195" i="12"/>
  <c r="M195" i="12"/>
  <c r="N195" i="12"/>
  <c r="O195" i="12"/>
  <c r="P195" i="12"/>
  <c r="Q195" i="12"/>
  <c r="R195" i="12"/>
  <c r="S195" i="12"/>
  <c r="T195" i="12"/>
  <c r="U195" i="12"/>
  <c r="V195" i="12"/>
  <c r="W195" i="12"/>
  <c r="C196" i="12"/>
  <c r="D196" i="12"/>
  <c r="E196" i="12"/>
  <c r="F196" i="12"/>
  <c r="G196" i="12"/>
  <c r="H196" i="12"/>
  <c r="I196" i="12"/>
  <c r="J196" i="12"/>
  <c r="K196" i="12"/>
  <c r="L196" i="12"/>
  <c r="M196" i="12"/>
  <c r="N196" i="12"/>
  <c r="O196" i="12"/>
  <c r="P196" i="12"/>
  <c r="Q196" i="12"/>
  <c r="R196" i="12"/>
  <c r="S196" i="12"/>
  <c r="T196" i="12"/>
  <c r="U196" i="12"/>
  <c r="V196" i="12"/>
  <c r="W196" i="12"/>
  <c r="C197" i="12"/>
  <c r="D197" i="12"/>
  <c r="E197" i="12"/>
  <c r="F197" i="12"/>
  <c r="G197" i="12"/>
  <c r="H197" i="12"/>
  <c r="I197" i="12"/>
  <c r="J197" i="12"/>
  <c r="K197" i="12"/>
  <c r="L197" i="12"/>
  <c r="M197" i="12"/>
  <c r="N197" i="12"/>
  <c r="O197" i="12"/>
  <c r="P197" i="12"/>
  <c r="Q197" i="12"/>
  <c r="R197" i="12"/>
  <c r="S197" i="12"/>
  <c r="T197" i="12"/>
  <c r="U197" i="12"/>
  <c r="V197" i="12"/>
  <c r="W197" i="12"/>
  <c r="C198" i="12"/>
  <c r="D198" i="12"/>
  <c r="E198" i="12"/>
  <c r="F198" i="12"/>
  <c r="G198" i="12"/>
  <c r="H198" i="12"/>
  <c r="I198" i="12"/>
  <c r="J198" i="12"/>
  <c r="K198" i="12"/>
  <c r="L198" i="12"/>
  <c r="M198" i="12"/>
  <c r="N198" i="12"/>
  <c r="O198" i="12"/>
  <c r="P198" i="12"/>
  <c r="Q198" i="12"/>
  <c r="R198" i="12"/>
  <c r="S198" i="12"/>
  <c r="T198" i="12"/>
  <c r="U198" i="12"/>
  <c r="V198" i="12"/>
  <c r="W198" i="12"/>
  <c r="C199" i="12"/>
  <c r="D199" i="12"/>
  <c r="E199" i="12"/>
  <c r="F199" i="12"/>
  <c r="G199" i="12"/>
  <c r="H199" i="12"/>
  <c r="I199" i="12"/>
  <c r="J199" i="12"/>
  <c r="K199" i="12"/>
  <c r="L199" i="12"/>
  <c r="M199" i="12"/>
  <c r="N199" i="12"/>
  <c r="O199" i="12"/>
  <c r="P199" i="12"/>
  <c r="Q199" i="12"/>
  <c r="R199" i="12"/>
  <c r="S199" i="12"/>
  <c r="T199" i="12"/>
  <c r="U199" i="12"/>
  <c r="V199" i="12"/>
  <c r="W199" i="12"/>
  <c r="C200" i="12"/>
  <c r="D200" i="12"/>
  <c r="E200" i="12"/>
  <c r="F200" i="12"/>
  <c r="G200" i="12"/>
  <c r="H200" i="12"/>
  <c r="I200" i="12"/>
  <c r="J200" i="12"/>
  <c r="K200" i="12"/>
  <c r="L200" i="12"/>
  <c r="M200" i="12"/>
  <c r="N200" i="12"/>
  <c r="O200" i="12"/>
  <c r="P200" i="12"/>
  <c r="Q200" i="12"/>
  <c r="R200" i="12"/>
  <c r="S200" i="12"/>
  <c r="T200" i="12"/>
  <c r="U200" i="12"/>
  <c r="V200" i="12"/>
  <c r="W200" i="12"/>
  <c r="C201" i="12"/>
  <c r="D201" i="12"/>
  <c r="E201" i="12"/>
  <c r="F201" i="12"/>
  <c r="G201" i="12"/>
  <c r="H201" i="12"/>
  <c r="I201" i="12"/>
  <c r="J201" i="12"/>
  <c r="K201" i="12"/>
  <c r="L201" i="12"/>
  <c r="M201" i="12"/>
  <c r="N201" i="12"/>
  <c r="O201" i="12"/>
  <c r="P201" i="12"/>
  <c r="Q201" i="12"/>
  <c r="R201" i="12"/>
  <c r="S201" i="12"/>
  <c r="T201" i="12"/>
  <c r="U201" i="12"/>
  <c r="V201" i="12"/>
  <c r="W201" i="12"/>
  <c r="C202" i="12"/>
  <c r="D202" i="12"/>
  <c r="E202" i="12"/>
  <c r="F202" i="12"/>
  <c r="G202" i="12"/>
  <c r="H202" i="12"/>
  <c r="I202" i="12"/>
  <c r="J202" i="12"/>
  <c r="K202" i="12"/>
  <c r="L202" i="12"/>
  <c r="M202" i="12"/>
  <c r="N202" i="12"/>
  <c r="O202" i="12"/>
  <c r="P202" i="12"/>
  <c r="Q202" i="12"/>
  <c r="R202" i="12"/>
  <c r="S202" i="12"/>
  <c r="T202" i="12"/>
  <c r="U202" i="12"/>
  <c r="V202" i="12"/>
  <c r="W202" i="12"/>
  <c r="C203" i="12"/>
  <c r="D203" i="12"/>
  <c r="E203" i="12"/>
  <c r="F203" i="12"/>
  <c r="G203" i="12"/>
  <c r="H203" i="12"/>
  <c r="I203" i="12"/>
  <c r="J203" i="12"/>
  <c r="K203" i="12"/>
  <c r="L203" i="12"/>
  <c r="M203" i="12"/>
  <c r="N203" i="12"/>
  <c r="O203" i="12"/>
  <c r="P203" i="12"/>
  <c r="Q203" i="12"/>
  <c r="R203" i="12"/>
  <c r="S203" i="12"/>
  <c r="T203" i="12"/>
  <c r="U203" i="12"/>
  <c r="V203" i="12"/>
  <c r="W203" i="12"/>
  <c r="C204" i="12"/>
  <c r="D204" i="12"/>
  <c r="E204" i="12"/>
  <c r="F204" i="12"/>
  <c r="G204" i="12"/>
  <c r="H204" i="12"/>
  <c r="I204" i="12"/>
  <c r="J204" i="12"/>
  <c r="K204" i="12"/>
  <c r="L204" i="12"/>
  <c r="M204" i="12"/>
  <c r="N204" i="12"/>
  <c r="O204" i="12"/>
  <c r="P204" i="12"/>
  <c r="Q204" i="12"/>
  <c r="R204" i="12"/>
  <c r="S204" i="12"/>
  <c r="T204" i="12"/>
  <c r="U204" i="12"/>
  <c r="V204" i="12"/>
  <c r="W204" i="12"/>
  <c r="C205" i="12"/>
  <c r="D205" i="12"/>
  <c r="E205" i="12"/>
  <c r="F205" i="12"/>
  <c r="G205" i="12"/>
  <c r="H205" i="12"/>
  <c r="I205" i="12"/>
  <c r="J205" i="12"/>
  <c r="K205" i="12"/>
  <c r="L205" i="12"/>
  <c r="M205" i="12"/>
  <c r="N205" i="12"/>
  <c r="O205" i="12"/>
  <c r="P205" i="12"/>
  <c r="Q205" i="12"/>
  <c r="R205" i="12"/>
  <c r="S205" i="12"/>
  <c r="T205" i="12"/>
  <c r="U205" i="12"/>
  <c r="V205" i="12"/>
  <c r="W205" i="12"/>
  <c r="C206" i="12"/>
  <c r="D206" i="12"/>
  <c r="E206" i="12"/>
  <c r="F206" i="12"/>
  <c r="G206" i="12"/>
  <c r="H206" i="12"/>
  <c r="I206" i="12"/>
  <c r="J206" i="12"/>
  <c r="K206" i="12"/>
  <c r="L206" i="12"/>
  <c r="M206" i="12"/>
  <c r="N206" i="12"/>
  <c r="O206" i="12"/>
  <c r="P206" i="12"/>
  <c r="Q206" i="12"/>
  <c r="R206" i="12"/>
  <c r="S206" i="12"/>
  <c r="T206" i="12"/>
  <c r="U206" i="12"/>
  <c r="V206" i="12"/>
  <c r="W206" i="12"/>
  <c r="C207" i="12"/>
  <c r="D207" i="12"/>
  <c r="E207" i="12"/>
  <c r="F207" i="12"/>
  <c r="G207" i="12"/>
  <c r="H207" i="12"/>
  <c r="I207" i="12"/>
  <c r="J207" i="12"/>
  <c r="K207" i="12"/>
  <c r="L207" i="12"/>
  <c r="M207" i="12"/>
  <c r="N207" i="12"/>
  <c r="O207" i="12"/>
  <c r="P207" i="12"/>
  <c r="Q207" i="12"/>
  <c r="R207" i="12"/>
  <c r="S207" i="12"/>
  <c r="T207" i="12"/>
  <c r="U207" i="12"/>
  <c r="V207" i="12"/>
  <c r="W207" i="12"/>
  <c r="C208" i="12"/>
  <c r="D208" i="12"/>
  <c r="E208" i="12"/>
  <c r="F208" i="12"/>
  <c r="G208" i="12"/>
  <c r="H208" i="12"/>
  <c r="I208" i="12"/>
  <c r="J208" i="12"/>
  <c r="K208" i="12"/>
  <c r="L208" i="12"/>
  <c r="M208" i="12"/>
  <c r="N208" i="12"/>
  <c r="O208" i="12"/>
  <c r="P208" i="12"/>
  <c r="Q208" i="12"/>
  <c r="R208" i="12"/>
  <c r="S208" i="12"/>
  <c r="T208" i="12"/>
  <c r="U208" i="12"/>
  <c r="V208" i="12"/>
  <c r="W208" i="12"/>
  <c r="C209" i="12"/>
  <c r="D209" i="12"/>
  <c r="E209" i="12"/>
  <c r="F209" i="12"/>
  <c r="G209" i="12"/>
  <c r="H209" i="12"/>
  <c r="I209" i="12"/>
  <c r="J209" i="12"/>
  <c r="K209" i="12"/>
  <c r="L209" i="12"/>
  <c r="M209" i="12"/>
  <c r="N209" i="12"/>
  <c r="O209" i="12"/>
  <c r="P209" i="12"/>
  <c r="Q209" i="12"/>
  <c r="R209" i="12"/>
  <c r="S209" i="12"/>
  <c r="T209" i="12"/>
  <c r="U209" i="12"/>
  <c r="V209" i="12"/>
  <c r="W209" i="12"/>
  <c r="C210" i="12"/>
  <c r="D210" i="12"/>
  <c r="E210" i="12"/>
  <c r="F210" i="12"/>
  <c r="G210" i="12"/>
  <c r="H210" i="12"/>
  <c r="I210" i="12"/>
  <c r="J210" i="12"/>
  <c r="K210" i="12"/>
  <c r="L210" i="12"/>
  <c r="M210" i="12"/>
  <c r="N210" i="12"/>
  <c r="O210" i="12"/>
  <c r="P210" i="12"/>
  <c r="Q210" i="12"/>
  <c r="R210" i="12"/>
  <c r="S210" i="12"/>
  <c r="T210" i="12"/>
  <c r="U210" i="12"/>
  <c r="V210" i="12"/>
  <c r="W210" i="12"/>
  <c r="C211" i="12"/>
  <c r="D211" i="12"/>
  <c r="E211" i="12"/>
  <c r="F211" i="12"/>
  <c r="G211" i="12"/>
  <c r="H211" i="12"/>
  <c r="I211" i="12"/>
  <c r="J211" i="12"/>
  <c r="K211" i="12"/>
  <c r="L211" i="12"/>
  <c r="M211" i="12"/>
  <c r="N211" i="12"/>
  <c r="O211" i="12"/>
  <c r="P211" i="12"/>
  <c r="Q211" i="12"/>
  <c r="R211" i="12"/>
  <c r="S211" i="12"/>
  <c r="T211" i="12"/>
  <c r="U211" i="12"/>
  <c r="V211" i="12"/>
  <c r="W211" i="12"/>
  <c r="C212" i="12"/>
  <c r="D212" i="12"/>
  <c r="E212" i="12"/>
  <c r="F212" i="12"/>
  <c r="G212" i="12"/>
  <c r="H212" i="12"/>
  <c r="I212" i="12"/>
  <c r="J212" i="12"/>
  <c r="K212" i="12"/>
  <c r="L212" i="12"/>
  <c r="M212" i="12"/>
  <c r="N212" i="12"/>
  <c r="O212" i="12"/>
  <c r="P212" i="12"/>
  <c r="Q212" i="12"/>
  <c r="R212" i="12"/>
  <c r="S212" i="12"/>
  <c r="T212" i="12"/>
  <c r="U212" i="12"/>
  <c r="V212" i="12"/>
  <c r="W212" i="12"/>
  <c r="C213" i="12"/>
  <c r="D213" i="12"/>
  <c r="E213" i="12"/>
  <c r="F213" i="12"/>
  <c r="G213" i="12"/>
  <c r="H213" i="12"/>
  <c r="I213" i="12"/>
  <c r="J213" i="12"/>
  <c r="K213" i="12"/>
  <c r="L213" i="12"/>
  <c r="M213" i="12"/>
  <c r="N213" i="12"/>
  <c r="O213" i="12"/>
  <c r="P213" i="12"/>
  <c r="Q213" i="12"/>
  <c r="R213" i="12"/>
  <c r="S213" i="12"/>
  <c r="T213" i="12"/>
  <c r="U213" i="12"/>
  <c r="V213" i="12"/>
  <c r="W213" i="12"/>
  <c r="C161" i="12"/>
  <c r="D161" i="12"/>
  <c r="E161" i="12"/>
  <c r="F161" i="12"/>
  <c r="G161" i="12"/>
  <c r="H161" i="12"/>
  <c r="I161" i="12"/>
  <c r="J161" i="12"/>
  <c r="K161" i="12"/>
  <c r="L161" i="12"/>
  <c r="M161" i="12"/>
  <c r="N161" i="12"/>
  <c r="O161" i="12"/>
  <c r="P161" i="12"/>
  <c r="Q161" i="12"/>
  <c r="R161" i="12"/>
  <c r="S161" i="12"/>
  <c r="T161" i="12"/>
  <c r="U161" i="12"/>
  <c r="V161" i="12"/>
  <c r="W161" i="12"/>
  <c r="C162" i="12"/>
  <c r="D162" i="12"/>
  <c r="E162" i="12"/>
  <c r="F162" i="12"/>
  <c r="G162" i="12"/>
  <c r="H162" i="12"/>
  <c r="I162" i="12"/>
  <c r="J162" i="12"/>
  <c r="K162" i="12"/>
  <c r="L162" i="12"/>
  <c r="M162" i="12"/>
  <c r="N162" i="12"/>
  <c r="O162" i="12"/>
  <c r="P162" i="12"/>
  <c r="Q162" i="12"/>
  <c r="R162" i="12"/>
  <c r="S162" i="12"/>
  <c r="T162" i="12"/>
  <c r="U162" i="12"/>
  <c r="V162" i="12"/>
  <c r="W162" i="12"/>
  <c r="C163" i="12"/>
  <c r="D163" i="12"/>
  <c r="E163" i="12"/>
  <c r="F163" i="12"/>
  <c r="G163" i="12"/>
  <c r="H163" i="12"/>
  <c r="I163" i="12"/>
  <c r="J163" i="12"/>
  <c r="K163" i="12"/>
  <c r="L163" i="12"/>
  <c r="M163" i="12"/>
  <c r="N163" i="12"/>
  <c r="O163" i="12"/>
  <c r="P163" i="12"/>
  <c r="Q163" i="12"/>
  <c r="R163" i="12"/>
  <c r="S163" i="12"/>
  <c r="T163" i="12"/>
  <c r="U163" i="12"/>
  <c r="V163" i="12"/>
  <c r="W163" i="12"/>
  <c r="C164" i="12"/>
  <c r="D164" i="12"/>
  <c r="E164" i="12"/>
  <c r="F164" i="12"/>
  <c r="G164" i="12"/>
  <c r="H164" i="12"/>
  <c r="I164" i="12"/>
  <c r="J164" i="12"/>
  <c r="K164" i="12"/>
  <c r="L164" i="12"/>
  <c r="M164" i="12"/>
  <c r="N164" i="12"/>
  <c r="O164" i="12"/>
  <c r="P164" i="12"/>
  <c r="Q164" i="12"/>
  <c r="R164" i="12"/>
  <c r="S164" i="12"/>
  <c r="T164" i="12"/>
  <c r="U164" i="12"/>
  <c r="V164" i="12"/>
  <c r="W164" i="12"/>
  <c r="C165" i="12"/>
  <c r="D165" i="12"/>
  <c r="E165" i="12"/>
  <c r="F165" i="12"/>
  <c r="G165" i="12"/>
  <c r="H165" i="12"/>
  <c r="I165" i="12"/>
  <c r="J165" i="12"/>
  <c r="K165" i="12"/>
  <c r="L165" i="12"/>
  <c r="M165" i="12"/>
  <c r="N165" i="12"/>
  <c r="O165" i="12"/>
  <c r="P165" i="12"/>
  <c r="Q165" i="12"/>
  <c r="R165" i="12"/>
  <c r="S165" i="12"/>
  <c r="T165" i="12"/>
  <c r="U165" i="12"/>
  <c r="V165" i="12"/>
  <c r="W165" i="12"/>
  <c r="C166" i="12"/>
  <c r="D166" i="12"/>
  <c r="E166" i="12"/>
  <c r="F166" i="12"/>
  <c r="G166" i="12"/>
  <c r="H166" i="12"/>
  <c r="I166" i="12"/>
  <c r="J166" i="12"/>
  <c r="K166" i="12"/>
  <c r="L166" i="12"/>
  <c r="M166" i="12"/>
  <c r="N166" i="12"/>
  <c r="O166" i="12"/>
  <c r="P166" i="12"/>
  <c r="Q166" i="12"/>
  <c r="R166" i="12"/>
  <c r="S166" i="12"/>
  <c r="T166" i="12"/>
  <c r="U166" i="12"/>
  <c r="V166" i="12"/>
  <c r="W166" i="12"/>
  <c r="C167" i="12"/>
  <c r="D167" i="12"/>
  <c r="E167" i="12"/>
  <c r="F167" i="12"/>
  <c r="G167" i="12"/>
  <c r="H167" i="12"/>
  <c r="I167" i="12"/>
  <c r="J167" i="12"/>
  <c r="K167" i="12"/>
  <c r="L167" i="12"/>
  <c r="M167" i="12"/>
  <c r="N167" i="12"/>
  <c r="O167" i="12"/>
  <c r="P167" i="12"/>
  <c r="Q167" i="12"/>
  <c r="R167" i="12"/>
  <c r="S167" i="12"/>
  <c r="T167" i="12"/>
  <c r="U167" i="12"/>
  <c r="V167" i="12"/>
  <c r="W167" i="12"/>
  <c r="C168" i="12"/>
  <c r="D168" i="12"/>
  <c r="E168" i="12"/>
  <c r="F168" i="12"/>
  <c r="G168" i="12"/>
  <c r="H168" i="12"/>
  <c r="I168" i="12"/>
  <c r="J168" i="12"/>
  <c r="K168" i="12"/>
  <c r="L168" i="12"/>
  <c r="M168" i="12"/>
  <c r="N168" i="12"/>
  <c r="O168" i="12"/>
  <c r="P168" i="12"/>
  <c r="Q168" i="12"/>
  <c r="R168" i="12"/>
  <c r="S168" i="12"/>
  <c r="T168" i="12"/>
  <c r="U168" i="12"/>
  <c r="V168" i="12"/>
  <c r="W168" i="12"/>
  <c r="C169" i="12"/>
  <c r="D169" i="12"/>
  <c r="E169" i="12"/>
  <c r="F169" i="12"/>
  <c r="G169" i="12"/>
  <c r="H169" i="12"/>
  <c r="I169" i="12"/>
  <c r="J169" i="12"/>
  <c r="K169" i="12"/>
  <c r="L169" i="12"/>
  <c r="M169" i="12"/>
  <c r="N169" i="12"/>
  <c r="O169" i="12"/>
  <c r="P169" i="12"/>
  <c r="Q169" i="12"/>
  <c r="R169" i="12"/>
  <c r="S169" i="12"/>
  <c r="T169" i="12"/>
  <c r="U169" i="12"/>
  <c r="V169" i="12"/>
  <c r="W169" i="12"/>
  <c r="C170" i="12"/>
  <c r="D170" i="12"/>
  <c r="E170" i="12"/>
  <c r="F170" i="12"/>
  <c r="G170" i="12"/>
  <c r="H170" i="12"/>
  <c r="I170" i="12"/>
  <c r="J170" i="12"/>
  <c r="K170" i="12"/>
  <c r="L170" i="12"/>
  <c r="M170" i="12"/>
  <c r="N170" i="12"/>
  <c r="O170" i="12"/>
  <c r="P170" i="12"/>
  <c r="Q170" i="12"/>
  <c r="R170" i="12"/>
  <c r="S170" i="12"/>
  <c r="T170" i="12"/>
  <c r="U170" i="12"/>
  <c r="V170" i="12"/>
  <c r="W170" i="12"/>
  <c r="C171" i="12"/>
  <c r="D171" i="12"/>
  <c r="E171" i="12"/>
  <c r="F171" i="12"/>
  <c r="G171" i="12"/>
  <c r="H171" i="12"/>
  <c r="I171" i="12"/>
  <c r="J171" i="12"/>
  <c r="K171" i="12"/>
  <c r="L171" i="12"/>
  <c r="M171" i="12"/>
  <c r="N171" i="12"/>
  <c r="O171" i="12"/>
  <c r="P171" i="12"/>
  <c r="Q171" i="12"/>
  <c r="R171" i="12"/>
  <c r="S171" i="12"/>
  <c r="T171" i="12"/>
  <c r="U171" i="12"/>
  <c r="V171" i="12"/>
  <c r="W171" i="12"/>
  <c r="C172" i="12"/>
  <c r="D172" i="12"/>
  <c r="E172" i="12"/>
  <c r="F172" i="12"/>
  <c r="G172" i="12"/>
  <c r="H172" i="12"/>
  <c r="I172" i="12"/>
  <c r="J172" i="12"/>
  <c r="K172" i="12"/>
  <c r="L172" i="12"/>
  <c r="M172" i="12"/>
  <c r="N172" i="12"/>
  <c r="O172" i="12"/>
  <c r="P172" i="12"/>
  <c r="Q172" i="12"/>
  <c r="R172" i="12"/>
  <c r="S172" i="12"/>
  <c r="T172" i="12"/>
  <c r="U172" i="12"/>
  <c r="V172" i="12"/>
  <c r="W172" i="12"/>
  <c r="C173" i="12"/>
  <c r="D173" i="12"/>
  <c r="E173" i="12"/>
  <c r="F173" i="12"/>
  <c r="G173" i="12"/>
  <c r="H173" i="12"/>
  <c r="I173" i="12"/>
  <c r="J173" i="12"/>
  <c r="K173" i="12"/>
  <c r="L173" i="12"/>
  <c r="M173" i="12"/>
  <c r="N173" i="12"/>
  <c r="O173" i="12"/>
  <c r="P173" i="12"/>
  <c r="Q173" i="12"/>
  <c r="R173" i="12"/>
  <c r="S173" i="12"/>
  <c r="T173" i="12"/>
  <c r="U173" i="12"/>
  <c r="V173" i="12"/>
  <c r="W173" i="12"/>
  <c r="C174" i="12"/>
  <c r="D174" i="12"/>
  <c r="E174" i="12"/>
  <c r="F174" i="12"/>
  <c r="G174" i="12"/>
  <c r="H174" i="12"/>
  <c r="I174" i="12"/>
  <c r="J174" i="12"/>
  <c r="K174" i="12"/>
  <c r="L174" i="12"/>
  <c r="M174" i="12"/>
  <c r="N174" i="12"/>
  <c r="O174" i="12"/>
  <c r="P174" i="12"/>
  <c r="Q174" i="12"/>
  <c r="R174" i="12"/>
  <c r="S174" i="12"/>
  <c r="T174" i="12"/>
  <c r="U174" i="12"/>
  <c r="V174" i="12"/>
  <c r="W174" i="12"/>
  <c r="C175" i="12"/>
  <c r="D175" i="12"/>
  <c r="E175" i="12"/>
  <c r="F175" i="12"/>
  <c r="G175" i="12"/>
  <c r="H175" i="12"/>
  <c r="I175" i="12"/>
  <c r="J175" i="12"/>
  <c r="K175" i="12"/>
  <c r="L175" i="12"/>
  <c r="M175" i="12"/>
  <c r="N175" i="12"/>
  <c r="O175" i="12"/>
  <c r="P175" i="12"/>
  <c r="Q175" i="12"/>
  <c r="R175" i="12"/>
  <c r="S175" i="12"/>
  <c r="T175" i="12"/>
  <c r="U175" i="12"/>
  <c r="V175" i="12"/>
  <c r="W175" i="12"/>
  <c r="C176" i="12"/>
  <c r="D176" i="12"/>
  <c r="E176" i="12"/>
  <c r="F176" i="12"/>
  <c r="G176" i="12"/>
  <c r="H176" i="12"/>
  <c r="I176" i="12"/>
  <c r="J176" i="12"/>
  <c r="K176" i="12"/>
  <c r="L176" i="12"/>
  <c r="M176" i="12"/>
  <c r="N176" i="12"/>
  <c r="O176" i="12"/>
  <c r="P176" i="12"/>
  <c r="Q176" i="12"/>
  <c r="R176" i="12"/>
  <c r="S176" i="12"/>
  <c r="T176" i="12"/>
  <c r="U176" i="12"/>
  <c r="V176" i="12"/>
  <c r="W176" i="12"/>
  <c r="C177" i="12"/>
  <c r="D177" i="12"/>
  <c r="E177" i="12"/>
  <c r="F177" i="12"/>
  <c r="G177" i="12"/>
  <c r="H177" i="12"/>
  <c r="I177" i="12"/>
  <c r="J177" i="12"/>
  <c r="K177" i="12"/>
  <c r="L177" i="12"/>
  <c r="M177" i="12"/>
  <c r="N177" i="12"/>
  <c r="O177" i="12"/>
  <c r="P177" i="12"/>
  <c r="Q177" i="12"/>
  <c r="R177" i="12"/>
  <c r="S177" i="12"/>
  <c r="T177" i="12"/>
  <c r="U177" i="12"/>
  <c r="V177" i="12"/>
  <c r="W177" i="12"/>
  <c r="C178" i="12"/>
  <c r="D178" i="12"/>
  <c r="E178" i="12"/>
  <c r="F178" i="12"/>
  <c r="G178" i="12"/>
  <c r="H178" i="12"/>
  <c r="I178" i="12"/>
  <c r="J178" i="12"/>
  <c r="K178" i="12"/>
  <c r="L178" i="12"/>
  <c r="M178" i="12"/>
  <c r="N178" i="12"/>
  <c r="O178" i="12"/>
  <c r="P178" i="12"/>
  <c r="Q178" i="12"/>
  <c r="R178" i="12"/>
  <c r="S178" i="12"/>
  <c r="T178" i="12"/>
  <c r="U178" i="12"/>
  <c r="V178" i="12"/>
  <c r="W178" i="12"/>
  <c r="C179" i="12"/>
  <c r="D179" i="12"/>
  <c r="E179" i="12"/>
  <c r="F179" i="12"/>
  <c r="G179" i="12"/>
  <c r="H179" i="12"/>
  <c r="I179" i="12"/>
  <c r="J179" i="12"/>
  <c r="K179" i="12"/>
  <c r="L179" i="12"/>
  <c r="M179" i="12"/>
  <c r="N179" i="12"/>
  <c r="O179" i="12"/>
  <c r="P179" i="12"/>
  <c r="Q179" i="12"/>
  <c r="R179" i="12"/>
  <c r="S179" i="12"/>
  <c r="T179" i="12"/>
  <c r="U179" i="12"/>
  <c r="V179" i="12"/>
  <c r="W179" i="12"/>
  <c r="C132" i="12"/>
  <c r="D132" i="12"/>
  <c r="E132" i="12"/>
  <c r="F132" i="12"/>
  <c r="G132" i="12"/>
  <c r="H132" i="12"/>
  <c r="I132" i="12"/>
  <c r="J132" i="12"/>
  <c r="K132" i="12"/>
  <c r="L132" i="12"/>
  <c r="M132" i="12"/>
  <c r="N132" i="12"/>
  <c r="O132" i="12"/>
  <c r="P132" i="12"/>
  <c r="Q132" i="12"/>
  <c r="R132" i="12"/>
  <c r="S132" i="12"/>
  <c r="T132" i="12"/>
  <c r="U132" i="12"/>
  <c r="V132" i="12"/>
  <c r="W132" i="12"/>
  <c r="C133" i="12"/>
  <c r="D133" i="12"/>
  <c r="E133" i="12"/>
  <c r="F133" i="12"/>
  <c r="G133" i="12"/>
  <c r="H133" i="12"/>
  <c r="I133" i="12"/>
  <c r="J133" i="12"/>
  <c r="K133" i="12"/>
  <c r="L133" i="12"/>
  <c r="M133" i="12"/>
  <c r="N133" i="12"/>
  <c r="O133" i="12"/>
  <c r="P133" i="12"/>
  <c r="Q133" i="12"/>
  <c r="R133" i="12"/>
  <c r="S133" i="12"/>
  <c r="T133" i="12"/>
  <c r="U133" i="12"/>
  <c r="V133" i="12"/>
  <c r="W133" i="12"/>
  <c r="C134" i="12"/>
  <c r="D134" i="12"/>
  <c r="E134" i="12"/>
  <c r="F134" i="12"/>
  <c r="G134" i="12"/>
  <c r="H134" i="12"/>
  <c r="I134" i="12"/>
  <c r="J134" i="12"/>
  <c r="K134" i="12"/>
  <c r="L134" i="12"/>
  <c r="M134" i="12"/>
  <c r="N134" i="12"/>
  <c r="O134" i="12"/>
  <c r="P134" i="12"/>
  <c r="Q134" i="12"/>
  <c r="R134" i="12"/>
  <c r="S134" i="12"/>
  <c r="T134" i="12"/>
  <c r="U134" i="12"/>
  <c r="V134" i="12"/>
  <c r="W134" i="12"/>
  <c r="C135" i="12"/>
  <c r="D135" i="12"/>
  <c r="E135" i="12"/>
  <c r="F135" i="12"/>
  <c r="G135" i="12"/>
  <c r="H135" i="12"/>
  <c r="I135" i="12"/>
  <c r="J135" i="12"/>
  <c r="K135" i="12"/>
  <c r="L135" i="12"/>
  <c r="M135" i="12"/>
  <c r="N135" i="12"/>
  <c r="O135" i="12"/>
  <c r="P135" i="12"/>
  <c r="Q135" i="12"/>
  <c r="R135" i="12"/>
  <c r="S135" i="12"/>
  <c r="T135" i="12"/>
  <c r="U135" i="12"/>
  <c r="V135" i="12"/>
  <c r="W135" i="12"/>
  <c r="C136" i="12"/>
  <c r="D136" i="12"/>
  <c r="E136" i="12"/>
  <c r="F136" i="12"/>
  <c r="G136" i="12"/>
  <c r="H136" i="12"/>
  <c r="I136" i="12"/>
  <c r="J136" i="12"/>
  <c r="K136" i="12"/>
  <c r="L136" i="12"/>
  <c r="M136" i="12"/>
  <c r="N136" i="12"/>
  <c r="O136" i="12"/>
  <c r="P136" i="12"/>
  <c r="Q136" i="12"/>
  <c r="R136" i="12"/>
  <c r="S136" i="12"/>
  <c r="T136" i="12"/>
  <c r="U136" i="12"/>
  <c r="V136" i="12"/>
  <c r="W136" i="12"/>
  <c r="C137" i="12"/>
  <c r="D137" i="12"/>
  <c r="E137" i="12"/>
  <c r="F137" i="12"/>
  <c r="G137" i="12"/>
  <c r="H137" i="12"/>
  <c r="I137" i="12"/>
  <c r="J137" i="12"/>
  <c r="K137" i="12"/>
  <c r="L137" i="12"/>
  <c r="M137" i="12"/>
  <c r="N137" i="12"/>
  <c r="O137" i="12"/>
  <c r="P137" i="12"/>
  <c r="Q137" i="12"/>
  <c r="R137" i="12"/>
  <c r="S137" i="12"/>
  <c r="T137" i="12"/>
  <c r="U137" i="12"/>
  <c r="V137" i="12"/>
  <c r="W137" i="12"/>
  <c r="C138" i="12"/>
  <c r="D138" i="12"/>
  <c r="E138" i="12"/>
  <c r="F138" i="12"/>
  <c r="G138" i="12"/>
  <c r="H138" i="12"/>
  <c r="I138" i="12"/>
  <c r="J138" i="12"/>
  <c r="K138" i="12"/>
  <c r="L138" i="12"/>
  <c r="M138" i="12"/>
  <c r="N138" i="12"/>
  <c r="O138" i="12"/>
  <c r="P138" i="12"/>
  <c r="Q138" i="12"/>
  <c r="R138" i="12"/>
  <c r="S138" i="12"/>
  <c r="T138" i="12"/>
  <c r="U138" i="12"/>
  <c r="V138" i="12"/>
  <c r="W138" i="12"/>
  <c r="C139" i="12"/>
  <c r="D139" i="12"/>
  <c r="E139" i="12"/>
  <c r="F139" i="12"/>
  <c r="G139" i="12"/>
  <c r="H139" i="12"/>
  <c r="I139" i="12"/>
  <c r="J139" i="12"/>
  <c r="K139" i="12"/>
  <c r="L139" i="12"/>
  <c r="M139" i="12"/>
  <c r="N139" i="12"/>
  <c r="O139" i="12"/>
  <c r="P139" i="12"/>
  <c r="Q139" i="12"/>
  <c r="R139" i="12"/>
  <c r="S139" i="12"/>
  <c r="T139" i="12"/>
  <c r="U139" i="12"/>
  <c r="V139" i="12"/>
  <c r="W139" i="12"/>
  <c r="C140" i="12"/>
  <c r="D140" i="12"/>
  <c r="E140" i="12"/>
  <c r="F140" i="12"/>
  <c r="G140" i="12"/>
  <c r="H140" i="12"/>
  <c r="I140" i="12"/>
  <c r="J140" i="12"/>
  <c r="K140" i="12"/>
  <c r="L140" i="12"/>
  <c r="M140" i="12"/>
  <c r="N140" i="12"/>
  <c r="O140" i="12"/>
  <c r="P140" i="12"/>
  <c r="Q140" i="12"/>
  <c r="R140" i="12"/>
  <c r="S140" i="12"/>
  <c r="T140" i="12"/>
  <c r="U140" i="12"/>
  <c r="V140" i="12"/>
  <c r="W140" i="12"/>
  <c r="C141" i="12"/>
  <c r="D141" i="12"/>
  <c r="E141" i="12"/>
  <c r="F141" i="12"/>
  <c r="G141" i="12"/>
  <c r="H141" i="12"/>
  <c r="I141" i="12"/>
  <c r="J141" i="12"/>
  <c r="K141" i="12"/>
  <c r="L141" i="12"/>
  <c r="M141" i="12"/>
  <c r="N141" i="12"/>
  <c r="O141" i="12"/>
  <c r="P141" i="12"/>
  <c r="Q141" i="12"/>
  <c r="R141" i="12"/>
  <c r="S141" i="12"/>
  <c r="T141" i="12"/>
  <c r="U141" i="12"/>
  <c r="V141" i="12"/>
  <c r="W141" i="12"/>
  <c r="C142" i="12"/>
  <c r="D142" i="12"/>
  <c r="E142" i="12"/>
  <c r="F142" i="12"/>
  <c r="G142" i="12"/>
  <c r="H142" i="12"/>
  <c r="I142" i="12"/>
  <c r="J142" i="12"/>
  <c r="K142" i="12"/>
  <c r="L142" i="12"/>
  <c r="M142" i="12"/>
  <c r="N142" i="12"/>
  <c r="O142" i="12"/>
  <c r="P142" i="12"/>
  <c r="Q142" i="12"/>
  <c r="R142" i="12"/>
  <c r="S142" i="12"/>
  <c r="T142" i="12"/>
  <c r="U142" i="12"/>
  <c r="V142" i="12"/>
  <c r="W142" i="12"/>
  <c r="C143" i="12"/>
  <c r="D143" i="12"/>
  <c r="E143" i="12"/>
  <c r="F143" i="12"/>
  <c r="G143" i="12"/>
  <c r="H143" i="12"/>
  <c r="I143" i="12"/>
  <c r="J143" i="12"/>
  <c r="K143" i="12"/>
  <c r="L143" i="12"/>
  <c r="M143" i="12"/>
  <c r="N143" i="12"/>
  <c r="O143" i="12"/>
  <c r="P143" i="12"/>
  <c r="Q143" i="12"/>
  <c r="R143" i="12"/>
  <c r="S143" i="12"/>
  <c r="T143" i="12"/>
  <c r="U143" i="12"/>
  <c r="V143" i="12"/>
  <c r="W143" i="12"/>
  <c r="C144" i="12"/>
  <c r="D144" i="12"/>
  <c r="E144" i="12"/>
  <c r="F144" i="12"/>
  <c r="G144" i="12"/>
  <c r="H144" i="12"/>
  <c r="I144" i="12"/>
  <c r="J144" i="12"/>
  <c r="K144" i="12"/>
  <c r="L144" i="12"/>
  <c r="M144" i="12"/>
  <c r="N144" i="12"/>
  <c r="O144" i="12"/>
  <c r="P144" i="12"/>
  <c r="Q144" i="12"/>
  <c r="R144" i="12"/>
  <c r="S144" i="12"/>
  <c r="T144" i="12"/>
  <c r="U144" i="12"/>
  <c r="V144" i="12"/>
  <c r="W144" i="12"/>
  <c r="C145" i="12"/>
  <c r="D145" i="12"/>
  <c r="E145" i="12"/>
  <c r="F145" i="12"/>
  <c r="G145" i="12"/>
  <c r="H145" i="12"/>
  <c r="I145" i="12"/>
  <c r="J145" i="12"/>
  <c r="K145" i="12"/>
  <c r="L145" i="12"/>
  <c r="M145" i="12"/>
  <c r="N145" i="12"/>
  <c r="O145" i="12"/>
  <c r="P145" i="12"/>
  <c r="Q145" i="12"/>
  <c r="R145" i="12"/>
  <c r="S145" i="12"/>
  <c r="T145" i="12"/>
  <c r="U145" i="12"/>
  <c r="V145" i="12"/>
  <c r="W145" i="12"/>
  <c r="C146" i="12"/>
  <c r="D146" i="12"/>
  <c r="E146" i="12"/>
  <c r="F146" i="12"/>
  <c r="G146" i="12"/>
  <c r="H146" i="12"/>
  <c r="I146" i="12"/>
  <c r="J146" i="12"/>
  <c r="K146" i="12"/>
  <c r="L146" i="12"/>
  <c r="M146" i="12"/>
  <c r="N146" i="12"/>
  <c r="O146" i="12"/>
  <c r="P146" i="12"/>
  <c r="Q146" i="12"/>
  <c r="R146" i="12"/>
  <c r="S146" i="12"/>
  <c r="T146" i="12"/>
  <c r="U146" i="12"/>
  <c r="V146" i="12"/>
  <c r="W146" i="12"/>
  <c r="C147" i="12"/>
  <c r="D147" i="12"/>
  <c r="E147" i="12"/>
  <c r="F147" i="12"/>
  <c r="G147" i="12"/>
  <c r="H147" i="12"/>
  <c r="I147" i="12"/>
  <c r="J147" i="12"/>
  <c r="K147" i="12"/>
  <c r="L147" i="12"/>
  <c r="M147" i="12"/>
  <c r="N147" i="12"/>
  <c r="O147" i="12"/>
  <c r="P147" i="12"/>
  <c r="Q147" i="12"/>
  <c r="R147" i="12"/>
  <c r="S147" i="12"/>
  <c r="T147" i="12"/>
  <c r="U147" i="12"/>
  <c r="V147" i="12"/>
  <c r="W147" i="12"/>
  <c r="C148" i="12"/>
  <c r="D148" i="12"/>
  <c r="E148" i="12"/>
  <c r="F148" i="12"/>
  <c r="G148" i="12"/>
  <c r="H148" i="12"/>
  <c r="I148" i="12"/>
  <c r="J148" i="12"/>
  <c r="K148" i="12"/>
  <c r="L148" i="12"/>
  <c r="M148" i="12"/>
  <c r="N148" i="12"/>
  <c r="O148" i="12"/>
  <c r="P148" i="12"/>
  <c r="Q148" i="12"/>
  <c r="R148" i="12"/>
  <c r="S148" i="12"/>
  <c r="T148" i="12"/>
  <c r="U148" i="12"/>
  <c r="V148" i="12"/>
  <c r="W148" i="12"/>
  <c r="C149" i="12"/>
  <c r="D149" i="12"/>
  <c r="E149" i="12"/>
  <c r="F149" i="12"/>
  <c r="G149" i="12"/>
  <c r="H149" i="12"/>
  <c r="I149" i="12"/>
  <c r="J149" i="12"/>
  <c r="K149" i="12"/>
  <c r="L149" i="12"/>
  <c r="M149" i="12"/>
  <c r="N149" i="12"/>
  <c r="O149" i="12"/>
  <c r="P149" i="12"/>
  <c r="Q149" i="12"/>
  <c r="R149" i="12"/>
  <c r="S149" i="12"/>
  <c r="T149" i="12"/>
  <c r="U149" i="12"/>
  <c r="V149" i="12"/>
  <c r="W149" i="12"/>
  <c r="C150" i="12"/>
  <c r="D150" i="12"/>
  <c r="E150" i="12"/>
  <c r="F150" i="12"/>
  <c r="G150" i="12"/>
  <c r="H150" i="12"/>
  <c r="I150" i="12"/>
  <c r="J150" i="12"/>
  <c r="K150" i="12"/>
  <c r="L150" i="12"/>
  <c r="M150" i="12"/>
  <c r="N150" i="12"/>
  <c r="O150" i="12"/>
  <c r="P150" i="12"/>
  <c r="Q150" i="12"/>
  <c r="R150" i="12"/>
  <c r="S150" i="12"/>
  <c r="T150" i="12"/>
  <c r="U150" i="12"/>
  <c r="V150" i="12"/>
  <c r="W150" i="12"/>
  <c r="C151" i="12"/>
  <c r="D151" i="12"/>
  <c r="E151" i="12"/>
  <c r="F151" i="12"/>
  <c r="G151" i="12"/>
  <c r="H151" i="12"/>
  <c r="I151" i="12"/>
  <c r="J151" i="12"/>
  <c r="K151" i="12"/>
  <c r="L151" i="12"/>
  <c r="M151" i="12"/>
  <c r="N151" i="12"/>
  <c r="O151" i="12"/>
  <c r="P151" i="12"/>
  <c r="Q151" i="12"/>
  <c r="R151" i="12"/>
  <c r="S151" i="12"/>
  <c r="T151" i="12"/>
  <c r="U151" i="12"/>
  <c r="V151" i="12"/>
  <c r="W151" i="12"/>
  <c r="C152" i="12"/>
  <c r="D152" i="12"/>
  <c r="E152" i="12"/>
  <c r="F152" i="12"/>
  <c r="G152" i="12"/>
  <c r="H152" i="12"/>
  <c r="I152" i="12"/>
  <c r="J152" i="12"/>
  <c r="K152" i="12"/>
  <c r="L152" i="12"/>
  <c r="M152" i="12"/>
  <c r="N152" i="12"/>
  <c r="O152" i="12"/>
  <c r="P152" i="12"/>
  <c r="Q152" i="12"/>
  <c r="R152" i="12"/>
  <c r="S152" i="12"/>
  <c r="T152" i="12"/>
  <c r="U152" i="12"/>
  <c r="V152" i="12"/>
  <c r="W152" i="12"/>
  <c r="C153" i="12"/>
  <c r="D153" i="12"/>
  <c r="E153" i="12"/>
  <c r="F153" i="12"/>
  <c r="G153" i="12"/>
  <c r="H153" i="12"/>
  <c r="I153" i="12"/>
  <c r="J153" i="12"/>
  <c r="K153" i="12"/>
  <c r="L153" i="12"/>
  <c r="M153" i="12"/>
  <c r="N153" i="12"/>
  <c r="O153" i="12"/>
  <c r="P153" i="12"/>
  <c r="Q153" i="12"/>
  <c r="R153" i="12"/>
  <c r="S153" i="12"/>
  <c r="T153" i="12"/>
  <c r="U153" i="12"/>
  <c r="V153" i="12"/>
  <c r="W153" i="12"/>
  <c r="C154" i="12"/>
  <c r="D154" i="12"/>
  <c r="E154" i="12"/>
  <c r="F154" i="12"/>
  <c r="G154" i="12"/>
  <c r="H154" i="12"/>
  <c r="I154" i="12"/>
  <c r="J154" i="12"/>
  <c r="K154" i="12"/>
  <c r="L154" i="12"/>
  <c r="M154" i="12"/>
  <c r="N154" i="12"/>
  <c r="O154" i="12"/>
  <c r="P154" i="12"/>
  <c r="Q154" i="12"/>
  <c r="R154" i="12"/>
  <c r="S154" i="12"/>
  <c r="T154" i="12"/>
  <c r="U154" i="12"/>
  <c r="V154" i="12"/>
  <c r="W154" i="12"/>
  <c r="C155" i="12"/>
  <c r="D155" i="12"/>
  <c r="E155" i="12"/>
  <c r="F155" i="12"/>
  <c r="G155" i="12"/>
  <c r="H155" i="12"/>
  <c r="I155" i="12"/>
  <c r="J155" i="12"/>
  <c r="K155" i="12"/>
  <c r="L155" i="12"/>
  <c r="M155" i="12"/>
  <c r="N155" i="12"/>
  <c r="O155" i="12"/>
  <c r="P155" i="12"/>
  <c r="Q155" i="12"/>
  <c r="R155" i="12"/>
  <c r="S155" i="12"/>
  <c r="T155" i="12"/>
  <c r="U155" i="12"/>
  <c r="V155" i="12"/>
  <c r="W155" i="12"/>
  <c r="C156" i="12"/>
  <c r="D156" i="12"/>
  <c r="E156" i="12"/>
  <c r="F156" i="12"/>
  <c r="G156" i="12"/>
  <c r="H156" i="12"/>
  <c r="I156" i="12"/>
  <c r="J156" i="12"/>
  <c r="K156" i="12"/>
  <c r="L156" i="12"/>
  <c r="M156" i="12"/>
  <c r="N156" i="12"/>
  <c r="O156" i="12"/>
  <c r="P156" i="12"/>
  <c r="Q156" i="12"/>
  <c r="R156" i="12"/>
  <c r="S156" i="12"/>
  <c r="T156" i="12"/>
  <c r="U156" i="12"/>
  <c r="V156" i="12"/>
  <c r="W156" i="12"/>
  <c r="C157" i="12"/>
  <c r="D157" i="12"/>
  <c r="E157" i="12"/>
  <c r="F157" i="12"/>
  <c r="G157" i="12"/>
  <c r="H157" i="12"/>
  <c r="I157" i="12"/>
  <c r="J157" i="12"/>
  <c r="K157" i="12"/>
  <c r="L157" i="12"/>
  <c r="M157" i="12"/>
  <c r="N157" i="12"/>
  <c r="O157" i="12"/>
  <c r="P157" i="12"/>
  <c r="Q157" i="12"/>
  <c r="R157" i="12"/>
  <c r="S157" i="12"/>
  <c r="T157" i="12"/>
  <c r="U157" i="12"/>
  <c r="V157" i="12"/>
  <c r="W157" i="12"/>
  <c r="C158" i="12"/>
  <c r="D158" i="12"/>
  <c r="E158" i="12"/>
  <c r="F158" i="12"/>
  <c r="G158" i="12"/>
  <c r="H158" i="12"/>
  <c r="I158" i="12"/>
  <c r="J158" i="12"/>
  <c r="K158" i="12"/>
  <c r="L158" i="12"/>
  <c r="M158" i="12"/>
  <c r="N158" i="12"/>
  <c r="O158" i="12"/>
  <c r="P158" i="12"/>
  <c r="Q158" i="12"/>
  <c r="R158" i="12"/>
  <c r="S158" i="12"/>
  <c r="T158" i="12"/>
  <c r="U158" i="12"/>
  <c r="V158" i="12"/>
  <c r="W158" i="12"/>
  <c r="C159" i="12"/>
  <c r="D159" i="12"/>
  <c r="E159" i="12"/>
  <c r="F159" i="12"/>
  <c r="G159" i="12"/>
  <c r="H159" i="12"/>
  <c r="I159" i="12"/>
  <c r="J159" i="12"/>
  <c r="K159" i="12"/>
  <c r="L159" i="12"/>
  <c r="M159" i="12"/>
  <c r="N159" i="12"/>
  <c r="O159" i="12"/>
  <c r="P159" i="12"/>
  <c r="Q159" i="12"/>
  <c r="R159" i="12"/>
  <c r="S159" i="12"/>
  <c r="T159" i="12"/>
  <c r="U159" i="12"/>
  <c r="V159" i="12"/>
  <c r="W159" i="12"/>
  <c r="C160" i="12"/>
  <c r="D160" i="12"/>
  <c r="E160" i="12"/>
  <c r="F160" i="12"/>
  <c r="G160" i="12"/>
  <c r="H160" i="12"/>
  <c r="I160" i="12"/>
  <c r="J160" i="12"/>
  <c r="K160" i="12"/>
  <c r="L160" i="12"/>
  <c r="M160" i="12"/>
  <c r="N160" i="12"/>
  <c r="O160" i="12"/>
  <c r="P160" i="12"/>
  <c r="Q160" i="12"/>
  <c r="R160" i="12"/>
  <c r="S160" i="12"/>
  <c r="T160" i="12"/>
  <c r="U160" i="12"/>
  <c r="V160" i="12"/>
  <c r="W160" i="12"/>
  <c r="C108" i="12"/>
  <c r="D108" i="12"/>
  <c r="E108" i="12"/>
  <c r="F108" i="12"/>
  <c r="G108" i="12"/>
  <c r="H108" i="12"/>
  <c r="I108" i="12"/>
  <c r="J108" i="12"/>
  <c r="K108" i="12"/>
  <c r="L108" i="12"/>
  <c r="M108" i="12"/>
  <c r="N108" i="12"/>
  <c r="O108" i="12"/>
  <c r="P108" i="12"/>
  <c r="Q108" i="12"/>
  <c r="R108" i="12"/>
  <c r="S108" i="12"/>
  <c r="T108" i="12"/>
  <c r="U108" i="12"/>
  <c r="V108" i="12"/>
  <c r="W108" i="12"/>
  <c r="C109" i="12"/>
  <c r="D109" i="12"/>
  <c r="E109" i="12"/>
  <c r="F109" i="12"/>
  <c r="G109" i="12"/>
  <c r="H109" i="12"/>
  <c r="I109" i="12"/>
  <c r="J109" i="12"/>
  <c r="K109" i="12"/>
  <c r="L109" i="12"/>
  <c r="M109" i="12"/>
  <c r="N109" i="12"/>
  <c r="O109" i="12"/>
  <c r="P109" i="12"/>
  <c r="Q109" i="12"/>
  <c r="R109" i="12"/>
  <c r="S109" i="12"/>
  <c r="T109" i="12"/>
  <c r="U109" i="12"/>
  <c r="V109" i="12"/>
  <c r="W109" i="12"/>
  <c r="C110" i="12"/>
  <c r="D110" i="12"/>
  <c r="E110" i="12"/>
  <c r="F110" i="12"/>
  <c r="G110" i="12"/>
  <c r="H110" i="12"/>
  <c r="I110" i="12"/>
  <c r="J110" i="12"/>
  <c r="K110" i="12"/>
  <c r="L110" i="12"/>
  <c r="M110" i="12"/>
  <c r="N110" i="12"/>
  <c r="O110" i="12"/>
  <c r="P110" i="12"/>
  <c r="Q110" i="12"/>
  <c r="R110" i="12"/>
  <c r="S110" i="12"/>
  <c r="T110" i="12"/>
  <c r="U110" i="12"/>
  <c r="V110" i="12"/>
  <c r="W110" i="12"/>
  <c r="C111" i="12"/>
  <c r="D111" i="12"/>
  <c r="E111" i="12"/>
  <c r="F111" i="12"/>
  <c r="G111" i="12"/>
  <c r="H111" i="12"/>
  <c r="I111" i="12"/>
  <c r="J111" i="12"/>
  <c r="K111" i="12"/>
  <c r="L111" i="12"/>
  <c r="M111" i="12"/>
  <c r="N111" i="12"/>
  <c r="O111" i="12"/>
  <c r="P111" i="12"/>
  <c r="Q111" i="12"/>
  <c r="R111" i="12"/>
  <c r="S111" i="12"/>
  <c r="T111" i="12"/>
  <c r="U111" i="12"/>
  <c r="V111" i="12"/>
  <c r="W111" i="12"/>
  <c r="C112" i="12"/>
  <c r="D112" i="12"/>
  <c r="E112" i="12"/>
  <c r="F112" i="12"/>
  <c r="G112" i="12"/>
  <c r="H112" i="12"/>
  <c r="I112" i="12"/>
  <c r="J112" i="12"/>
  <c r="K112" i="12"/>
  <c r="L112" i="12"/>
  <c r="M112" i="12"/>
  <c r="N112" i="12"/>
  <c r="O112" i="12"/>
  <c r="P112" i="12"/>
  <c r="Q112" i="12"/>
  <c r="R112" i="12"/>
  <c r="S112" i="12"/>
  <c r="T112" i="12"/>
  <c r="U112" i="12"/>
  <c r="V112" i="12"/>
  <c r="W112" i="12"/>
  <c r="C113" i="12"/>
  <c r="D113" i="12"/>
  <c r="E113" i="12"/>
  <c r="F113" i="12"/>
  <c r="G113" i="12"/>
  <c r="H113" i="12"/>
  <c r="I113" i="12"/>
  <c r="J113" i="12"/>
  <c r="K113" i="12"/>
  <c r="L113" i="12"/>
  <c r="M113" i="12"/>
  <c r="N113" i="12"/>
  <c r="O113" i="12"/>
  <c r="P113" i="12"/>
  <c r="Q113" i="12"/>
  <c r="R113" i="12"/>
  <c r="S113" i="12"/>
  <c r="T113" i="12"/>
  <c r="U113" i="12"/>
  <c r="V113" i="12"/>
  <c r="W113" i="12"/>
  <c r="C114" i="12"/>
  <c r="D114" i="12"/>
  <c r="E114" i="12"/>
  <c r="F114" i="12"/>
  <c r="G114" i="12"/>
  <c r="H114" i="12"/>
  <c r="I114" i="12"/>
  <c r="J114" i="12"/>
  <c r="K114" i="12"/>
  <c r="L114" i="12"/>
  <c r="M114" i="12"/>
  <c r="N114" i="12"/>
  <c r="O114" i="12"/>
  <c r="P114" i="12"/>
  <c r="Q114" i="12"/>
  <c r="R114" i="12"/>
  <c r="S114" i="12"/>
  <c r="T114" i="12"/>
  <c r="U114" i="12"/>
  <c r="V114" i="12"/>
  <c r="W114" i="12"/>
  <c r="C115" i="12"/>
  <c r="D115" i="12"/>
  <c r="E115" i="12"/>
  <c r="F115" i="12"/>
  <c r="G115" i="12"/>
  <c r="H115" i="12"/>
  <c r="I115" i="12"/>
  <c r="J115" i="12"/>
  <c r="K115" i="12"/>
  <c r="L115" i="12"/>
  <c r="M115" i="12"/>
  <c r="N115" i="12"/>
  <c r="O115" i="12"/>
  <c r="P115" i="12"/>
  <c r="Q115" i="12"/>
  <c r="R115" i="12"/>
  <c r="S115" i="12"/>
  <c r="T115" i="12"/>
  <c r="U115" i="12"/>
  <c r="V115" i="12"/>
  <c r="W115" i="12"/>
  <c r="C116" i="12"/>
  <c r="D116" i="12"/>
  <c r="E116" i="12"/>
  <c r="F116" i="12"/>
  <c r="G116" i="12"/>
  <c r="H116" i="12"/>
  <c r="I116" i="12"/>
  <c r="J116" i="12"/>
  <c r="K116" i="12"/>
  <c r="L116" i="12"/>
  <c r="M116" i="12"/>
  <c r="N116" i="12"/>
  <c r="O116" i="12"/>
  <c r="P116" i="12"/>
  <c r="Q116" i="12"/>
  <c r="R116" i="12"/>
  <c r="S116" i="12"/>
  <c r="T116" i="12"/>
  <c r="U116" i="12"/>
  <c r="V116" i="12"/>
  <c r="W116" i="12"/>
  <c r="C117" i="12"/>
  <c r="D117" i="12"/>
  <c r="E117" i="12"/>
  <c r="F117" i="12"/>
  <c r="G117" i="12"/>
  <c r="H117" i="12"/>
  <c r="I117" i="12"/>
  <c r="J117" i="12"/>
  <c r="K117" i="12"/>
  <c r="L117" i="12"/>
  <c r="M117" i="12"/>
  <c r="N117" i="12"/>
  <c r="O117" i="12"/>
  <c r="P117" i="12"/>
  <c r="Q117" i="12"/>
  <c r="R117" i="12"/>
  <c r="S117" i="12"/>
  <c r="T117" i="12"/>
  <c r="U117" i="12"/>
  <c r="V117" i="12"/>
  <c r="W117" i="12"/>
  <c r="C118" i="12"/>
  <c r="D118" i="12"/>
  <c r="E118" i="12"/>
  <c r="F118" i="12"/>
  <c r="G118" i="12"/>
  <c r="H118" i="12"/>
  <c r="I118" i="12"/>
  <c r="J118" i="12"/>
  <c r="K118" i="12"/>
  <c r="L118" i="12"/>
  <c r="M118" i="12"/>
  <c r="N118" i="12"/>
  <c r="O118" i="12"/>
  <c r="P118" i="12"/>
  <c r="Q118" i="12"/>
  <c r="R118" i="12"/>
  <c r="S118" i="12"/>
  <c r="T118" i="12"/>
  <c r="U118" i="12"/>
  <c r="V118" i="12"/>
  <c r="W118" i="12"/>
  <c r="C119" i="12"/>
  <c r="D119" i="12"/>
  <c r="E119" i="12"/>
  <c r="F119" i="12"/>
  <c r="G119" i="12"/>
  <c r="H119" i="12"/>
  <c r="I119" i="12"/>
  <c r="J119" i="12"/>
  <c r="K119" i="12"/>
  <c r="L119" i="12"/>
  <c r="M119" i="12"/>
  <c r="N119" i="12"/>
  <c r="O119" i="12"/>
  <c r="P119" i="12"/>
  <c r="Q119" i="12"/>
  <c r="R119" i="12"/>
  <c r="S119" i="12"/>
  <c r="T119" i="12"/>
  <c r="U119" i="12"/>
  <c r="V119" i="12"/>
  <c r="W119" i="12"/>
  <c r="C120" i="12"/>
  <c r="D120" i="12"/>
  <c r="E120" i="12"/>
  <c r="F120" i="12"/>
  <c r="G120" i="12"/>
  <c r="H120" i="12"/>
  <c r="I120" i="12"/>
  <c r="J120" i="12"/>
  <c r="K120" i="12"/>
  <c r="L120" i="12"/>
  <c r="M120" i="12"/>
  <c r="N120" i="12"/>
  <c r="O120" i="12"/>
  <c r="P120" i="12"/>
  <c r="Q120" i="12"/>
  <c r="R120" i="12"/>
  <c r="S120" i="12"/>
  <c r="T120" i="12"/>
  <c r="U120" i="12"/>
  <c r="V120" i="12"/>
  <c r="W120" i="12"/>
  <c r="C121" i="12"/>
  <c r="D121" i="12"/>
  <c r="E121" i="12"/>
  <c r="F121" i="12"/>
  <c r="G121" i="12"/>
  <c r="H121" i="12"/>
  <c r="I121" i="12"/>
  <c r="J121" i="12"/>
  <c r="K121" i="12"/>
  <c r="L121" i="12"/>
  <c r="M121" i="12"/>
  <c r="N121" i="12"/>
  <c r="O121" i="12"/>
  <c r="P121" i="12"/>
  <c r="Q121" i="12"/>
  <c r="R121" i="12"/>
  <c r="S121" i="12"/>
  <c r="T121" i="12"/>
  <c r="U121" i="12"/>
  <c r="V121" i="12"/>
  <c r="W121" i="12"/>
  <c r="C122" i="12"/>
  <c r="D122" i="12"/>
  <c r="E122" i="12"/>
  <c r="F122" i="12"/>
  <c r="G122" i="12"/>
  <c r="H122" i="12"/>
  <c r="I122" i="12"/>
  <c r="J122" i="12"/>
  <c r="K122" i="12"/>
  <c r="L122" i="12"/>
  <c r="M122" i="12"/>
  <c r="N122" i="12"/>
  <c r="O122" i="12"/>
  <c r="P122" i="12"/>
  <c r="Q122" i="12"/>
  <c r="R122" i="12"/>
  <c r="S122" i="12"/>
  <c r="T122" i="12"/>
  <c r="U122" i="12"/>
  <c r="V122" i="12"/>
  <c r="W122" i="12"/>
  <c r="C123" i="12"/>
  <c r="D123" i="12"/>
  <c r="E123" i="12"/>
  <c r="F123" i="12"/>
  <c r="G123" i="12"/>
  <c r="H123" i="12"/>
  <c r="I123" i="12"/>
  <c r="J123" i="12"/>
  <c r="K123" i="12"/>
  <c r="L123" i="12"/>
  <c r="M123" i="12"/>
  <c r="N123" i="12"/>
  <c r="O123" i="12"/>
  <c r="P123" i="12"/>
  <c r="Q123" i="12"/>
  <c r="R123" i="12"/>
  <c r="S123" i="12"/>
  <c r="T123" i="12"/>
  <c r="U123" i="12"/>
  <c r="V123" i="12"/>
  <c r="W123" i="12"/>
  <c r="C124" i="12"/>
  <c r="D124" i="12"/>
  <c r="E124" i="12"/>
  <c r="F124" i="12"/>
  <c r="G124" i="12"/>
  <c r="H124" i="12"/>
  <c r="I124" i="12"/>
  <c r="J124" i="12"/>
  <c r="K124" i="12"/>
  <c r="L124" i="12"/>
  <c r="M124" i="12"/>
  <c r="N124" i="12"/>
  <c r="O124" i="12"/>
  <c r="P124" i="12"/>
  <c r="Q124" i="12"/>
  <c r="R124" i="12"/>
  <c r="S124" i="12"/>
  <c r="T124" i="12"/>
  <c r="U124" i="12"/>
  <c r="V124" i="12"/>
  <c r="W124" i="12"/>
  <c r="C125" i="12"/>
  <c r="D125" i="12"/>
  <c r="E125" i="12"/>
  <c r="F125" i="12"/>
  <c r="G125" i="12"/>
  <c r="H125" i="12"/>
  <c r="I125" i="12"/>
  <c r="J125" i="12"/>
  <c r="K125" i="12"/>
  <c r="L125" i="12"/>
  <c r="M125" i="12"/>
  <c r="N125" i="12"/>
  <c r="O125" i="12"/>
  <c r="P125" i="12"/>
  <c r="Q125" i="12"/>
  <c r="R125" i="12"/>
  <c r="S125" i="12"/>
  <c r="T125" i="12"/>
  <c r="U125" i="12"/>
  <c r="V125" i="12"/>
  <c r="W125" i="12"/>
  <c r="C126" i="12"/>
  <c r="D126" i="12"/>
  <c r="E126" i="12"/>
  <c r="F126" i="12"/>
  <c r="G126" i="12"/>
  <c r="H126" i="12"/>
  <c r="I126" i="12"/>
  <c r="J126" i="12"/>
  <c r="K126" i="12"/>
  <c r="L126" i="12"/>
  <c r="M126" i="12"/>
  <c r="N126" i="12"/>
  <c r="O126" i="12"/>
  <c r="P126" i="12"/>
  <c r="Q126" i="12"/>
  <c r="R126" i="12"/>
  <c r="S126" i="12"/>
  <c r="T126" i="12"/>
  <c r="U126" i="12"/>
  <c r="V126" i="12"/>
  <c r="W126" i="12"/>
  <c r="C127" i="12"/>
  <c r="D127" i="12"/>
  <c r="E127" i="12"/>
  <c r="F127" i="12"/>
  <c r="G127" i="12"/>
  <c r="H127" i="12"/>
  <c r="I127" i="12"/>
  <c r="J127" i="12"/>
  <c r="K127" i="12"/>
  <c r="L127" i="12"/>
  <c r="M127" i="12"/>
  <c r="N127" i="12"/>
  <c r="O127" i="12"/>
  <c r="P127" i="12"/>
  <c r="Q127" i="12"/>
  <c r="R127" i="12"/>
  <c r="S127" i="12"/>
  <c r="T127" i="12"/>
  <c r="U127" i="12"/>
  <c r="V127" i="12"/>
  <c r="W127" i="12"/>
  <c r="C128" i="12"/>
  <c r="D128" i="12"/>
  <c r="E128" i="12"/>
  <c r="F128" i="12"/>
  <c r="G128" i="12"/>
  <c r="H128" i="12"/>
  <c r="I128" i="12"/>
  <c r="J128" i="12"/>
  <c r="K128" i="12"/>
  <c r="L128" i="12"/>
  <c r="M128" i="12"/>
  <c r="N128" i="12"/>
  <c r="O128" i="12"/>
  <c r="P128" i="12"/>
  <c r="Q128" i="12"/>
  <c r="R128" i="12"/>
  <c r="S128" i="12"/>
  <c r="T128" i="12"/>
  <c r="U128" i="12"/>
  <c r="V128" i="12"/>
  <c r="W128" i="12"/>
  <c r="C129" i="12"/>
  <c r="D129" i="12"/>
  <c r="E129" i="12"/>
  <c r="F129" i="12"/>
  <c r="G129" i="12"/>
  <c r="H129" i="12"/>
  <c r="I129" i="12"/>
  <c r="J129" i="12"/>
  <c r="K129" i="12"/>
  <c r="L129" i="12"/>
  <c r="M129" i="12"/>
  <c r="N129" i="12"/>
  <c r="O129" i="12"/>
  <c r="P129" i="12"/>
  <c r="Q129" i="12"/>
  <c r="R129" i="12"/>
  <c r="S129" i="12"/>
  <c r="T129" i="12"/>
  <c r="U129" i="12"/>
  <c r="V129" i="12"/>
  <c r="W129" i="12"/>
  <c r="C130" i="12"/>
  <c r="D130" i="12"/>
  <c r="E130" i="12"/>
  <c r="F130" i="12"/>
  <c r="G130" i="12"/>
  <c r="H130" i="12"/>
  <c r="I130" i="12"/>
  <c r="J130" i="12"/>
  <c r="K130" i="12"/>
  <c r="L130" i="12"/>
  <c r="M130" i="12"/>
  <c r="N130" i="12"/>
  <c r="O130" i="12"/>
  <c r="P130" i="12"/>
  <c r="Q130" i="12"/>
  <c r="R130" i="12"/>
  <c r="S130" i="12"/>
  <c r="T130" i="12"/>
  <c r="U130" i="12"/>
  <c r="V130" i="12"/>
  <c r="W130" i="12"/>
  <c r="C131" i="12"/>
  <c r="D131" i="12"/>
  <c r="E131" i="12"/>
  <c r="F131" i="12"/>
  <c r="G131" i="12"/>
  <c r="H131" i="12"/>
  <c r="I131" i="12"/>
  <c r="J131" i="12"/>
  <c r="K131" i="12"/>
  <c r="L131" i="12"/>
  <c r="M131" i="12"/>
  <c r="N131" i="12"/>
  <c r="O131" i="12"/>
  <c r="P131" i="12"/>
  <c r="Q131" i="12"/>
  <c r="R131" i="12"/>
  <c r="S131" i="12"/>
  <c r="T131" i="12"/>
  <c r="U131" i="12"/>
  <c r="V131" i="12"/>
  <c r="W131" i="12"/>
  <c r="C79" i="12"/>
  <c r="D79" i="12"/>
  <c r="E79" i="12"/>
  <c r="F79" i="12"/>
  <c r="G79" i="12"/>
  <c r="H79" i="12"/>
  <c r="I79" i="12"/>
  <c r="J79" i="12"/>
  <c r="K79" i="12"/>
  <c r="L79" i="12"/>
  <c r="M79" i="12"/>
  <c r="N79" i="12"/>
  <c r="O79" i="12"/>
  <c r="P79" i="12"/>
  <c r="Q79" i="12"/>
  <c r="R79" i="12"/>
  <c r="S79" i="12"/>
  <c r="T79" i="12"/>
  <c r="U79" i="12"/>
  <c r="V79" i="12"/>
  <c r="W79" i="12"/>
  <c r="C80" i="12"/>
  <c r="D80" i="12"/>
  <c r="E80" i="12"/>
  <c r="F80" i="12"/>
  <c r="G80" i="12"/>
  <c r="H80" i="12"/>
  <c r="I80" i="12"/>
  <c r="J80" i="12"/>
  <c r="K80" i="12"/>
  <c r="L80" i="12"/>
  <c r="M80" i="12"/>
  <c r="N80" i="12"/>
  <c r="O80" i="12"/>
  <c r="P80" i="12"/>
  <c r="Q80" i="12"/>
  <c r="R80" i="12"/>
  <c r="S80" i="12"/>
  <c r="T80" i="12"/>
  <c r="U80" i="12"/>
  <c r="V80" i="12"/>
  <c r="W80" i="12"/>
  <c r="C81" i="12"/>
  <c r="D81" i="12"/>
  <c r="E81" i="12"/>
  <c r="F81" i="12"/>
  <c r="G81" i="12"/>
  <c r="H81" i="12"/>
  <c r="I81" i="12"/>
  <c r="J81" i="12"/>
  <c r="K81" i="12"/>
  <c r="L81" i="12"/>
  <c r="M81" i="12"/>
  <c r="N81" i="12"/>
  <c r="O81" i="12"/>
  <c r="P81" i="12"/>
  <c r="Q81" i="12"/>
  <c r="R81" i="12"/>
  <c r="S81" i="12"/>
  <c r="T81" i="12"/>
  <c r="U81" i="12"/>
  <c r="V81" i="12"/>
  <c r="W81" i="12"/>
  <c r="C82" i="12"/>
  <c r="D82" i="12"/>
  <c r="E82" i="12"/>
  <c r="F82" i="12"/>
  <c r="G82" i="12"/>
  <c r="H82" i="12"/>
  <c r="I82" i="12"/>
  <c r="J82" i="12"/>
  <c r="K82" i="12"/>
  <c r="L82" i="12"/>
  <c r="M82" i="12"/>
  <c r="N82" i="12"/>
  <c r="O82" i="12"/>
  <c r="P82" i="12"/>
  <c r="Q82" i="12"/>
  <c r="R82" i="12"/>
  <c r="S82" i="12"/>
  <c r="T82" i="12"/>
  <c r="U82" i="12"/>
  <c r="V82" i="12"/>
  <c r="W82" i="12"/>
  <c r="C83" i="12"/>
  <c r="D83" i="12"/>
  <c r="E83" i="12"/>
  <c r="F83" i="12"/>
  <c r="G83" i="12"/>
  <c r="H83" i="12"/>
  <c r="I83" i="12"/>
  <c r="J83" i="12"/>
  <c r="K83" i="12"/>
  <c r="L83" i="12"/>
  <c r="M83" i="12"/>
  <c r="N83" i="12"/>
  <c r="O83" i="12"/>
  <c r="P83" i="12"/>
  <c r="Q83" i="12"/>
  <c r="R83" i="12"/>
  <c r="S83" i="12"/>
  <c r="T83" i="12"/>
  <c r="U83" i="12"/>
  <c r="V83" i="12"/>
  <c r="W83" i="12"/>
  <c r="C84" i="12"/>
  <c r="D84" i="12"/>
  <c r="E84" i="12"/>
  <c r="F84" i="12"/>
  <c r="G84" i="12"/>
  <c r="H84" i="12"/>
  <c r="I84" i="12"/>
  <c r="J84" i="12"/>
  <c r="K84" i="12"/>
  <c r="L84" i="12"/>
  <c r="M84" i="12"/>
  <c r="N84" i="12"/>
  <c r="O84" i="12"/>
  <c r="P84" i="12"/>
  <c r="Q84" i="12"/>
  <c r="R84" i="12"/>
  <c r="S84" i="12"/>
  <c r="T84" i="12"/>
  <c r="U84" i="12"/>
  <c r="V84" i="12"/>
  <c r="W84" i="12"/>
  <c r="C85" i="12"/>
  <c r="D85" i="12"/>
  <c r="E85" i="12"/>
  <c r="F85" i="12"/>
  <c r="G85" i="12"/>
  <c r="H85" i="12"/>
  <c r="I85" i="12"/>
  <c r="J85" i="12"/>
  <c r="K85" i="12"/>
  <c r="L85" i="12"/>
  <c r="M85" i="12"/>
  <c r="N85" i="12"/>
  <c r="O85" i="12"/>
  <c r="P85" i="12"/>
  <c r="Q85" i="12"/>
  <c r="R85" i="12"/>
  <c r="S85" i="12"/>
  <c r="T85" i="12"/>
  <c r="U85" i="12"/>
  <c r="V85" i="12"/>
  <c r="W85" i="12"/>
  <c r="C86" i="12"/>
  <c r="D86" i="12"/>
  <c r="E86" i="12"/>
  <c r="F86" i="12"/>
  <c r="G86" i="12"/>
  <c r="H86" i="12"/>
  <c r="I86" i="12"/>
  <c r="J86" i="12"/>
  <c r="K86" i="12"/>
  <c r="L86" i="12"/>
  <c r="M86" i="12"/>
  <c r="N86" i="12"/>
  <c r="O86" i="12"/>
  <c r="P86" i="12"/>
  <c r="Q86" i="12"/>
  <c r="R86" i="12"/>
  <c r="S86" i="12"/>
  <c r="T86" i="12"/>
  <c r="U86" i="12"/>
  <c r="V86" i="12"/>
  <c r="W86" i="12"/>
  <c r="C87" i="12"/>
  <c r="D87" i="12"/>
  <c r="E87" i="12"/>
  <c r="F87" i="12"/>
  <c r="G87" i="12"/>
  <c r="H87" i="12"/>
  <c r="I87" i="12"/>
  <c r="J87" i="12"/>
  <c r="K87" i="12"/>
  <c r="L87" i="12"/>
  <c r="M87" i="12"/>
  <c r="N87" i="12"/>
  <c r="O87" i="12"/>
  <c r="P87" i="12"/>
  <c r="Q87" i="12"/>
  <c r="R87" i="12"/>
  <c r="S87" i="12"/>
  <c r="T87" i="12"/>
  <c r="U87" i="12"/>
  <c r="V87" i="12"/>
  <c r="W87" i="12"/>
  <c r="C88" i="12"/>
  <c r="D88" i="12"/>
  <c r="E88" i="12"/>
  <c r="F88" i="12"/>
  <c r="G88" i="12"/>
  <c r="H88" i="12"/>
  <c r="I88" i="12"/>
  <c r="J88" i="12"/>
  <c r="K88" i="12"/>
  <c r="L88" i="12"/>
  <c r="M88" i="12"/>
  <c r="N88" i="12"/>
  <c r="O88" i="12"/>
  <c r="P88" i="12"/>
  <c r="Q88" i="12"/>
  <c r="R88" i="12"/>
  <c r="S88" i="12"/>
  <c r="T88" i="12"/>
  <c r="U88" i="12"/>
  <c r="V88" i="12"/>
  <c r="W88" i="12"/>
  <c r="C89" i="12"/>
  <c r="D89" i="12"/>
  <c r="E89" i="12"/>
  <c r="F89" i="12"/>
  <c r="G89" i="12"/>
  <c r="H89" i="12"/>
  <c r="I89" i="12"/>
  <c r="J89" i="12"/>
  <c r="K89" i="12"/>
  <c r="L89" i="12"/>
  <c r="M89" i="12"/>
  <c r="N89" i="12"/>
  <c r="O89" i="12"/>
  <c r="P89" i="12"/>
  <c r="Q89" i="12"/>
  <c r="R89" i="12"/>
  <c r="S89" i="12"/>
  <c r="T89" i="12"/>
  <c r="U89" i="12"/>
  <c r="V89" i="12"/>
  <c r="W89" i="12"/>
  <c r="C90" i="12"/>
  <c r="D90" i="12"/>
  <c r="E90" i="12"/>
  <c r="F90" i="12"/>
  <c r="G90" i="12"/>
  <c r="H90" i="12"/>
  <c r="I90" i="12"/>
  <c r="J90" i="12"/>
  <c r="K90" i="12"/>
  <c r="L90" i="12"/>
  <c r="M90" i="12"/>
  <c r="N90" i="12"/>
  <c r="O90" i="12"/>
  <c r="P90" i="12"/>
  <c r="Q90" i="12"/>
  <c r="R90" i="12"/>
  <c r="S90" i="12"/>
  <c r="T90" i="12"/>
  <c r="U90" i="12"/>
  <c r="V90" i="12"/>
  <c r="W90" i="12"/>
  <c r="C91" i="12"/>
  <c r="D91" i="12"/>
  <c r="E91" i="12"/>
  <c r="F91" i="12"/>
  <c r="G91" i="12"/>
  <c r="H91" i="12"/>
  <c r="I91" i="12"/>
  <c r="J91" i="12"/>
  <c r="K91" i="12"/>
  <c r="L91" i="12"/>
  <c r="M91" i="12"/>
  <c r="N91" i="12"/>
  <c r="O91" i="12"/>
  <c r="P91" i="12"/>
  <c r="Q91" i="12"/>
  <c r="R91" i="12"/>
  <c r="S91" i="12"/>
  <c r="T91" i="12"/>
  <c r="U91" i="12"/>
  <c r="V91" i="12"/>
  <c r="W91" i="12"/>
  <c r="C92" i="12"/>
  <c r="D92" i="12"/>
  <c r="E92" i="12"/>
  <c r="F92" i="12"/>
  <c r="G92" i="12"/>
  <c r="H92" i="12"/>
  <c r="I92" i="12"/>
  <c r="J92" i="12"/>
  <c r="K92" i="12"/>
  <c r="L92" i="12"/>
  <c r="M92" i="12"/>
  <c r="N92" i="12"/>
  <c r="O92" i="12"/>
  <c r="P92" i="12"/>
  <c r="Q92" i="12"/>
  <c r="R92" i="12"/>
  <c r="S92" i="12"/>
  <c r="T92" i="12"/>
  <c r="U92" i="12"/>
  <c r="V92" i="12"/>
  <c r="W92" i="12"/>
  <c r="C93" i="12"/>
  <c r="D93" i="12"/>
  <c r="E93" i="12"/>
  <c r="F93" i="12"/>
  <c r="G93" i="12"/>
  <c r="H93" i="12"/>
  <c r="I93" i="12"/>
  <c r="J93" i="12"/>
  <c r="K93" i="12"/>
  <c r="L93" i="12"/>
  <c r="M93" i="12"/>
  <c r="N93" i="12"/>
  <c r="O93" i="12"/>
  <c r="P93" i="12"/>
  <c r="Q93" i="12"/>
  <c r="R93" i="12"/>
  <c r="S93" i="12"/>
  <c r="T93" i="12"/>
  <c r="U93" i="12"/>
  <c r="V93" i="12"/>
  <c r="W93" i="12"/>
  <c r="C94" i="12"/>
  <c r="D94" i="12"/>
  <c r="E94" i="12"/>
  <c r="F94" i="12"/>
  <c r="G94" i="12"/>
  <c r="H94" i="12"/>
  <c r="I94" i="12"/>
  <c r="J94" i="12"/>
  <c r="K94" i="12"/>
  <c r="L94" i="12"/>
  <c r="M94" i="12"/>
  <c r="N94" i="12"/>
  <c r="O94" i="12"/>
  <c r="P94" i="12"/>
  <c r="Q94" i="12"/>
  <c r="R94" i="12"/>
  <c r="S94" i="12"/>
  <c r="T94" i="12"/>
  <c r="U94" i="12"/>
  <c r="V94" i="12"/>
  <c r="W94" i="12"/>
  <c r="C95" i="12"/>
  <c r="D95" i="12"/>
  <c r="E95" i="12"/>
  <c r="F95" i="12"/>
  <c r="G95" i="12"/>
  <c r="H95" i="12"/>
  <c r="I95" i="12"/>
  <c r="J95" i="12"/>
  <c r="K95" i="12"/>
  <c r="L95" i="12"/>
  <c r="M95" i="12"/>
  <c r="N95" i="12"/>
  <c r="O95" i="12"/>
  <c r="P95" i="12"/>
  <c r="Q95" i="12"/>
  <c r="R95" i="12"/>
  <c r="S95" i="12"/>
  <c r="T95" i="12"/>
  <c r="U95" i="12"/>
  <c r="V95" i="12"/>
  <c r="W95" i="12"/>
  <c r="C96" i="12"/>
  <c r="D96" i="12"/>
  <c r="E96" i="12"/>
  <c r="F96" i="12"/>
  <c r="G96" i="12"/>
  <c r="H96" i="12"/>
  <c r="I96" i="12"/>
  <c r="J96" i="12"/>
  <c r="K96" i="12"/>
  <c r="L96" i="12"/>
  <c r="M96" i="12"/>
  <c r="N96" i="12"/>
  <c r="O96" i="12"/>
  <c r="P96" i="12"/>
  <c r="Q96" i="12"/>
  <c r="R96" i="12"/>
  <c r="S96" i="12"/>
  <c r="T96" i="12"/>
  <c r="U96" i="12"/>
  <c r="V96" i="12"/>
  <c r="W96" i="12"/>
  <c r="C97" i="12"/>
  <c r="D97" i="12"/>
  <c r="E97" i="12"/>
  <c r="F97" i="12"/>
  <c r="G97" i="12"/>
  <c r="H97" i="12"/>
  <c r="I97" i="12"/>
  <c r="J97" i="12"/>
  <c r="K97" i="12"/>
  <c r="L97" i="12"/>
  <c r="M97" i="12"/>
  <c r="N97" i="12"/>
  <c r="O97" i="12"/>
  <c r="P97" i="12"/>
  <c r="Q97" i="12"/>
  <c r="R97" i="12"/>
  <c r="S97" i="12"/>
  <c r="T97" i="12"/>
  <c r="U97" i="12"/>
  <c r="V97" i="12"/>
  <c r="W97" i="12"/>
  <c r="C98" i="12"/>
  <c r="D98" i="12"/>
  <c r="E98" i="12"/>
  <c r="F98" i="12"/>
  <c r="G98" i="12"/>
  <c r="H98" i="12"/>
  <c r="I98" i="12"/>
  <c r="J98" i="12"/>
  <c r="K98" i="12"/>
  <c r="L98" i="12"/>
  <c r="M98" i="12"/>
  <c r="N98" i="12"/>
  <c r="O98" i="12"/>
  <c r="P98" i="12"/>
  <c r="Q98" i="12"/>
  <c r="R98" i="12"/>
  <c r="S98" i="12"/>
  <c r="T98" i="12"/>
  <c r="U98" i="12"/>
  <c r="V98" i="12"/>
  <c r="W98" i="12"/>
  <c r="C99" i="12"/>
  <c r="D99" i="12"/>
  <c r="E99" i="12"/>
  <c r="F99" i="12"/>
  <c r="G99" i="12"/>
  <c r="H99" i="12"/>
  <c r="I99" i="12"/>
  <c r="J99" i="12"/>
  <c r="K99" i="12"/>
  <c r="L99" i="12"/>
  <c r="M99" i="12"/>
  <c r="N99" i="12"/>
  <c r="O99" i="12"/>
  <c r="P99" i="12"/>
  <c r="Q99" i="12"/>
  <c r="R99" i="12"/>
  <c r="S99" i="12"/>
  <c r="T99" i="12"/>
  <c r="U99" i="12"/>
  <c r="V99" i="12"/>
  <c r="W99" i="12"/>
  <c r="C100" i="12"/>
  <c r="D100" i="12"/>
  <c r="E100" i="12"/>
  <c r="F100" i="12"/>
  <c r="G100" i="12"/>
  <c r="H100" i="12"/>
  <c r="I100" i="12"/>
  <c r="J100" i="12"/>
  <c r="K100" i="12"/>
  <c r="L100" i="12"/>
  <c r="M100" i="12"/>
  <c r="N100" i="12"/>
  <c r="O100" i="12"/>
  <c r="P100" i="12"/>
  <c r="Q100" i="12"/>
  <c r="R100" i="12"/>
  <c r="S100" i="12"/>
  <c r="T100" i="12"/>
  <c r="U100" i="12"/>
  <c r="V100" i="12"/>
  <c r="W100" i="12"/>
  <c r="C101" i="12"/>
  <c r="D101" i="12"/>
  <c r="E101" i="12"/>
  <c r="F101" i="12"/>
  <c r="G101" i="12"/>
  <c r="H101" i="12"/>
  <c r="I101" i="12"/>
  <c r="J101" i="12"/>
  <c r="K101" i="12"/>
  <c r="L101" i="12"/>
  <c r="M101" i="12"/>
  <c r="N101" i="12"/>
  <c r="O101" i="12"/>
  <c r="P101" i="12"/>
  <c r="Q101" i="12"/>
  <c r="R101" i="12"/>
  <c r="S101" i="12"/>
  <c r="T101" i="12"/>
  <c r="U101" i="12"/>
  <c r="V101" i="12"/>
  <c r="W101" i="12"/>
  <c r="C102" i="12"/>
  <c r="D102" i="12"/>
  <c r="E102" i="12"/>
  <c r="F102" i="12"/>
  <c r="G102" i="12"/>
  <c r="H102" i="12"/>
  <c r="I102" i="12"/>
  <c r="J102" i="12"/>
  <c r="K102" i="12"/>
  <c r="L102" i="12"/>
  <c r="M102" i="12"/>
  <c r="N102" i="12"/>
  <c r="O102" i="12"/>
  <c r="P102" i="12"/>
  <c r="Q102" i="12"/>
  <c r="R102" i="12"/>
  <c r="S102" i="12"/>
  <c r="T102" i="12"/>
  <c r="U102" i="12"/>
  <c r="V102" i="12"/>
  <c r="W102" i="12"/>
  <c r="C103" i="12"/>
  <c r="D103" i="12"/>
  <c r="E103" i="12"/>
  <c r="F103" i="12"/>
  <c r="G103" i="12"/>
  <c r="H103" i="12"/>
  <c r="I103" i="12"/>
  <c r="J103" i="12"/>
  <c r="K103" i="12"/>
  <c r="L103" i="12"/>
  <c r="M103" i="12"/>
  <c r="N103" i="12"/>
  <c r="O103" i="12"/>
  <c r="P103" i="12"/>
  <c r="Q103" i="12"/>
  <c r="R103" i="12"/>
  <c r="S103" i="12"/>
  <c r="T103" i="12"/>
  <c r="U103" i="12"/>
  <c r="V103" i="12"/>
  <c r="W103" i="12"/>
  <c r="C104" i="12"/>
  <c r="D104" i="12"/>
  <c r="E104" i="12"/>
  <c r="F104" i="12"/>
  <c r="G104" i="12"/>
  <c r="H104" i="12"/>
  <c r="I104" i="12"/>
  <c r="J104" i="12"/>
  <c r="K104" i="12"/>
  <c r="L104" i="12"/>
  <c r="M104" i="12"/>
  <c r="N104" i="12"/>
  <c r="O104" i="12"/>
  <c r="P104" i="12"/>
  <c r="Q104" i="12"/>
  <c r="R104" i="12"/>
  <c r="S104" i="12"/>
  <c r="T104" i="12"/>
  <c r="U104" i="12"/>
  <c r="V104" i="12"/>
  <c r="W104" i="12"/>
  <c r="C105" i="12"/>
  <c r="D105" i="12"/>
  <c r="E105" i="12"/>
  <c r="F105" i="12"/>
  <c r="G105" i="12"/>
  <c r="H105" i="12"/>
  <c r="I105" i="12"/>
  <c r="J105" i="12"/>
  <c r="K105" i="12"/>
  <c r="L105" i="12"/>
  <c r="M105" i="12"/>
  <c r="N105" i="12"/>
  <c r="O105" i="12"/>
  <c r="P105" i="12"/>
  <c r="Q105" i="12"/>
  <c r="R105" i="12"/>
  <c r="S105" i="12"/>
  <c r="T105" i="12"/>
  <c r="U105" i="12"/>
  <c r="V105" i="12"/>
  <c r="W105" i="12"/>
  <c r="C106" i="12"/>
  <c r="D106" i="12"/>
  <c r="E106" i="12"/>
  <c r="F106" i="12"/>
  <c r="G106" i="12"/>
  <c r="H106" i="12"/>
  <c r="I106" i="12"/>
  <c r="J106" i="12"/>
  <c r="K106" i="12"/>
  <c r="L106" i="12"/>
  <c r="M106" i="12"/>
  <c r="N106" i="12"/>
  <c r="O106" i="12"/>
  <c r="P106" i="12"/>
  <c r="Q106" i="12"/>
  <c r="R106" i="12"/>
  <c r="S106" i="12"/>
  <c r="T106" i="12"/>
  <c r="U106" i="12"/>
  <c r="V106" i="12"/>
  <c r="W106" i="12"/>
  <c r="C107" i="12"/>
  <c r="D107" i="12"/>
  <c r="E107" i="12"/>
  <c r="F107" i="12"/>
  <c r="G107" i="12"/>
  <c r="H107" i="12"/>
  <c r="I107" i="12"/>
  <c r="J107" i="12"/>
  <c r="K107" i="12"/>
  <c r="L107" i="12"/>
  <c r="M107" i="12"/>
  <c r="N107" i="12"/>
  <c r="O107" i="12"/>
  <c r="P107" i="12"/>
  <c r="Q107" i="12"/>
  <c r="R107" i="12"/>
  <c r="S107" i="12"/>
  <c r="T107" i="12"/>
  <c r="U107" i="12"/>
  <c r="V107" i="12"/>
  <c r="W107" i="12"/>
  <c r="C36" i="12"/>
  <c r="D36" i="12"/>
  <c r="E36" i="12"/>
  <c r="F36" i="12"/>
  <c r="G36" i="12"/>
  <c r="H36" i="12"/>
  <c r="I36" i="12"/>
  <c r="J36" i="12"/>
  <c r="K36" i="12"/>
  <c r="L36" i="12"/>
  <c r="M36" i="12"/>
  <c r="N36" i="12"/>
  <c r="O36" i="12"/>
  <c r="P36" i="12"/>
  <c r="Q36" i="12"/>
  <c r="R36" i="12"/>
  <c r="S36" i="12"/>
  <c r="T36" i="12"/>
  <c r="U36" i="12"/>
  <c r="V36" i="12"/>
  <c r="W36" i="12"/>
  <c r="C37" i="12"/>
  <c r="D37" i="12"/>
  <c r="E37" i="12"/>
  <c r="F37" i="12"/>
  <c r="G37" i="12"/>
  <c r="H37" i="12"/>
  <c r="I37" i="12"/>
  <c r="J37" i="12"/>
  <c r="K37" i="12"/>
  <c r="L37" i="12"/>
  <c r="M37" i="12"/>
  <c r="N37" i="12"/>
  <c r="O37" i="12"/>
  <c r="P37" i="12"/>
  <c r="Q37" i="12"/>
  <c r="R37" i="12"/>
  <c r="S37" i="12"/>
  <c r="T37" i="12"/>
  <c r="U37" i="12"/>
  <c r="V37" i="12"/>
  <c r="W37" i="12"/>
  <c r="C38" i="12"/>
  <c r="D38" i="12"/>
  <c r="E38" i="12"/>
  <c r="F38" i="12"/>
  <c r="G38" i="12"/>
  <c r="H38" i="12"/>
  <c r="I38" i="12"/>
  <c r="J38" i="12"/>
  <c r="K38" i="12"/>
  <c r="L38" i="12"/>
  <c r="M38" i="12"/>
  <c r="N38" i="12"/>
  <c r="O38" i="12"/>
  <c r="P38" i="12"/>
  <c r="Q38" i="12"/>
  <c r="R38" i="12"/>
  <c r="S38" i="12"/>
  <c r="T38" i="12"/>
  <c r="U38" i="12"/>
  <c r="V38" i="12"/>
  <c r="W38" i="12"/>
  <c r="C39" i="12"/>
  <c r="D39" i="12"/>
  <c r="E39" i="12"/>
  <c r="F39" i="12"/>
  <c r="G39" i="12"/>
  <c r="H39" i="12"/>
  <c r="I39" i="12"/>
  <c r="J39" i="12"/>
  <c r="K39" i="12"/>
  <c r="L39" i="12"/>
  <c r="M39" i="12"/>
  <c r="N39" i="12"/>
  <c r="O39" i="12"/>
  <c r="P39" i="12"/>
  <c r="Q39" i="12"/>
  <c r="R39" i="12"/>
  <c r="S39" i="12"/>
  <c r="T39" i="12"/>
  <c r="U39" i="12"/>
  <c r="V39" i="12"/>
  <c r="W39" i="12"/>
  <c r="C40" i="12"/>
  <c r="D40" i="12"/>
  <c r="E40" i="12"/>
  <c r="F40" i="12"/>
  <c r="G40" i="12"/>
  <c r="H40" i="12"/>
  <c r="I40" i="12"/>
  <c r="J40" i="12"/>
  <c r="K40" i="12"/>
  <c r="L40" i="12"/>
  <c r="M40" i="12"/>
  <c r="N40" i="12"/>
  <c r="O40" i="12"/>
  <c r="P40" i="12"/>
  <c r="Q40" i="12"/>
  <c r="R40" i="12"/>
  <c r="S40" i="12"/>
  <c r="T40" i="12"/>
  <c r="U40" i="12"/>
  <c r="V40" i="12"/>
  <c r="W40" i="12"/>
  <c r="C41" i="12"/>
  <c r="D41" i="12"/>
  <c r="E41" i="12"/>
  <c r="F41" i="12"/>
  <c r="G41" i="12"/>
  <c r="H41" i="12"/>
  <c r="I41" i="12"/>
  <c r="J41" i="12"/>
  <c r="K41" i="12"/>
  <c r="L41" i="12"/>
  <c r="M41" i="12"/>
  <c r="N41" i="12"/>
  <c r="O41" i="12"/>
  <c r="P41" i="12"/>
  <c r="Q41" i="12"/>
  <c r="R41" i="12"/>
  <c r="S41" i="12"/>
  <c r="T41" i="12"/>
  <c r="U41" i="12"/>
  <c r="V41" i="12"/>
  <c r="W41" i="12"/>
  <c r="C42" i="12"/>
  <c r="D42" i="12"/>
  <c r="E42" i="12"/>
  <c r="F42" i="12"/>
  <c r="G42" i="12"/>
  <c r="H42" i="12"/>
  <c r="I42" i="12"/>
  <c r="J42" i="12"/>
  <c r="K42" i="12"/>
  <c r="L42" i="12"/>
  <c r="M42" i="12"/>
  <c r="N42" i="12"/>
  <c r="O42" i="12"/>
  <c r="P42" i="12"/>
  <c r="Q42" i="12"/>
  <c r="R42" i="12"/>
  <c r="S42" i="12"/>
  <c r="T42" i="12"/>
  <c r="U42" i="12"/>
  <c r="V42" i="12"/>
  <c r="W42" i="12"/>
  <c r="C43" i="12"/>
  <c r="D43" i="12"/>
  <c r="E43" i="12"/>
  <c r="F43" i="12"/>
  <c r="G43" i="12"/>
  <c r="H43" i="12"/>
  <c r="I43" i="12"/>
  <c r="J43" i="12"/>
  <c r="K43" i="12"/>
  <c r="L43" i="12"/>
  <c r="M43" i="12"/>
  <c r="N43" i="12"/>
  <c r="O43" i="12"/>
  <c r="P43" i="12"/>
  <c r="Q43" i="12"/>
  <c r="R43" i="12"/>
  <c r="S43" i="12"/>
  <c r="T43" i="12"/>
  <c r="U43" i="12"/>
  <c r="V43" i="12"/>
  <c r="W43" i="12"/>
  <c r="C44" i="12"/>
  <c r="D44" i="12"/>
  <c r="E44" i="12"/>
  <c r="F44" i="12"/>
  <c r="G44" i="12"/>
  <c r="H44" i="12"/>
  <c r="I44" i="12"/>
  <c r="J44" i="12"/>
  <c r="K44" i="12"/>
  <c r="L44" i="12"/>
  <c r="M44" i="12"/>
  <c r="N44" i="12"/>
  <c r="O44" i="12"/>
  <c r="P44" i="12"/>
  <c r="Q44" i="12"/>
  <c r="R44" i="12"/>
  <c r="S44" i="12"/>
  <c r="T44" i="12"/>
  <c r="U44" i="12"/>
  <c r="V44" i="12"/>
  <c r="W44" i="12"/>
  <c r="C45" i="12"/>
  <c r="D45" i="12"/>
  <c r="E45" i="12"/>
  <c r="F45" i="12"/>
  <c r="G45" i="12"/>
  <c r="H45" i="12"/>
  <c r="I45" i="12"/>
  <c r="J45" i="12"/>
  <c r="K45" i="12"/>
  <c r="L45" i="12"/>
  <c r="M45" i="12"/>
  <c r="N45" i="12"/>
  <c r="O45" i="12"/>
  <c r="P45" i="12"/>
  <c r="Q45" i="12"/>
  <c r="R45" i="12"/>
  <c r="S45" i="12"/>
  <c r="T45" i="12"/>
  <c r="U45" i="12"/>
  <c r="V45" i="12"/>
  <c r="W45" i="12"/>
  <c r="C46" i="12"/>
  <c r="D46" i="12"/>
  <c r="E46" i="12"/>
  <c r="F46" i="12"/>
  <c r="G46" i="12"/>
  <c r="H46" i="12"/>
  <c r="I46" i="12"/>
  <c r="J46" i="12"/>
  <c r="K46" i="12"/>
  <c r="L46" i="12"/>
  <c r="M46" i="12"/>
  <c r="N46" i="12"/>
  <c r="O46" i="12"/>
  <c r="P46" i="12"/>
  <c r="Q46" i="12"/>
  <c r="R46" i="12"/>
  <c r="S46" i="12"/>
  <c r="T46" i="12"/>
  <c r="U46" i="12"/>
  <c r="V46" i="12"/>
  <c r="W46" i="12"/>
  <c r="C47" i="12"/>
  <c r="D47" i="12"/>
  <c r="E47" i="12"/>
  <c r="F47" i="12"/>
  <c r="G47" i="12"/>
  <c r="H47" i="12"/>
  <c r="I47" i="12"/>
  <c r="J47" i="12"/>
  <c r="K47" i="12"/>
  <c r="L47" i="12"/>
  <c r="M47" i="12"/>
  <c r="N47" i="12"/>
  <c r="O47" i="12"/>
  <c r="P47" i="12"/>
  <c r="Q47" i="12"/>
  <c r="R47" i="12"/>
  <c r="S47" i="12"/>
  <c r="T47" i="12"/>
  <c r="U47" i="12"/>
  <c r="V47" i="12"/>
  <c r="W47" i="12"/>
  <c r="C48" i="12"/>
  <c r="D48" i="12"/>
  <c r="E48" i="12"/>
  <c r="F48" i="12"/>
  <c r="G48" i="12"/>
  <c r="H48" i="12"/>
  <c r="I48" i="12"/>
  <c r="J48" i="12"/>
  <c r="K48" i="12"/>
  <c r="L48" i="12"/>
  <c r="M48" i="12"/>
  <c r="N48" i="12"/>
  <c r="O48" i="12"/>
  <c r="P48" i="12"/>
  <c r="Q48" i="12"/>
  <c r="R48" i="12"/>
  <c r="S48" i="12"/>
  <c r="T48" i="12"/>
  <c r="U48" i="12"/>
  <c r="V48" i="12"/>
  <c r="W48" i="12"/>
  <c r="C49" i="12"/>
  <c r="D49" i="12"/>
  <c r="E49" i="12"/>
  <c r="F49" i="12"/>
  <c r="G49" i="12"/>
  <c r="H49" i="12"/>
  <c r="I49" i="12"/>
  <c r="J49" i="12"/>
  <c r="K49" i="12"/>
  <c r="L49" i="12"/>
  <c r="M49" i="12"/>
  <c r="N49" i="12"/>
  <c r="O49" i="12"/>
  <c r="P49" i="12"/>
  <c r="Q49" i="12"/>
  <c r="R49" i="12"/>
  <c r="S49" i="12"/>
  <c r="T49" i="12"/>
  <c r="U49" i="12"/>
  <c r="V49" i="12"/>
  <c r="W49" i="12"/>
  <c r="C50" i="12"/>
  <c r="D50" i="12"/>
  <c r="E50" i="12"/>
  <c r="F50" i="12"/>
  <c r="G50" i="12"/>
  <c r="H50" i="12"/>
  <c r="I50" i="12"/>
  <c r="J50" i="12"/>
  <c r="K50" i="12"/>
  <c r="L50" i="12"/>
  <c r="M50" i="12"/>
  <c r="N50" i="12"/>
  <c r="O50" i="12"/>
  <c r="P50" i="12"/>
  <c r="Q50" i="12"/>
  <c r="R50" i="12"/>
  <c r="S50" i="12"/>
  <c r="T50" i="12"/>
  <c r="U50" i="12"/>
  <c r="V50" i="12"/>
  <c r="W50" i="12"/>
  <c r="C51" i="12"/>
  <c r="D51" i="12"/>
  <c r="E51" i="12"/>
  <c r="F51" i="12"/>
  <c r="G51" i="12"/>
  <c r="H51" i="12"/>
  <c r="I51" i="12"/>
  <c r="J51" i="12"/>
  <c r="K51" i="12"/>
  <c r="L51" i="12"/>
  <c r="M51" i="12"/>
  <c r="N51" i="12"/>
  <c r="O51" i="12"/>
  <c r="P51" i="12"/>
  <c r="Q51" i="12"/>
  <c r="R51" i="12"/>
  <c r="S51" i="12"/>
  <c r="T51" i="12"/>
  <c r="U51" i="12"/>
  <c r="V51" i="12"/>
  <c r="W51" i="12"/>
  <c r="C52" i="12"/>
  <c r="D52" i="12"/>
  <c r="E52" i="12"/>
  <c r="F52" i="12"/>
  <c r="G52" i="12"/>
  <c r="H52" i="12"/>
  <c r="I52" i="12"/>
  <c r="J52" i="12"/>
  <c r="K52" i="12"/>
  <c r="L52" i="12"/>
  <c r="M52" i="12"/>
  <c r="N52" i="12"/>
  <c r="O52" i="12"/>
  <c r="P52" i="12"/>
  <c r="Q52" i="12"/>
  <c r="R52" i="12"/>
  <c r="S52" i="12"/>
  <c r="T52" i="12"/>
  <c r="U52" i="12"/>
  <c r="V52" i="12"/>
  <c r="W52" i="12"/>
  <c r="C53" i="12"/>
  <c r="D53" i="12"/>
  <c r="E53" i="12"/>
  <c r="F53" i="12"/>
  <c r="G53" i="12"/>
  <c r="H53" i="12"/>
  <c r="I53" i="12"/>
  <c r="J53" i="12"/>
  <c r="K53" i="12"/>
  <c r="L53" i="12"/>
  <c r="M53" i="12"/>
  <c r="N53" i="12"/>
  <c r="O53" i="12"/>
  <c r="P53" i="12"/>
  <c r="Q53" i="12"/>
  <c r="R53" i="12"/>
  <c r="S53" i="12"/>
  <c r="T53" i="12"/>
  <c r="U53" i="12"/>
  <c r="V53" i="12"/>
  <c r="W53" i="12"/>
  <c r="C54" i="12"/>
  <c r="D54" i="12"/>
  <c r="E54" i="12"/>
  <c r="F54" i="12"/>
  <c r="G54" i="12"/>
  <c r="H54" i="12"/>
  <c r="I54" i="12"/>
  <c r="J54" i="12"/>
  <c r="K54" i="12"/>
  <c r="L54" i="12"/>
  <c r="M54" i="12"/>
  <c r="N54" i="12"/>
  <c r="O54" i="12"/>
  <c r="P54" i="12"/>
  <c r="Q54" i="12"/>
  <c r="R54" i="12"/>
  <c r="S54" i="12"/>
  <c r="T54" i="12"/>
  <c r="U54" i="12"/>
  <c r="V54" i="12"/>
  <c r="W54" i="12"/>
  <c r="C55" i="12"/>
  <c r="D55" i="12"/>
  <c r="E55" i="12"/>
  <c r="F55" i="12"/>
  <c r="G55" i="12"/>
  <c r="H55" i="12"/>
  <c r="I55" i="12"/>
  <c r="J55" i="12"/>
  <c r="K55" i="12"/>
  <c r="L55" i="12"/>
  <c r="M55" i="12"/>
  <c r="N55" i="12"/>
  <c r="O55" i="12"/>
  <c r="P55" i="12"/>
  <c r="Q55" i="12"/>
  <c r="R55" i="12"/>
  <c r="S55" i="12"/>
  <c r="T55" i="12"/>
  <c r="U55" i="12"/>
  <c r="V55" i="12"/>
  <c r="W55" i="12"/>
  <c r="C56" i="12"/>
  <c r="D56" i="12"/>
  <c r="E56" i="12"/>
  <c r="F56" i="12"/>
  <c r="G56" i="12"/>
  <c r="H56" i="12"/>
  <c r="I56" i="12"/>
  <c r="J56" i="12"/>
  <c r="K56" i="12"/>
  <c r="L56" i="12"/>
  <c r="M56" i="12"/>
  <c r="N56" i="12"/>
  <c r="O56" i="12"/>
  <c r="P56" i="12"/>
  <c r="Q56" i="12"/>
  <c r="R56" i="12"/>
  <c r="S56" i="12"/>
  <c r="T56" i="12"/>
  <c r="U56" i="12"/>
  <c r="V56" i="12"/>
  <c r="W56" i="12"/>
  <c r="C57" i="12"/>
  <c r="D57" i="12"/>
  <c r="E57" i="12"/>
  <c r="F57" i="12"/>
  <c r="G57" i="12"/>
  <c r="H57" i="12"/>
  <c r="I57" i="12"/>
  <c r="J57" i="12"/>
  <c r="K57" i="12"/>
  <c r="L57" i="12"/>
  <c r="M57" i="12"/>
  <c r="N57" i="12"/>
  <c r="O57" i="12"/>
  <c r="P57" i="12"/>
  <c r="Q57" i="12"/>
  <c r="R57" i="12"/>
  <c r="S57" i="12"/>
  <c r="T57" i="12"/>
  <c r="U57" i="12"/>
  <c r="V57" i="12"/>
  <c r="W57" i="12"/>
  <c r="C58" i="12"/>
  <c r="D58" i="12"/>
  <c r="E58" i="12"/>
  <c r="F58" i="12"/>
  <c r="G58" i="12"/>
  <c r="H58" i="12"/>
  <c r="I58" i="12"/>
  <c r="J58" i="12"/>
  <c r="K58" i="12"/>
  <c r="L58" i="12"/>
  <c r="M58" i="12"/>
  <c r="N58" i="12"/>
  <c r="O58" i="12"/>
  <c r="P58" i="12"/>
  <c r="Q58" i="12"/>
  <c r="R58" i="12"/>
  <c r="S58" i="12"/>
  <c r="T58" i="12"/>
  <c r="U58" i="12"/>
  <c r="V58" i="12"/>
  <c r="W58" i="12"/>
  <c r="C59" i="12"/>
  <c r="D59" i="12"/>
  <c r="E59" i="12"/>
  <c r="F59" i="12"/>
  <c r="G59" i="12"/>
  <c r="H59" i="12"/>
  <c r="I59" i="12"/>
  <c r="J59" i="12"/>
  <c r="K59" i="12"/>
  <c r="L59" i="12"/>
  <c r="M59" i="12"/>
  <c r="N59" i="12"/>
  <c r="O59" i="12"/>
  <c r="P59" i="12"/>
  <c r="Q59" i="12"/>
  <c r="R59" i="12"/>
  <c r="S59" i="12"/>
  <c r="T59" i="12"/>
  <c r="U59" i="12"/>
  <c r="V59" i="12"/>
  <c r="W59" i="12"/>
  <c r="C60" i="12"/>
  <c r="D60" i="12"/>
  <c r="E60" i="12"/>
  <c r="F60" i="12"/>
  <c r="G60" i="12"/>
  <c r="H60" i="12"/>
  <c r="I60" i="12"/>
  <c r="J60" i="12"/>
  <c r="K60" i="12"/>
  <c r="L60" i="12"/>
  <c r="M60" i="12"/>
  <c r="N60" i="12"/>
  <c r="O60" i="12"/>
  <c r="P60" i="12"/>
  <c r="Q60" i="12"/>
  <c r="R60" i="12"/>
  <c r="S60" i="12"/>
  <c r="T60" i="12"/>
  <c r="U60" i="12"/>
  <c r="V60" i="12"/>
  <c r="W60" i="12"/>
  <c r="C61" i="12"/>
  <c r="D61" i="12"/>
  <c r="E61" i="12"/>
  <c r="F61" i="12"/>
  <c r="G61" i="12"/>
  <c r="H61" i="12"/>
  <c r="I61" i="12"/>
  <c r="J61" i="12"/>
  <c r="K61" i="12"/>
  <c r="L61" i="12"/>
  <c r="M61" i="12"/>
  <c r="N61" i="12"/>
  <c r="O61" i="12"/>
  <c r="P61" i="12"/>
  <c r="Q61" i="12"/>
  <c r="R61" i="12"/>
  <c r="S61" i="12"/>
  <c r="T61" i="12"/>
  <c r="U61" i="12"/>
  <c r="V61" i="12"/>
  <c r="W61" i="12"/>
  <c r="C62" i="12"/>
  <c r="D62" i="12"/>
  <c r="E62" i="12"/>
  <c r="F62" i="12"/>
  <c r="G62" i="12"/>
  <c r="H62" i="12"/>
  <c r="I62" i="12"/>
  <c r="J62" i="12"/>
  <c r="K62" i="12"/>
  <c r="L62" i="12"/>
  <c r="M62" i="12"/>
  <c r="N62" i="12"/>
  <c r="O62" i="12"/>
  <c r="P62" i="12"/>
  <c r="Q62" i="12"/>
  <c r="R62" i="12"/>
  <c r="S62" i="12"/>
  <c r="T62" i="12"/>
  <c r="U62" i="12"/>
  <c r="V62" i="12"/>
  <c r="W62" i="12"/>
  <c r="C63" i="12"/>
  <c r="D63" i="12"/>
  <c r="E63" i="12"/>
  <c r="F63" i="12"/>
  <c r="G63" i="12"/>
  <c r="H63" i="12"/>
  <c r="I63" i="12"/>
  <c r="J63" i="12"/>
  <c r="K63" i="12"/>
  <c r="L63" i="12"/>
  <c r="M63" i="12"/>
  <c r="N63" i="12"/>
  <c r="O63" i="12"/>
  <c r="P63" i="12"/>
  <c r="Q63" i="12"/>
  <c r="R63" i="12"/>
  <c r="S63" i="12"/>
  <c r="T63" i="12"/>
  <c r="U63" i="12"/>
  <c r="V63" i="12"/>
  <c r="W63" i="12"/>
  <c r="C64" i="12"/>
  <c r="D64" i="12"/>
  <c r="E64" i="12"/>
  <c r="F64" i="12"/>
  <c r="G64" i="12"/>
  <c r="H64" i="12"/>
  <c r="I64" i="12"/>
  <c r="J64" i="12"/>
  <c r="K64" i="12"/>
  <c r="L64" i="12"/>
  <c r="M64" i="12"/>
  <c r="N64" i="12"/>
  <c r="O64" i="12"/>
  <c r="P64" i="12"/>
  <c r="Q64" i="12"/>
  <c r="R64" i="12"/>
  <c r="S64" i="12"/>
  <c r="T64" i="12"/>
  <c r="U64" i="12"/>
  <c r="V64" i="12"/>
  <c r="W64" i="12"/>
  <c r="C65" i="12"/>
  <c r="D65" i="12"/>
  <c r="E65" i="12"/>
  <c r="F65" i="12"/>
  <c r="G65" i="12"/>
  <c r="H65" i="12"/>
  <c r="I65" i="12"/>
  <c r="J65" i="12"/>
  <c r="K65" i="12"/>
  <c r="L65" i="12"/>
  <c r="M65" i="12"/>
  <c r="N65" i="12"/>
  <c r="O65" i="12"/>
  <c r="P65" i="12"/>
  <c r="Q65" i="12"/>
  <c r="R65" i="12"/>
  <c r="S65" i="12"/>
  <c r="T65" i="12"/>
  <c r="U65" i="12"/>
  <c r="V65" i="12"/>
  <c r="W65" i="12"/>
  <c r="C66" i="12"/>
  <c r="D66" i="12"/>
  <c r="E66" i="12"/>
  <c r="F66" i="12"/>
  <c r="G66" i="12"/>
  <c r="H66" i="12"/>
  <c r="I66" i="12"/>
  <c r="J66" i="12"/>
  <c r="K66" i="12"/>
  <c r="L66" i="12"/>
  <c r="M66" i="12"/>
  <c r="N66" i="12"/>
  <c r="O66" i="12"/>
  <c r="P66" i="12"/>
  <c r="Q66" i="12"/>
  <c r="R66" i="12"/>
  <c r="S66" i="12"/>
  <c r="T66" i="12"/>
  <c r="U66" i="12"/>
  <c r="V66" i="12"/>
  <c r="W66" i="12"/>
  <c r="C67" i="12"/>
  <c r="D67" i="12"/>
  <c r="E67" i="12"/>
  <c r="F67" i="12"/>
  <c r="G67" i="12"/>
  <c r="H67" i="12"/>
  <c r="I67" i="12"/>
  <c r="J67" i="12"/>
  <c r="K67" i="12"/>
  <c r="L67" i="12"/>
  <c r="M67" i="12"/>
  <c r="N67" i="12"/>
  <c r="O67" i="12"/>
  <c r="P67" i="12"/>
  <c r="Q67" i="12"/>
  <c r="R67" i="12"/>
  <c r="S67" i="12"/>
  <c r="T67" i="12"/>
  <c r="U67" i="12"/>
  <c r="V67" i="12"/>
  <c r="W67" i="12"/>
  <c r="C68" i="12"/>
  <c r="D68" i="12"/>
  <c r="E68" i="12"/>
  <c r="F68" i="12"/>
  <c r="G68" i="12"/>
  <c r="H68" i="12"/>
  <c r="I68" i="12"/>
  <c r="J68" i="12"/>
  <c r="K68" i="12"/>
  <c r="L68" i="12"/>
  <c r="M68" i="12"/>
  <c r="N68" i="12"/>
  <c r="O68" i="12"/>
  <c r="P68" i="12"/>
  <c r="Q68" i="12"/>
  <c r="R68" i="12"/>
  <c r="S68" i="12"/>
  <c r="T68" i="12"/>
  <c r="U68" i="12"/>
  <c r="V68" i="12"/>
  <c r="W68" i="12"/>
  <c r="C69" i="12"/>
  <c r="D69" i="12"/>
  <c r="E69" i="12"/>
  <c r="F69" i="12"/>
  <c r="G69" i="12"/>
  <c r="H69" i="12"/>
  <c r="I69" i="12"/>
  <c r="J69" i="12"/>
  <c r="K69" i="12"/>
  <c r="L69" i="12"/>
  <c r="M69" i="12"/>
  <c r="N69" i="12"/>
  <c r="O69" i="12"/>
  <c r="P69" i="12"/>
  <c r="Q69" i="12"/>
  <c r="R69" i="12"/>
  <c r="S69" i="12"/>
  <c r="T69" i="12"/>
  <c r="U69" i="12"/>
  <c r="V69" i="12"/>
  <c r="W69" i="12"/>
  <c r="C70" i="12"/>
  <c r="D70" i="12"/>
  <c r="E70" i="12"/>
  <c r="F70" i="12"/>
  <c r="G70" i="12"/>
  <c r="H70" i="12"/>
  <c r="I70" i="12"/>
  <c r="J70" i="12"/>
  <c r="K70" i="12"/>
  <c r="L70" i="12"/>
  <c r="M70" i="12"/>
  <c r="N70" i="12"/>
  <c r="O70" i="12"/>
  <c r="P70" i="12"/>
  <c r="Q70" i="12"/>
  <c r="R70" i="12"/>
  <c r="S70" i="12"/>
  <c r="T70" i="12"/>
  <c r="U70" i="12"/>
  <c r="V70" i="12"/>
  <c r="W70" i="12"/>
  <c r="C71" i="12"/>
  <c r="D71" i="12"/>
  <c r="E71" i="12"/>
  <c r="F71" i="12"/>
  <c r="G71" i="12"/>
  <c r="H71" i="12"/>
  <c r="I71" i="12"/>
  <c r="J71" i="12"/>
  <c r="K71" i="12"/>
  <c r="L71" i="12"/>
  <c r="M71" i="12"/>
  <c r="N71" i="12"/>
  <c r="O71" i="12"/>
  <c r="P71" i="12"/>
  <c r="Q71" i="12"/>
  <c r="R71" i="12"/>
  <c r="S71" i="12"/>
  <c r="T71" i="12"/>
  <c r="U71" i="12"/>
  <c r="V71" i="12"/>
  <c r="W71" i="12"/>
  <c r="C72" i="12"/>
  <c r="D72" i="12"/>
  <c r="E72" i="12"/>
  <c r="F72" i="12"/>
  <c r="G72" i="12"/>
  <c r="H72" i="12"/>
  <c r="I72" i="12"/>
  <c r="J72" i="12"/>
  <c r="K72" i="12"/>
  <c r="L72" i="12"/>
  <c r="M72" i="12"/>
  <c r="N72" i="12"/>
  <c r="O72" i="12"/>
  <c r="P72" i="12"/>
  <c r="Q72" i="12"/>
  <c r="R72" i="12"/>
  <c r="S72" i="12"/>
  <c r="T72" i="12"/>
  <c r="U72" i="12"/>
  <c r="V72" i="12"/>
  <c r="W72" i="12"/>
  <c r="C73" i="12"/>
  <c r="D73" i="12"/>
  <c r="E73" i="12"/>
  <c r="F73" i="12"/>
  <c r="G73" i="12"/>
  <c r="H73" i="12"/>
  <c r="I73" i="12"/>
  <c r="J73" i="12"/>
  <c r="K73" i="12"/>
  <c r="L73" i="12"/>
  <c r="M73" i="12"/>
  <c r="N73" i="12"/>
  <c r="O73" i="12"/>
  <c r="P73" i="12"/>
  <c r="Q73" i="12"/>
  <c r="R73" i="12"/>
  <c r="S73" i="12"/>
  <c r="T73" i="12"/>
  <c r="U73" i="12"/>
  <c r="V73" i="12"/>
  <c r="W73" i="12"/>
  <c r="C74" i="12"/>
  <c r="D74" i="12"/>
  <c r="E74" i="12"/>
  <c r="F74" i="12"/>
  <c r="G74" i="12"/>
  <c r="H74" i="12"/>
  <c r="I74" i="12"/>
  <c r="J74" i="12"/>
  <c r="K74" i="12"/>
  <c r="L74" i="12"/>
  <c r="M74" i="12"/>
  <c r="N74" i="12"/>
  <c r="O74" i="12"/>
  <c r="P74" i="12"/>
  <c r="Q74" i="12"/>
  <c r="R74" i="12"/>
  <c r="S74" i="12"/>
  <c r="T74" i="12"/>
  <c r="U74" i="12"/>
  <c r="V74" i="12"/>
  <c r="W74" i="12"/>
  <c r="C75" i="12"/>
  <c r="D75" i="12"/>
  <c r="E75" i="12"/>
  <c r="F75" i="12"/>
  <c r="G75" i="12"/>
  <c r="H75" i="12"/>
  <c r="I75" i="12"/>
  <c r="J75" i="12"/>
  <c r="K75" i="12"/>
  <c r="L75" i="12"/>
  <c r="M75" i="12"/>
  <c r="N75" i="12"/>
  <c r="O75" i="12"/>
  <c r="P75" i="12"/>
  <c r="Q75" i="12"/>
  <c r="R75" i="12"/>
  <c r="S75" i="12"/>
  <c r="T75" i="12"/>
  <c r="U75" i="12"/>
  <c r="V75" i="12"/>
  <c r="W75" i="12"/>
  <c r="C76" i="12"/>
  <c r="D76" i="12"/>
  <c r="E76" i="12"/>
  <c r="F76" i="12"/>
  <c r="G76" i="12"/>
  <c r="H76" i="12"/>
  <c r="I76" i="12"/>
  <c r="J76" i="12"/>
  <c r="K76" i="12"/>
  <c r="L76" i="12"/>
  <c r="M76" i="12"/>
  <c r="N76" i="12"/>
  <c r="O76" i="12"/>
  <c r="P76" i="12"/>
  <c r="Q76" i="12"/>
  <c r="R76" i="12"/>
  <c r="S76" i="12"/>
  <c r="T76" i="12"/>
  <c r="U76" i="12"/>
  <c r="V76" i="12"/>
  <c r="W76" i="12"/>
  <c r="C77" i="12"/>
  <c r="D77" i="12"/>
  <c r="E77" i="12"/>
  <c r="F77" i="12"/>
  <c r="G77" i="12"/>
  <c r="H77" i="12"/>
  <c r="I77" i="12"/>
  <c r="J77" i="12"/>
  <c r="K77" i="12"/>
  <c r="L77" i="12"/>
  <c r="M77" i="12"/>
  <c r="N77" i="12"/>
  <c r="O77" i="12"/>
  <c r="P77" i="12"/>
  <c r="Q77" i="12"/>
  <c r="R77" i="12"/>
  <c r="S77" i="12"/>
  <c r="T77" i="12"/>
  <c r="U77" i="12"/>
  <c r="V77" i="12"/>
  <c r="W77" i="12"/>
  <c r="C78" i="12"/>
  <c r="D78" i="12"/>
  <c r="E78" i="12"/>
  <c r="F78" i="12"/>
  <c r="G78" i="12"/>
  <c r="H78" i="12"/>
  <c r="I78" i="12"/>
  <c r="J78" i="12"/>
  <c r="K78" i="12"/>
  <c r="L78" i="12"/>
  <c r="M78" i="12"/>
  <c r="N78" i="12"/>
  <c r="O78" i="12"/>
  <c r="P78" i="12"/>
  <c r="Q78" i="12"/>
  <c r="R78" i="12"/>
  <c r="S78" i="12"/>
  <c r="T78" i="12"/>
  <c r="U78" i="12"/>
  <c r="V78" i="12"/>
  <c r="W78" i="12"/>
  <c r="D35" i="12"/>
  <c r="E35" i="12"/>
  <c r="F35" i="12"/>
  <c r="G35" i="12"/>
  <c r="H35" i="12"/>
  <c r="I35" i="12"/>
  <c r="J35" i="12"/>
  <c r="K35" i="12"/>
  <c r="L35" i="12"/>
  <c r="M35" i="12"/>
  <c r="N35" i="12"/>
  <c r="O35" i="12"/>
  <c r="P35" i="12"/>
  <c r="Q35" i="12"/>
  <c r="R35" i="12"/>
  <c r="S35" i="12"/>
  <c r="T35" i="12"/>
  <c r="U35" i="12"/>
  <c r="V35" i="12"/>
  <c r="W35" i="12"/>
  <c r="C35" i="12"/>
  <c r="C11" i="12" l="1"/>
  <c r="D11" i="12"/>
  <c r="E11" i="12"/>
  <c r="F11" i="12"/>
  <c r="G11" i="12"/>
  <c r="H11" i="12"/>
  <c r="I11" i="12"/>
  <c r="J11" i="12"/>
  <c r="K11" i="12"/>
  <c r="L11" i="12"/>
  <c r="M11" i="12"/>
  <c r="N11" i="12"/>
  <c r="O11" i="12"/>
  <c r="P11" i="12"/>
  <c r="Q11" i="12"/>
  <c r="C12" i="12"/>
  <c r="D12" i="12"/>
  <c r="E12" i="12"/>
  <c r="F12" i="12"/>
  <c r="G12" i="12"/>
  <c r="H12" i="12"/>
  <c r="I12" i="12"/>
  <c r="J12" i="12"/>
  <c r="K12" i="12"/>
  <c r="L12" i="12"/>
  <c r="M12" i="12"/>
  <c r="N12" i="12"/>
  <c r="O12" i="12"/>
  <c r="P12" i="12"/>
  <c r="Q12" i="12"/>
  <c r="C13" i="12"/>
  <c r="D13" i="12"/>
  <c r="E13" i="12"/>
  <c r="F13" i="12"/>
  <c r="G13" i="12"/>
  <c r="H13" i="12"/>
  <c r="I13" i="12"/>
  <c r="J13" i="12"/>
  <c r="K13" i="12"/>
  <c r="L13" i="12"/>
  <c r="M13" i="12"/>
  <c r="N13" i="12"/>
  <c r="O13" i="12"/>
  <c r="P13" i="12"/>
  <c r="Q13" i="12"/>
  <c r="C14" i="12"/>
  <c r="D14" i="12"/>
  <c r="E14" i="12"/>
  <c r="F14" i="12"/>
  <c r="G14" i="12"/>
  <c r="H14" i="12"/>
  <c r="I14" i="12"/>
  <c r="J14" i="12"/>
  <c r="K14" i="12"/>
  <c r="L14" i="12"/>
  <c r="M14" i="12"/>
  <c r="N14" i="12"/>
  <c r="O14" i="12"/>
  <c r="P14" i="12"/>
  <c r="Q14" i="12"/>
  <c r="C15" i="12"/>
  <c r="D15" i="12"/>
  <c r="E15" i="12"/>
  <c r="F15" i="12"/>
  <c r="G15" i="12"/>
  <c r="H15" i="12"/>
  <c r="I15" i="12"/>
  <c r="J15" i="12"/>
  <c r="K15" i="12"/>
  <c r="L15" i="12"/>
  <c r="M15" i="12"/>
  <c r="N15" i="12"/>
  <c r="O15" i="12"/>
  <c r="P15" i="12"/>
  <c r="Q15" i="12"/>
  <c r="C16" i="12"/>
  <c r="D16" i="12"/>
  <c r="E16" i="12"/>
  <c r="F16" i="12"/>
  <c r="G16" i="12"/>
  <c r="H16" i="12"/>
  <c r="I16" i="12"/>
  <c r="J16" i="12"/>
  <c r="K16" i="12"/>
  <c r="L16" i="12"/>
  <c r="M16" i="12"/>
  <c r="N16" i="12"/>
  <c r="O16" i="12"/>
  <c r="P16" i="12"/>
  <c r="Q16" i="12"/>
  <c r="C17" i="12"/>
  <c r="D17" i="12"/>
  <c r="E17" i="12"/>
  <c r="F17" i="12"/>
  <c r="G17" i="12"/>
  <c r="H17" i="12"/>
  <c r="I17" i="12"/>
  <c r="J17" i="12"/>
  <c r="K17" i="12"/>
  <c r="L17" i="12"/>
  <c r="M17" i="12"/>
  <c r="N17" i="12"/>
  <c r="O17" i="12"/>
  <c r="P17" i="12"/>
  <c r="Q17" i="12"/>
  <c r="C18" i="12"/>
  <c r="D18" i="12"/>
  <c r="E18" i="12"/>
  <c r="F18" i="12"/>
  <c r="G18" i="12"/>
  <c r="H18" i="12"/>
  <c r="I18" i="12"/>
  <c r="J18" i="12"/>
  <c r="K18" i="12"/>
  <c r="L18" i="12"/>
  <c r="M18" i="12"/>
  <c r="N18" i="12"/>
  <c r="O18" i="12"/>
  <c r="P18" i="12"/>
  <c r="Q18" i="12"/>
  <c r="C19" i="12"/>
  <c r="D19" i="12"/>
  <c r="E19" i="12"/>
  <c r="F19" i="12"/>
  <c r="G19" i="12"/>
  <c r="H19" i="12"/>
  <c r="I19" i="12"/>
  <c r="J19" i="12"/>
  <c r="K19" i="12"/>
  <c r="L19" i="12"/>
  <c r="M19" i="12"/>
  <c r="N19" i="12"/>
  <c r="O19" i="12"/>
  <c r="P19" i="12"/>
  <c r="Q19" i="12"/>
  <c r="C20" i="12"/>
  <c r="D20" i="12"/>
  <c r="E20" i="12"/>
  <c r="F20" i="12"/>
  <c r="G20" i="12"/>
  <c r="H20" i="12"/>
  <c r="I20" i="12"/>
  <c r="J20" i="12"/>
  <c r="K20" i="12"/>
  <c r="L20" i="12"/>
  <c r="M20" i="12"/>
  <c r="N20" i="12"/>
  <c r="O20" i="12"/>
  <c r="P20" i="12"/>
  <c r="Q20" i="12"/>
  <c r="C21" i="12"/>
  <c r="D21" i="12"/>
  <c r="E21" i="12"/>
  <c r="F21" i="12"/>
  <c r="G21" i="12"/>
  <c r="H21" i="12"/>
  <c r="I21" i="12"/>
  <c r="J21" i="12"/>
  <c r="K21" i="12"/>
  <c r="L21" i="12"/>
  <c r="M21" i="12"/>
  <c r="N21" i="12"/>
  <c r="O21" i="12"/>
  <c r="P21" i="12"/>
  <c r="Q21" i="12"/>
  <c r="C22" i="12"/>
  <c r="D22" i="12"/>
  <c r="E22" i="12"/>
  <c r="F22" i="12"/>
  <c r="G22" i="12"/>
  <c r="H22" i="12"/>
  <c r="I22" i="12"/>
  <c r="J22" i="12"/>
  <c r="K22" i="12"/>
  <c r="L22" i="12"/>
  <c r="M22" i="12"/>
  <c r="N22" i="12"/>
  <c r="O22" i="12"/>
  <c r="P22" i="12"/>
  <c r="Q22" i="12"/>
  <c r="C23" i="12"/>
  <c r="D23" i="12"/>
  <c r="E23" i="12"/>
  <c r="F23" i="12"/>
  <c r="G23" i="12"/>
  <c r="H23" i="12"/>
  <c r="I23" i="12"/>
  <c r="J23" i="12"/>
  <c r="K23" i="12"/>
  <c r="L23" i="12"/>
  <c r="M23" i="12"/>
  <c r="N23" i="12"/>
  <c r="O23" i="12"/>
  <c r="P23" i="12"/>
  <c r="Q23" i="12"/>
  <c r="C24" i="12"/>
  <c r="D24" i="12"/>
  <c r="E24" i="12"/>
  <c r="F24" i="12"/>
  <c r="G24" i="12"/>
  <c r="H24" i="12"/>
  <c r="I24" i="12"/>
  <c r="J24" i="12"/>
  <c r="K24" i="12"/>
  <c r="L24" i="12"/>
  <c r="M24" i="12"/>
  <c r="N24" i="12"/>
  <c r="O24" i="12"/>
  <c r="P24" i="12"/>
  <c r="Q24" i="12"/>
  <c r="C25" i="12"/>
  <c r="D25" i="12"/>
  <c r="E25" i="12"/>
  <c r="F25" i="12"/>
  <c r="G25" i="12"/>
  <c r="H25" i="12"/>
  <c r="I25" i="12"/>
  <c r="J25" i="12"/>
  <c r="K25" i="12"/>
  <c r="L25" i="12"/>
  <c r="M25" i="12"/>
  <c r="N25" i="12"/>
  <c r="O25" i="12"/>
  <c r="P25" i="12"/>
  <c r="Q25" i="12"/>
  <c r="C26" i="12"/>
  <c r="D26" i="12"/>
  <c r="E26" i="12"/>
  <c r="F26" i="12"/>
  <c r="G26" i="12"/>
  <c r="H26" i="12"/>
  <c r="I26" i="12"/>
  <c r="J26" i="12"/>
  <c r="K26" i="12"/>
  <c r="L26" i="12"/>
  <c r="M26" i="12"/>
  <c r="N26" i="12"/>
  <c r="O26" i="12"/>
  <c r="P26" i="12"/>
  <c r="Q26" i="12"/>
  <c r="D10" i="12"/>
  <c r="E10" i="12"/>
  <c r="F10" i="12"/>
  <c r="G10" i="12"/>
  <c r="H10" i="12"/>
  <c r="I10" i="12"/>
  <c r="J10" i="12"/>
  <c r="K10" i="12"/>
  <c r="L10" i="12"/>
  <c r="M10" i="12"/>
  <c r="N10" i="12"/>
  <c r="O10" i="12"/>
  <c r="P10" i="12"/>
  <c r="Q10" i="12"/>
  <c r="C10" i="12"/>
  <c r="M24" i="7"/>
  <c r="M23" i="7"/>
  <c r="M22" i="7"/>
  <c r="M21" i="7"/>
  <c r="M20" i="7"/>
  <c r="M19" i="7"/>
  <c r="M18" i="7"/>
  <c r="M17" i="7"/>
  <c r="M16" i="7"/>
  <c r="M15" i="7"/>
  <c r="M14" i="7"/>
  <c r="M13" i="7"/>
  <c r="M12" i="7"/>
  <c r="M11" i="7"/>
  <c r="M10" i="7"/>
  <c r="K24" i="7"/>
  <c r="K23" i="7"/>
  <c r="K22" i="7"/>
  <c r="K21" i="7"/>
  <c r="K20" i="7"/>
  <c r="K19" i="7"/>
  <c r="K18" i="7"/>
  <c r="K17" i="7"/>
  <c r="K16" i="7"/>
  <c r="K15" i="7"/>
  <c r="K14" i="7"/>
  <c r="K13" i="7"/>
  <c r="K12" i="7"/>
  <c r="K11" i="7"/>
  <c r="K10" i="7"/>
  <c r="I24" i="7"/>
  <c r="I23" i="7"/>
  <c r="I22" i="7"/>
  <c r="I21" i="7"/>
  <c r="I20" i="7"/>
  <c r="I19" i="7"/>
  <c r="I18" i="7"/>
  <c r="I17" i="7"/>
  <c r="I16" i="7"/>
  <c r="I15" i="7"/>
  <c r="I14" i="7"/>
  <c r="I13" i="7"/>
  <c r="I12" i="7"/>
  <c r="I11" i="7"/>
  <c r="I10" i="7"/>
  <c r="G24" i="7"/>
  <c r="G23" i="7"/>
  <c r="G22" i="7"/>
  <c r="G21" i="7"/>
  <c r="G20" i="7"/>
  <c r="G19" i="7"/>
  <c r="G18" i="7"/>
  <c r="G17" i="7"/>
  <c r="G16" i="7"/>
  <c r="G15" i="7"/>
  <c r="G14" i="7"/>
  <c r="G13" i="7"/>
  <c r="G12" i="7"/>
  <c r="G11" i="7"/>
  <c r="G10" i="7"/>
  <c r="E11" i="7"/>
  <c r="E12" i="7"/>
  <c r="E13" i="7"/>
  <c r="E14" i="7"/>
  <c r="E15" i="7"/>
  <c r="E16" i="7"/>
  <c r="E17" i="7"/>
  <c r="E18" i="7"/>
  <c r="E19" i="7"/>
  <c r="E20" i="7"/>
  <c r="E21" i="7"/>
  <c r="E22" i="7"/>
  <c r="E23" i="7"/>
  <c r="E24" i="7"/>
  <c r="E10" i="7"/>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<sst xmlns="http://schemas.openxmlformats.org/spreadsheetml/2006/main" count="5459" uniqueCount="894">
  <si>
    <t xml:space="preserve">TOTAL BENEFICIOS PAGADOS DEL PILAR NO CONTRIBUTIVO </t>
  </si>
  <si>
    <t>(julio 2008 a diciembre 2022)</t>
  </si>
  <si>
    <t>N°</t>
  </si>
  <si>
    <t>PBS Vejez</t>
  </si>
  <si>
    <t>PBS Invalidez</t>
  </si>
  <si>
    <t>APS Vejez</t>
  </si>
  <si>
    <t>APS Invalidez</t>
  </si>
  <si>
    <t>TOTAL</t>
  </si>
  <si>
    <t>%</t>
  </si>
  <si>
    <t>(febrero 2022 a diciembre 2022)</t>
  </si>
  <si>
    <t>PERIODO</t>
  </si>
  <si>
    <t>(julio 2008  a diciembre 2022)</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</si>
  <si>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</si>
  <si>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</si>
  <si>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</si>
  <si>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</si>
  <si>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</si>
  <si>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</si>
  <si>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</si>
  <si>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</si>
  <si>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</si>
  <si>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</si>
  <si>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</si>
  <si>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</si>
  <si>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</si>
  <si>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</si>
  <si>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</si>
  <si>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</si>
  <si>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</si>
  <si>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</si>
  <si>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</si>
  <si>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</si>
  <si>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</si>
  <si>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</si>
  <si>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</si>
  <si>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</si>
  <si>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</si>
  <si>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</si>
  <si>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</si>
  <si>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</si>
  <si>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</si>
  <si>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</si>
  <si>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</si>
  <si>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</si>
  <si>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</si>
  <si>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</si>
  <si>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</si>
  <si>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</si>
  <si>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</si>
  <si>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</si>
  <si>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</si>
  <si>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</si>
  <si>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</si>
  <si>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</si>
  <si>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</si>
  <si>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</si>
  <si>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</si>
  <si>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</si>
  <si>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</si>
  <si>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</si>
  <si>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</si>
  <si>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</si>
  <si>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</si>
  <si>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</si>
  <si>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</si>
  <si>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</si>
  <si>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</si>
  <si>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</si>
  <si>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</si>
  <si>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</si>
  <si>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</si>
  <si>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</si>
  <si>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</si>
  <si>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</si>
  <si>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</si>
  <si>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</si>
  <si>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</si>
  <si>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</si>
  <si>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</si>
  <si>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</si>
  <si>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TASAS DE CONCESIÓN</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</si>
  <si>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</si>
  <si>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</si>
  <si>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</si>
  <si>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</si>
  <si>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</si>
  <si>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</si>
  <si>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</si>
  <si>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</si>
  <si>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</si>
  <si>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</si>
  <si>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</si>
  <si>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</si>
  <si>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</si>
  <si>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</si>
  <si>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</si>
  <si>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</si>
  <si>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</si>
  <si>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</si>
  <si>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</si>
  <si>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</si>
  <si>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</si>
  <si>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</si>
  <si>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</si>
  <si>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</si>
  <si>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</si>
  <si>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</si>
  <si>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</si>
  <si>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</si>
  <si>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</si>
  <si>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</si>
  <si>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</si>
  <si>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</si>
  <si>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</si>
  <si>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</si>
  <si>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</si>
  <si>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</si>
  <si>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</si>
  <si>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</si>
  <si>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</si>
  <si>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</si>
  <si>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</si>
  <si>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</si>
  <si>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</si>
  <si>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</si>
  <si>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</si>
  <si>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</si>
  <si>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</si>
  <si>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</si>
  <si>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</si>
  <si>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</si>
  <si>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</si>
  <si>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</si>
  <si>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</si>
  <si>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</si>
  <si>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</si>
  <si>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</si>
  <si>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</si>
  <si>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</si>
  <si>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</si>
  <si>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</si>
  <si>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</si>
  <si>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</si>
  <si>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</si>
  <si>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</si>
  <si>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</si>
  <si>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</si>
  <si>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</si>
  <si>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</si>
  <si>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</si>
  <si>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</si>
  <si>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</si>
  <si>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</si>
  <si>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</si>
  <si>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</si>
  <si>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</si>
  <si>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</si>
  <si>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</si>
  <si>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</si>
  <si>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</si>
  <si>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</si>
  <si>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</si>
  <si>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</si>
  <si>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</si>
  <si>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</si>
  <si>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</si>
  <si>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</si>
  <si>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</si>
  <si>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</si>
  <si>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</si>
  <si>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</si>
  <si>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</si>
  <si>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</si>
  <si>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</si>
  <si>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</si>
  <si>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</si>
  <si>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</si>
  <si>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</si>
  <si>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</si>
  <si>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</si>
  <si>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</si>
  <si>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</si>
  <si>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</si>
  <si>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</si>
  <si>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</si>
  <si>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</si>
  <si>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</si>
  <si>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</si>
  <si>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</si>
  <si>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</si>
  <si>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</si>
  <si>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</si>
  <si>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</si>
  <si>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</si>
  <si>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</si>
  <si>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</si>
  <si>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</si>
  <si>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</si>
  <si>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</si>
  <si>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</si>
  <si>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</si>
  <si>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</si>
  <si>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</si>
  <si>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</si>
  <si>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</si>
  <si>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</si>
  <si>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</si>
  <si>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</si>
  <si>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</si>
  <si>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</si>
  <si>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</si>
  <si>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</si>
  <si>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</si>
  <si>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</si>
  <si>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</si>
  <si>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</si>
  <si>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</si>
  <si>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</si>
  <si>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</si>
  <si>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</si>
  <si>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</si>
  <si>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</si>
  <si>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</si>
  <si>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</si>
  <si>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</si>
  <si>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</si>
  <si>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</si>
  <si>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</si>
  <si>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</si>
  <si>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</si>
  <si>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</si>
  <si>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</si>
  <si>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</si>
  <si>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</si>
  <si>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</si>
  <si>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</si>
  <si>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</si>
  <si>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</si>
  <si>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</si>
  <si>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</si>
  <si>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</si>
  <si>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</si>
  <si>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</si>
  <si>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</si>
  <si>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</si>
  <si>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</si>
  <si>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</si>
  <si>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</si>
  <si>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</si>
  <si>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</si>
  <si>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</si>
  <si>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</si>
  <si>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</si>
  <si>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</si>
  <si>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</si>
  <si>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</si>
  <si>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</si>
  <si>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</si>
  <si>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</si>
  <si>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</si>
  <si>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</si>
  <si>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</si>
  <si>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</si>
  <si>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</si>
  <si>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</si>
  <si>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</si>
  <si>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</si>
  <si>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</si>
  <si>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</si>
  <si>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</si>
  <si>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</si>
  <si>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</si>
  <si>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</si>
  <si>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</si>
  <si>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</si>
  <si>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</si>
  <si>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</si>
  <si>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</si>
  <si>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</si>
  <si>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</si>
  <si>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</si>
  <si>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</si>
  <si>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</si>
  <si>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</si>
  <si>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</si>
  <si>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</si>
  <si>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</si>
  <si>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</si>
  <si>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</si>
  <si>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</si>
  <si>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</si>
  <si>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</si>
  <si>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</si>
  <si>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</si>
  <si>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</si>
  <si>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</si>
  <si>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</si>
  <si>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</si>
  <si>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</si>
  <si>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</si>
  <si>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</si>
  <si>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</si>
  <si>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</si>
  <si>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</si>
  <si>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</si>
  <si>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</si>
  <si>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</si>
  <si>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</si>
  <si>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</si>
  <si>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</si>
  <si>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</si>
  <si>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</si>
  <si>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</si>
  <si>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</si>
  <si>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</si>
  <si>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</si>
  <si>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</si>
  <si>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</si>
  <si>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</si>
  <si>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</si>
  <si>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</si>
  <si>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</si>
  <si>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</si>
  <si>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</si>
  <si>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</si>
  <si>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</si>
  <si>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</si>
  <si>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</si>
  <si>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</si>
  <si>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</si>
  <si>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</si>
  <si>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</si>
  <si>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</si>
  <si>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</si>
  <si>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</si>
  <si>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</si>
  <si>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</si>
  <si>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</si>
  <si>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</si>
  <si>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</si>
  <si>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</si>
  <si>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</si>
  <si>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</si>
  <si>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</si>
  <si>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</si>
  <si>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</si>
  <si>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</si>
  <si>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</si>
  <si>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</si>
  <si>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</si>
  <si>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</si>
  <si>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</si>
  <si>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</si>
  <si>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</si>
  <si>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</si>
  <si>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</si>
  <si>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</si>
  <si>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</si>
  <si>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</si>
  <si>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</si>
  <si>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</si>
  <si>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</si>
  <si>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</si>
  <si>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</si>
  <si>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</si>
  <si>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</si>
  <si>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</si>
  <si>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</si>
  <si>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</si>
  <si>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</si>
  <si>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</si>
  <si>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</si>
  <si>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</si>
  <si>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</si>
  <si>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</si>
  <si>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</si>
  <si>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</si>
  <si>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</si>
  <si>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</si>
  <si>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</si>
  <si>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</si>
  <si>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</si>
  <si>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</si>
  <si>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</si>
  <si>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</si>
  <si>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</si>
  <si>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</si>
  <si>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</si>
  <si>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</si>
  <si>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</si>
  <si>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</si>
  <si>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</si>
  <si>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</si>
  <si>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</si>
  <si>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</si>
  <si>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</si>
  <si>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</si>
  <si>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</si>
  <si>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</si>
  <si>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</si>
  <si>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</si>
  <si>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</si>
  <si>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</si>
  <si>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</si>
  <si>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</si>
  <si>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</si>
  <si>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</si>
  <si>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</si>
  <si>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</si>
  <si>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</si>
  <si>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</si>
  <si>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</si>
  <si>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</si>
  <si>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</si>
  <si>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</si>
  <si>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</si>
  <si>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</si>
  <si>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</si>
  <si>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</si>
  <si>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</si>
  <si>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</si>
  <si>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</si>
  <si>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</si>
  <si>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</si>
  <si>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</si>
  <si>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</si>
  <si>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</si>
  <si>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</si>
  <si>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</si>
  <si>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</si>
  <si>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</si>
  <si>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</si>
  <si>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</si>
  <si>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</si>
  <si>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</si>
  <si>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</si>
  <si>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</si>
  <si>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</si>
  <si>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</si>
  <si>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</si>
  <si>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</si>
  <si>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</si>
  <si>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</si>
  <si>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</si>
  <si>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</si>
  <si>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</si>
  <si>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</si>
  <si>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</si>
  <si>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</si>
  <si>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</si>
  <si>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</si>
  <si>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</si>
  <si>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</si>
  <si>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</si>
  <si>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</si>
  <si>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</si>
  <si>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</si>
  <si>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</si>
  <si>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</si>
  <si>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</si>
  <si>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</si>
  <si>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</si>
  <si>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</si>
  <si>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</si>
  <si>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</si>
  <si>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</si>
  <si>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</si>
  <si>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</si>
  <si>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</si>
  <si>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</si>
  <si>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</si>
  <si>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</si>
  <si>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</si>
  <si>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</si>
  <si>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</si>
  <si>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</si>
  <si>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</si>
  <si>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</si>
  <si>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</si>
  <si>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</si>
  <si>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</si>
  <si>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</si>
  <si>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Número de concesiones</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</si>
  <si>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</si>
  <si>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</si>
  <si>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</si>
  <si>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</si>
  <si>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</si>
  <si>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</si>
  <si>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</si>
  <si>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</si>
  <si>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</si>
  <si>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</si>
  <si>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</si>
  <si>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</si>
  <si>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</si>
  <si>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</si>
  <si>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</si>
  <si>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</si>
  <si>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</si>
  <si>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</si>
  <si>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</si>
  <si>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</si>
  <si>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</si>
  <si>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</si>
  <si>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</si>
  <si>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</si>
  <si>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</si>
  <si>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</si>
  <si>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</si>
  <si>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</si>
  <si>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</si>
  <si>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</si>
  <si>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</si>
  <si>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</si>
  <si>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</si>
  <si>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</si>
  <si>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</si>
  <si>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</si>
  <si>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</si>
  <si>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</si>
  <si>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</si>
  <si>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</si>
  <si>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</si>
  <si>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</si>
  <si>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</si>
  <si>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</si>
  <si>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</si>
  <si>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</si>
  <si>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</si>
  <si>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</si>
  <si>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</si>
  <si>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</si>
  <si>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</si>
  <si>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</si>
  <si>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</si>
  <si>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</si>
  <si>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</si>
  <si>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</si>
  <si>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</si>
  <si>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</si>
  <si>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</si>
  <si>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</si>
  <si>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</si>
  <si>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</si>
  <si>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</si>
  <si>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</si>
  <si>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</si>
  <si>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</si>
  <si>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</si>
  <si>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</si>
  <si>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</si>
  <si>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</si>
  <si>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</si>
  <si>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</si>
  <si>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</si>
  <si>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</si>
  <si>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</si>
  <si>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</si>
  <si>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</si>
  <si>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</si>
  <si>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</si>
  <si>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</si>
  <si>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</si>
  <si>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</si>
  <si>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</si>
  <si>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</si>
  <si>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</si>
  <si>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</si>
  <si>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</si>
  <si>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</si>
  <si>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</si>
  <si>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</si>
  <si>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</si>
  <si>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</si>
  <si>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</si>
  <si>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</si>
  <si>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</si>
  <si>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</si>
  <si>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</si>
  <si>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</si>
  <si>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</si>
  <si>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</si>
  <si>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</si>
  <si>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</si>
  <si>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</si>
  <si>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</si>
  <si>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</si>
  <si>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</si>
  <si>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</si>
  <si>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</si>
  <si>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</si>
  <si>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</si>
  <si>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</si>
  <si>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</si>
  <si>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Monto nominal M$ *</t>
  </si>
  <si>
    <t>Monto real M$ **</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</si>
  <si>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</si>
  <si>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</si>
  <si>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</si>
  <si>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</si>
  <si>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</si>
  <si>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</si>
  <si>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</si>
  <si>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</si>
  <si>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</si>
  <si>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</si>
  <si>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</si>
  <si>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</si>
  <si>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</si>
  <si>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</si>
  <si>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</si>
  <si>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</si>
  <si>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</si>
  <si>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</si>
  <si>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</si>
  <si>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</si>
  <si>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</si>
  <si>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</si>
  <si>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</si>
  <si>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</si>
  <si>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</si>
  <si>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</si>
  <si>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</si>
  <si>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</si>
  <si>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</si>
  <si>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</si>
  <si>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</si>
  <si>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</si>
  <si>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</si>
  <si>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</si>
  <si>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</si>
  <si>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</si>
  <si>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</si>
  <si>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</si>
  <si>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</si>
  <si>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</si>
  <si>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</si>
  <si>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</si>
  <si>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</si>
  <si>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</si>
  <si>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</si>
  <si>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</si>
  <si>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</si>
  <si>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</si>
  <si>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</si>
  <si>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</si>
  <si>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</si>
  <si>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</si>
  <si>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</si>
  <si>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</si>
  <si>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</si>
  <si>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</si>
  <si>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</si>
  <si>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</si>
  <si>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</si>
  <si>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</si>
  <si>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</si>
  <si>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</si>
  <si>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PGU Total</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</si>
  <si>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</si>
  <si>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</si>
  <si>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</si>
  <si>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</si>
  <si>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</si>
  <si>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</si>
  <si>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</si>
  <si>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</si>
  <si>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</si>
  <si>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</si>
  <si>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</si>
  <si>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</si>
  <si>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</si>
  <si>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</si>
  <si>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</si>
  <si>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</si>
  <si>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</si>
  <si>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</si>
  <si>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</si>
  <si>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</si>
  <si>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</si>
  <si>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</si>
  <si>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</si>
  <si>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</si>
  <si>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</si>
  <si>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</si>
  <si>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</si>
  <si>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</si>
  <si>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</si>
  <si>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</si>
  <si>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</si>
  <si>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</si>
  <si>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</si>
  <si>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</si>
  <si>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</si>
  <si>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</si>
  <si>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</si>
  <si>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</si>
  <si>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Nbis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</si>
  <si>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</si>
  <si>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</si>
  <si>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</si>
  <si>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</si>
  <si>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</si>
  <si>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</si>
  <si>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</si>
  <si>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</si>
  <si>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</si>
  <si>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</si>
  <si>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</si>
  <si>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</si>
  <si>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</si>
  <si>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</si>
  <si>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</si>
  <si>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</si>
  <si>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</si>
  <si>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ESTADO SOLICITUDES PILAR NO CONTRIBUTIVO DE PENSIONES A NIVEL REGIONAL Y COMUNAL</t>
  </si>
  <si>
    <t>SOLICITUDES CONCEDIDAS PILAR NO CONTRIBUTIVO DE PENSIONES A NIVEL REGIONAL Y COMUNAL</t>
  </si>
  <si>
    <t>1. Total de beneficios pagados del Pilar No Contributivo</t>
  </si>
  <si>
    <t>PAGOS PENSIÓN BÁSICA SOLIDARIA (PBS)</t>
  </si>
  <si>
    <t xml:space="preserve">PAGOS PENSIÓN GARANTIZADA UNIVERSAL (PGU) </t>
  </si>
  <si>
    <t>PAGOS APORTE PREVISIONAL SOLIDARIO (APS)</t>
  </si>
  <si>
    <t>4. 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</si>
  <si>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</si>
  <si>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</si>
  <si>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</si>
  <si>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</si>
  <si>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</si>
  <si>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</si>
  <si>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</si>
  <si>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</si>
  <si>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</si>
  <si>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</si>
  <si>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</si>
  <si>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</si>
  <si>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</si>
  <si>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</si>
  <si>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</si>
  <si>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</si>
  <si>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</si>
  <si>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</si>
  <si>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</si>
  <si>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</si>
  <si>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</si>
  <si>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</si>
  <si>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</si>
  <si>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</si>
  <si>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</si>
  <si>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</si>
  <si>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</si>
  <si>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</si>
  <si>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</si>
  <si>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</si>
  <si>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</si>
  <si>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</si>
  <si>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</si>
  <si>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</si>
  <si>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</si>
  <si>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</si>
  <si>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</si>
  <si>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</si>
  <si>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</si>
  <si>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</si>
  <si>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</si>
  <si>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</si>
  <si>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</si>
  <si>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</si>
  <si>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</si>
  <si>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</si>
  <si>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</si>
  <si>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</si>
  <si>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Número de solicitudes trimestrales por comuna, según tipo y sexo</t>
  </si>
  <si>
    <t>Promedio 
mar - dic 2009</t>
  </si>
  <si>
    <t>Resumen trimestral de concesiones de beneficios del Pilar No Contributivo</t>
  </si>
  <si>
    <t>2. Pagos Pensión Garantizada Universal (PGU)</t>
  </si>
  <si>
    <t>3. Pagos Pensión Básica Solidaria (PBS)</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</si>
  <si>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</si>
  <si>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</si>
  <si>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</si>
  <si>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</si>
  <si>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</si>
  <si>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</si>
  <si>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t>Causal de Rechazo</t>
  </si>
  <si>
    <t>2. Solicitudes a nivel regional y comunal</t>
  </si>
  <si>
    <t>4. Concesiones a nivel regional y comunal</t>
  </si>
  <si>
    <t>SAN JOSÉ DE LA MARIQUINA</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</si>
  <si>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</si>
  <si>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</si>
  <si>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</si>
  <si>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</si>
  <si>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</si>
  <si>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</si>
  <si>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</si>
  <si>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</si>
  <si>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</si>
  <si>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</si>
  <si>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</si>
  <si>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</si>
  <si>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Imponente o pensionado de la Caja de Defensa y/o de la Dirección de Previsión de Carabineros</t>
  </si>
  <si>
    <t>Percibe Pensión de Ley Especial de monto superior a la PBS</t>
  </si>
  <si>
    <t>Pensionado Invalidez por de Ley de Accidentes del Trabajo y Enfermedades Profesionales</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</si>
  <si>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</si>
  <si>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</si>
  <si>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</si>
  <si>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</si>
  <si>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</si>
  <si>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Tasas de concesión Total Solicitudes</t>
  </si>
  <si>
    <t>Resumen trimestral de número y estado de solicitudes, según tipo de beneficio y sexo</t>
  </si>
  <si>
    <t>Resumen trimestral de solicitudes de beneficios rechazadas</t>
  </si>
  <si>
    <t>Serie resumen de solicitudes de beneficios rechazadas, por tipo de beneficio y sexo</t>
  </si>
  <si>
    <t>Resumen trimestral de tasas de concesiones de beneficios por región, según tipo de beneficio y sexo</t>
  </si>
  <si>
    <t>Serie resumen de tasas de concesión de solicitudes por tipo de beneficio y sexo</t>
  </si>
  <si>
    <t>Fuente: Elaboración propia con datos de la Superintendencia de Pensiones</t>
  </si>
  <si>
    <t>Nota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2: Para los APS de Vejez, en aquellos casos en que este beneficio superaba el monto de la PGU se mantuvo el beneficio.</t>
  </si>
  <si>
    <t>Fuente: Elaboración propia con datos del Instituto de Previsión Social
Nota 1: El periodo utilizado para el reporte de las solicitudes considera la fecha de ingreso de la solicitud.
Nota 2: El estado final de las solicitudes puede cambiar entre periodos, dado que se incluyen en la estadística solicitudes en trámite.
Nota 3: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4: A partir de la implementación de la PGU (febrero 2022) dejan de existir nuevas solicitudes de los beneficios PBS de Vejez y APS de Vejez, ya que estos beneficios fueron reemplazados con PGU No Contributiva y PGU Contributiva, respectivamente.</t>
  </si>
  <si>
    <t>Resumen trimestral de beneficios pagados, por tipo de beneficio y sexo</t>
  </si>
  <si>
    <t>Serie resumen de pagos de beneficios acumulados, por tipo de beneficio</t>
  </si>
  <si>
    <t>ii. Serie resumen de pagos de beneficios acumulados, por tipo de beneficio</t>
  </si>
  <si>
    <t>i. Resumen trimestral de beneficios pagados, por tipo de beneficio y sexo</t>
  </si>
  <si>
    <t>Serie resumen de pagos de beneficios acumulado, por tipo de beneficio y sexo</t>
  </si>
  <si>
    <t>ii. Serie resumen de pagos de beneficios acumulado, por tipo de beneficio y sexo</t>
  </si>
  <si>
    <t>i. Resumen trimestral de número y estado de solicitudes, según tipo de beneficio y sexo</t>
  </si>
  <si>
    <t>ii. Serie resumen de solicitudes de beneficios, por tipo de beneficio y sexo</t>
  </si>
  <si>
    <t>i. Resumen trimestral de solicitudes por región, según tipo de beneficio y sexo</t>
  </si>
  <si>
    <t>ii. Número de solicitudes trimestrales por comuna, según tipo de beneficio y sexo</t>
  </si>
  <si>
    <t>i. Resumen trimestral de concesiones de beneficios del Pilar No Contributivo</t>
  </si>
  <si>
    <t>ii. Serie resumen de solicitudes concedidas de beneficios, por tipo de beneficio y sexo</t>
  </si>
  <si>
    <t>i. Resumen trimestral de solicitudes concedidas por región, según tipo de beneficio y sexo</t>
  </si>
  <si>
    <t>ii. Número de solicitudes concedidas trimestrales por comuna, según tipo de beneficio y sexo</t>
  </si>
  <si>
    <t>i. Resumen trimestral de solicitudes de beneficios rechazadas</t>
  </si>
  <si>
    <t>ii. Serie resumen de solicitudes de beneficios rechazadas, por tipo de beneficio y sexo</t>
  </si>
  <si>
    <t>i. Resumen trimestral de tasas de concesiones de beneficios por región, según tipo de beneficio y sexo</t>
  </si>
  <si>
    <t>ii. Serie resumen de tasas de concesión de solicitudes por tipo de beneficio y sexo</t>
  </si>
  <si>
    <t>Total al Segundo trimestre 2023</t>
  </si>
  <si>
    <t>Total Rechazadas</t>
  </si>
  <si>
    <t>N° Beneficios</t>
  </si>
  <si>
    <t>Monto real M$*</t>
  </si>
  <si>
    <t>Promedio al Segundo trimeste 2023</t>
  </si>
  <si>
    <t>Monto real M$ *</t>
  </si>
  <si>
    <t>N° Beneficiarios</t>
  </si>
  <si>
    <t>Total Concesiones</t>
  </si>
  <si>
    <t>Total Beneficiarias y Causantes</t>
  </si>
  <si>
    <t>Total Nacional</t>
  </si>
  <si>
    <t>jul-20</t>
  </si>
  <si>
    <t>S/I</t>
  </si>
  <si>
    <t>Monto nominal M$**</t>
  </si>
  <si>
    <t>* Montos deflactados a junio 2023    **Montos nominales de cada periodo de pago.</t>
  </si>
  <si>
    <t>Monto nominal M$ **</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</si>
  <si>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</si>
  <si>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</si>
  <si>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</si>
  <si>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</si>
  <si>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</si>
  <si>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</si>
  <si>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</si>
  <si>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</si>
  <si>
    <t>Trimestre JAS 2023</t>
  </si>
  <si>
    <t>(julio 2023 a septiembre 2023)</t>
  </si>
  <si>
    <t>Nota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sí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2: Para los APS de Vejez, en aquellos casos en que este beneficio superaba el monto de la PGU se mantuvo el beneficio.</t>
  </si>
  <si>
    <t>* Montos nominales de cada periodo de pago. ** Montos deflactados a septiembre 2023</t>
  </si>
  <si>
    <t>(julio 2008 a septiembre 2023)</t>
  </si>
  <si>
    <t>Promedio al Tercer trimeste 2023</t>
  </si>
  <si>
    <t>* Montos deflactados a septiembre 2023    **Montos nominales de cada periodo de pago.</t>
  </si>
  <si>
    <t>(febrero 2022 a septiembre 2023)</t>
  </si>
  <si>
    <t>Promedio al Tercer trimestre 2023</t>
  </si>
  <si>
    <t>Región del Ñuble</t>
  </si>
  <si>
    <t>Fuente: Elaboración propia con datos del Instituto de Previsión Social
Nota 1: A septiembre de 2023 se encuentran vigentes 91.047 beneficios Ex PASIS de Vejez y 93.642 Ex PASIS de Invalidez
Nota 2: El periodo utilizado para el reporte de las solicitudes considera la fecha de ingreso de la solicitud.
Nota 3: El estado final de las solicitudes puede cambiar entre periodos, dado que se incluyen en la estadística solicitudes en trámite.
Nota 4: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(Fuente: Superintendencia de Pensiones).
Nota 5: A partir de la implementación de la PGU (febrero 2022) dejan de existir nuevas solicitudes de los beneficios PBS de Vejez y APS de Vejez, ya que estos beneficios fueron reemplazados con PGU No Contributiva y PGU Contributiva, respectivamente.</t>
  </si>
  <si>
    <t>Sin derecho a pago</t>
  </si>
  <si>
    <t>Fuente: Elaboración propia con datos del Instituto de Previsión Social</t>
  </si>
  <si>
    <t>(agosto 2009 a septiembre 2023)</t>
  </si>
  <si>
    <t>Total al Tercer trimestre 2023</t>
  </si>
  <si>
    <t>(julio 2011 a septiembre 2023)</t>
  </si>
  <si>
    <t>(octubre 2008 a septiembre 2023)</t>
  </si>
  <si>
    <t>(marzo 2009 a septiembre 2023)</t>
  </si>
  <si>
    <t>(enero 2012 a septiembre 2023)</t>
  </si>
  <si>
    <t>%***</t>
  </si>
  <si>
    <t>* Montos deflactados a septiembre 2023    **Montos nominales de cada periodo de pago. *** Porcentaje del total de beneficios pagados en el periodo.</t>
  </si>
  <si>
    <t>(julio 2008 y septiembre 2023)</t>
  </si>
  <si>
    <t xml:space="preserve">   Región de Arica y Parinacota</t>
  </si>
  <si>
    <t xml:space="preserve">   Región de Tarapacá</t>
  </si>
  <si>
    <t xml:space="preserve">   Región de Antofagasta</t>
  </si>
  <si>
    <t xml:space="preserve">   Región de Atacama</t>
  </si>
  <si>
    <t xml:space="preserve">   Región de Coquimbo</t>
  </si>
  <si>
    <t xml:space="preserve">   Región de Valparaíso</t>
  </si>
  <si>
    <t xml:space="preserve">   Región Metropolitana de Santiago</t>
  </si>
  <si>
    <t xml:space="preserve">   Región del Libertador General Bernardo O’Higgins</t>
  </si>
  <si>
    <t xml:space="preserve">   Región del Maule</t>
  </si>
  <si>
    <t xml:space="preserve">   Región del Ñuble</t>
  </si>
  <si>
    <t xml:space="preserve">   Región del Bio-bío</t>
  </si>
  <si>
    <t xml:space="preserve">   Región de La Araucanía</t>
  </si>
  <si>
    <t xml:space="preserve">   Región de Los Ríos</t>
  </si>
  <si>
    <t xml:space="preserve">   Región de Los Lagos</t>
  </si>
  <si>
    <t xml:space="preserve">   Región Aysén del General Carlos Ibáñez del Campo</t>
  </si>
  <si>
    <t xml:space="preserve">   Región de Magallanes y Antártica Chilena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</si>
</sst>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s>
  <fonts count="40"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sz val="12"/>
      <name val="Calibri"/>
      <family val="2"/>
      <scheme val="minor"/>
    </font>
    <font>
      <b/>
      <u/>
      <sz val="14"/>
      <color theme="10"/>
      <name val="Calibri"/>
      <family val="2"/>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s>
  <fills count="1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6"/>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17">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7" fillId="0" borderId="0"/>
    <xf numFmtId="0" fontId="37" fillId="0" borderId="0"/>
    <xf numFmtId="0" fontId="1" fillId="0" borderId="0"/>
    <xf numFmtId="0" fontId="37" fillId="0" borderId="0"/>
    <xf numFmtId="0" fontId="37" fillId="0" borderId="0"/>
  </cellStyleXfs>
  <cellXfs count="520">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17" fontId="6"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0" fillId="0" borderId="0" xfId="0" applyAlignment="1">
      <alignment vertical="center"/>
    </xf>
    <xf numFmtId="0" fontId="6" fillId="0" borderId="2" xfId="0" applyFont="1" applyBorder="1" applyAlignment="1">
      <alignment horizontal="center" vertical="center" wrapText="1"/>
    </xf>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17" fontId="10"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41" fontId="6" fillId="0" borderId="1" xfId="1" applyFont="1" applyBorder="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4" borderId="1" xfId="0" applyFont="1" applyFill="1" applyBorder="1" applyAlignment="1">
      <alignment horizontal="center"/>
    </xf>
    <xf numFmtId="0" fontId="6" fillId="14" borderId="1" xfId="0" applyFont="1" applyFill="1" applyBorder="1" applyAlignment="1">
      <alignment horizontal="center" vertical="center" wrapText="1"/>
    </xf>
    <xf numFmtId="0" fontId="3" fillId="0" borderId="0" xfId="0" applyFont="1"/>
    <xf numFmtId="0" fontId="0" fillId="0" borderId="0" xfId="0" quotePrefix="1" applyAlignment="1">
      <alignment vertical="top"/>
    </xf>
    <xf numFmtId="0" fontId="31" fillId="0" borderId="0" xfId="0" quotePrefix="1" applyFont="1" applyAlignment="1">
      <alignment vertical="center" wrapText="1"/>
    </xf>
    <xf numFmtId="0" fontId="33"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0" fillId="0" borderId="1" xfId="1" applyNumberFormat="1" applyFont="1" applyBorder="1" applyAlignment="1">
      <alignment horizontal="center"/>
    </xf>
    <xf numFmtId="0" fontId="10" fillId="0" borderId="50" xfId="0" applyFont="1" applyBorder="1" applyAlignment="1">
      <alignment horizontal="center" vertical="center" wrapText="1"/>
    </xf>
    <xf numFmtId="0" fontId="10" fillId="0" borderId="1" xfId="0" applyFont="1" applyBorder="1" applyAlignment="1">
      <alignment horizontal="center"/>
    </xf>
    <xf numFmtId="0" fontId="22" fillId="0" borderId="0" xfId="5" applyAlignment="1" applyProtection="1"/>
    <xf numFmtId="0" fontId="14" fillId="0" borderId="0" xfId="0" quotePrefix="1" applyFont="1" applyAlignment="1">
      <alignment vertical="top"/>
    </xf>
    <xf numFmtId="0" fontId="13" fillId="0" borderId="0" xfId="0" quotePrefix="1" applyFont="1" applyAlignment="1">
      <alignment vertical="top"/>
    </xf>
    <xf numFmtId="0" fontId="38"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9" fillId="3" borderId="0" xfId="0" applyFont="1" applyFill="1" applyAlignment="1">
      <alignment vertical="center"/>
    </xf>
    <xf numFmtId="0" fontId="7" fillId="3" borderId="0" xfId="0" applyFont="1" applyFill="1" applyAlignment="1">
      <alignment vertical="center"/>
    </xf>
    <xf numFmtId="3" fontId="6" fillId="14"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3" fontId="6" fillId="14" borderId="1" xfId="1" applyNumberFormat="1" applyFont="1" applyFill="1" applyBorder="1" applyAlignment="1">
      <alignment horizontal="center"/>
    </xf>
    <xf numFmtId="164" fontId="0" fillId="0" borderId="1" xfId="2" applyNumberFormat="1" applyFont="1" applyFill="1" applyBorder="1" applyAlignment="1">
      <alignment horizontal="center" vertical="center" wrapText="1"/>
    </xf>
    <xf numFmtId="3" fontId="6" fillId="14"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1" fillId="3" borderId="1" xfId="1" applyNumberFormat="1" applyFont="1" applyFill="1" applyBorder="1" applyAlignment="1">
      <alignment horizontal="center"/>
    </xf>
    <xf numFmtId="3" fontId="0" fillId="0" borderId="52"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164" fontId="0" fillId="0" borderId="52" xfId="2" applyNumberFormat="1" applyFont="1" applyBorder="1" applyAlignment="1">
      <alignment horizontal="center" vertical="center" wrapText="1"/>
    </xf>
    <xf numFmtId="3" fontId="35" fillId="0" borderId="1" xfId="0" applyNumberFormat="1" applyFont="1" applyBorder="1" applyAlignment="1">
      <alignment horizontal="center" vertical="center"/>
    </xf>
    <xf numFmtId="17" fontId="6" fillId="15" borderId="1" xfId="0" applyNumberFormat="1" applyFont="1" applyFill="1" applyBorder="1" applyAlignment="1">
      <alignment horizontal="center"/>
    </xf>
    <xf numFmtId="0" fontId="6" fillId="15" borderId="1" xfId="0" applyFont="1" applyFill="1" applyBorder="1" applyAlignment="1">
      <alignment horizontal="center"/>
    </xf>
    <xf numFmtId="0" fontId="5" fillId="14" borderId="1" xfId="0" applyFont="1" applyFill="1" applyBorder="1" applyAlignment="1">
      <alignment horizontal="center" vertical="center" wrapText="1"/>
    </xf>
    <xf numFmtId="3" fontId="5" fillId="14" borderId="1" xfId="0" applyNumberFormat="1" applyFont="1" applyFill="1" applyBorder="1" applyAlignment="1">
      <alignment horizontal="center" vertical="center"/>
    </xf>
    <xf numFmtId="0" fontId="5" fillId="14" borderId="1" xfId="0" applyFont="1" applyFill="1" applyBorder="1" applyAlignment="1">
      <alignment horizontal="center" vertical="center"/>
    </xf>
    <xf numFmtId="17" fontId="5" fillId="14" borderId="1" xfId="0" applyNumberFormat="1" applyFont="1" applyFill="1" applyBorder="1" applyAlignment="1">
      <alignment horizontal="center" vertical="center"/>
    </xf>
    <xf numFmtId="0" fontId="36" fillId="14" borderId="1" xfId="0" applyFont="1" applyFill="1" applyBorder="1" applyAlignment="1">
      <alignment horizontal="center" vertical="center"/>
    </xf>
    <xf numFmtId="0" fontId="36" fillId="14" borderId="1" xfId="0" applyFont="1" applyFill="1" applyBorder="1" applyAlignment="1">
      <alignment horizontal="center" vertical="center" wrapText="1"/>
    </xf>
    <xf numFmtId="3" fontId="34" fillId="14" borderId="1" xfId="0" applyNumberFormat="1" applyFont="1" applyFill="1" applyBorder="1" applyAlignment="1">
      <alignment horizontal="center" vertical="center" wrapText="1"/>
    </xf>
    <xf numFmtId="3" fontId="36" fillId="14" borderId="1" xfId="0" applyNumberFormat="1" applyFont="1" applyFill="1" applyBorder="1" applyAlignment="1">
      <alignment horizontal="center" vertical="center" wrapText="1"/>
    </xf>
    <xf numFmtId="3" fontId="36" fillId="14" borderId="1" xfId="0" applyNumberFormat="1" applyFont="1" applyFill="1" applyBorder="1" applyAlignment="1">
      <alignment horizontal="center" vertical="center"/>
    </xf>
    <xf numFmtId="17" fontId="6" fillId="14" borderId="1" xfId="0" applyNumberFormat="1" applyFont="1" applyFill="1" applyBorder="1" applyAlignment="1">
      <alignment horizontal="center" vertical="center"/>
    </xf>
    <xf numFmtId="3" fontId="6" fillId="14" borderId="1" xfId="0" applyNumberFormat="1" applyFont="1" applyFill="1" applyBorder="1" applyAlignment="1">
      <alignment horizontal="center" vertical="center"/>
    </xf>
    <xf numFmtId="3" fontId="6" fillId="14" borderId="1" xfId="4" applyNumberFormat="1" applyFont="1" applyFill="1" applyBorder="1" applyAlignment="1">
      <alignment horizontal="center"/>
    </xf>
    <xf numFmtId="3" fontId="0" fillId="14" borderId="1" xfId="4" applyNumberFormat="1" applyFont="1" applyFill="1" applyBorder="1" applyAlignment="1">
      <alignment horizontal="center"/>
    </xf>
    <xf numFmtId="17" fontId="6" fillId="14" borderId="3" xfId="0" applyNumberFormat="1" applyFont="1" applyFill="1" applyBorder="1" applyAlignment="1">
      <alignment horizontal="center"/>
    </xf>
    <xf numFmtId="0" fontId="6" fillId="14" borderId="3" xfId="0" applyFont="1" applyFill="1" applyBorder="1" applyAlignment="1">
      <alignment horizontal="center"/>
    </xf>
    <xf numFmtId="1" fontId="6" fillId="14" borderId="1" xfId="0" applyNumberFormat="1" applyFont="1" applyFill="1" applyBorder="1" applyAlignment="1">
      <alignment horizontal="center"/>
    </xf>
    <xf numFmtId="17" fontId="6" fillId="14" borderId="1" xfId="0" applyNumberFormat="1" applyFont="1" applyFill="1" applyBorder="1" applyAlignment="1">
      <alignment horizontal="center" vertical="center" wrapText="1"/>
    </xf>
    <xf numFmtId="17" fontId="6" fillId="14" borderId="1" xfId="0" quotePrefix="1" applyNumberFormat="1" applyFont="1" applyFill="1" applyBorder="1" applyAlignment="1">
      <alignment horizontal="center"/>
    </xf>
    <xf numFmtId="3" fontId="6" fillId="14" borderId="1" xfId="4"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3" fontId="6" fillId="14" borderId="59" xfId="1" applyNumberFormat="1" applyFont="1" applyFill="1" applyBorder="1" applyAlignment="1">
      <alignment horizontal="center" vertical="center" wrapText="1"/>
    </xf>
    <xf numFmtId="0" fontId="6" fillId="14" borderId="3" xfId="0" applyFont="1" applyFill="1" applyBorder="1" applyAlignment="1">
      <alignment vertical="center" wrapText="1"/>
    </xf>
    <xf numFmtId="3" fontId="6" fillId="14" borderId="1" xfId="0" applyNumberFormat="1" applyFont="1" applyFill="1" applyBorder="1" applyAlignment="1">
      <alignment horizontal="center" vertical="center" wrapText="1"/>
    </xf>
    <xf numFmtId="0" fontId="6" fillId="0" borderId="62" xfId="0" applyFont="1" applyBorder="1" applyAlignment="1">
      <alignment vertical="center" wrapText="1"/>
    </xf>
    <xf numFmtId="0" fontId="6" fillId="0" borderId="64" xfId="0" applyFont="1" applyBorder="1" applyAlignment="1">
      <alignment vertical="center" wrapText="1"/>
    </xf>
    <xf numFmtId="0" fontId="6" fillId="14" borderId="64" xfId="0" applyFont="1" applyFill="1" applyBorder="1" applyAlignment="1">
      <alignment vertical="center" wrapText="1"/>
    </xf>
    <xf numFmtId="3" fontId="6" fillId="14" borderId="57" xfId="1" applyNumberFormat="1" applyFont="1" applyFill="1" applyBorder="1" applyAlignment="1">
      <alignment horizontal="center" vertical="center" wrapText="1"/>
    </xf>
    <xf numFmtId="3" fontId="6" fillId="14" borderId="82" xfId="1" applyNumberFormat="1" applyFont="1" applyFill="1" applyBorder="1" applyAlignment="1">
      <alignment horizontal="center" vertical="center" wrapText="1"/>
    </xf>
    <xf numFmtId="3" fontId="0" fillId="3" borderId="1" xfId="0" applyNumberFormat="1" applyFill="1" applyBorder="1" applyAlignment="1">
      <alignment horizontal="center"/>
    </xf>
    <xf numFmtId="3" fontId="0" fillId="0" borderId="1" xfId="1" applyNumberFormat="1" applyFont="1" applyBorder="1" applyAlignment="1">
      <alignment horizontal="center" vertical="center"/>
    </xf>
    <xf numFmtId="3" fontId="6" fillId="14" borderId="1" xfId="1" applyNumberFormat="1" applyFont="1" applyFill="1" applyBorder="1" applyAlignment="1">
      <alignment horizontal="center" vertical="center"/>
    </xf>
    <xf numFmtId="3" fontId="0" fillId="3" borderId="1" xfId="0" applyNumberFormat="1" applyFill="1" applyBorder="1" applyAlignment="1">
      <alignment horizontal="center" vertical="center"/>
    </xf>
    <xf numFmtId="165" fontId="10" fillId="16" borderId="1" xfId="3" applyNumberFormat="1" applyFont="1" applyFill="1" applyBorder="1" applyAlignment="1">
      <alignment horizontal="center" vertical="center"/>
    </xf>
    <xf numFmtId="3" fontId="6" fillId="16"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6" borderId="52" xfId="0" applyNumberFormat="1" applyFont="1" applyFill="1" applyBorder="1" applyAlignment="1">
      <alignment horizontal="center" vertical="center" wrapText="1"/>
    </xf>
    <xf numFmtId="164" fontId="6" fillId="16" borderId="52" xfId="2"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6" fillId="16" borderId="1" xfId="0" applyFont="1" applyFill="1" applyBorder="1" applyAlignment="1">
      <alignment horizontal="left"/>
    </xf>
    <xf numFmtId="9" fontId="6" fillId="16" borderId="1" xfId="2" applyFont="1" applyFill="1" applyBorder="1" applyAlignment="1">
      <alignment horizontal="center"/>
    </xf>
    <xf numFmtId="0" fontId="6" fillId="16" borderId="3" xfId="0" applyFont="1" applyFill="1" applyBorder="1" applyAlignment="1">
      <alignment horizontal="center" vertical="center" wrapText="1"/>
    </xf>
    <xf numFmtId="164" fontId="6" fillId="16" borderId="1" xfId="2" applyNumberFormat="1" applyFont="1" applyFill="1" applyBorder="1" applyAlignment="1">
      <alignment horizontal="center"/>
    </xf>
    <xf numFmtId="0" fontId="7" fillId="2" borderId="0" xfId="0" applyFont="1" applyFill="1" applyAlignment="1">
      <alignment horizontal="left" vertical="top" wrapText="1"/>
    </xf>
    <xf numFmtId="3" fontId="1" fillId="0" borderId="1" xfId="4" applyNumberFormat="1" applyFont="1" applyFill="1" applyBorder="1" applyAlignment="1">
      <alignment horizontal="center" vertical="center"/>
    </xf>
    <xf numFmtId="3" fontId="6" fillId="15" borderId="1" xfId="4" applyNumberFormat="1" applyFont="1" applyFill="1" applyBorder="1" applyAlignment="1">
      <alignment horizontal="center" vertical="center"/>
    </xf>
    <xf numFmtId="3" fontId="10" fillId="15" borderId="1" xfId="4"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6" borderId="1" xfId="0" applyFont="1" applyFill="1" applyBorder="1" applyAlignment="1">
      <alignment horizontal="center" vertical="center"/>
    </xf>
    <xf numFmtId="0" fontId="6" fillId="16" borderId="1" xfId="0" applyFont="1" applyFill="1" applyBorder="1"/>
    <xf numFmtId="3" fontId="6" fillId="16" borderId="1" xfId="1" applyNumberFormat="1" applyFont="1" applyFill="1" applyBorder="1" applyAlignment="1">
      <alignment horizontal="center" vertical="center" wrapText="1"/>
    </xf>
    <xf numFmtId="9" fontId="6" fillId="16" borderId="1" xfId="2" applyFont="1" applyFill="1" applyBorder="1" applyAlignment="1">
      <alignment horizontal="center" vertical="center" wrapText="1"/>
    </xf>
    <xf numFmtId="17" fontId="10" fillId="16" borderId="1" xfId="0" applyNumberFormat="1" applyFont="1" applyFill="1" applyBorder="1" applyAlignment="1">
      <alignment horizontal="center" vertical="center"/>
    </xf>
    <xf numFmtId="17" fontId="10" fillId="16" borderId="1" xfId="0" applyNumberFormat="1" applyFont="1" applyFill="1" applyBorder="1" applyAlignment="1">
      <alignment horizontal="center" vertical="center" wrapText="1"/>
    </xf>
    <xf numFmtId="41" fontId="6" fillId="16" borderId="1" xfId="1" applyFont="1" applyFill="1" applyBorder="1" applyAlignment="1">
      <alignment horizontal="center" vertical="center" wrapText="1"/>
    </xf>
    <xf numFmtId="0" fontId="0" fillId="0" borderId="64" xfId="0" applyBorder="1" applyAlignment="1">
      <alignment horizontal="left" vertical="center" wrapText="1"/>
    </xf>
    <xf numFmtId="0" fontId="0" fillId="0" borderId="75" xfId="0" applyBorder="1" applyAlignment="1">
      <alignment horizontal="left" vertical="center" wrapText="1"/>
    </xf>
    <xf numFmtId="0" fontId="6" fillId="14" borderId="3" xfId="0" applyFont="1" applyFill="1" applyBorder="1" applyAlignment="1">
      <alignment horizontal="left" vertical="center" wrapText="1"/>
    </xf>
    <xf numFmtId="3" fontId="6" fillId="16" borderId="2" xfId="1" applyNumberFormat="1" applyFont="1" applyFill="1" applyBorder="1" applyAlignment="1">
      <alignment horizontal="center"/>
    </xf>
    <xf numFmtId="0" fontId="6" fillId="0" borderId="50" xfId="0" applyFont="1" applyBorder="1" applyAlignment="1">
      <alignment horizontal="center" vertical="center" wrapText="1"/>
    </xf>
    <xf numFmtId="17"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2" applyFont="1" applyBorder="1" applyAlignment="1">
      <alignment horizontal="center" vertical="center" wrapText="1"/>
    </xf>
    <xf numFmtId="17" fontId="6" fillId="16" borderId="1" xfId="0" applyNumberFormat="1" applyFont="1" applyFill="1" applyBorder="1" applyAlignment="1">
      <alignment horizontal="center" vertical="center" wrapText="1"/>
    </xf>
    <xf numFmtId="3" fontId="6" fillId="16" borderId="2" xfId="0" applyNumberFormat="1" applyFont="1" applyFill="1" applyBorder="1" applyAlignment="1">
      <alignment horizontal="center" vertical="center" wrapText="1"/>
    </xf>
    <xf numFmtId="3" fontId="0" fillId="0" borderId="1" xfId="0" applyNumberFormat="1" applyBorder="1" applyAlignment="1">
      <alignment horizontal="center" vertical="center" wrapText="1"/>
    </xf>
    <xf numFmtId="3" fontId="6" fillId="16" borderId="1" xfId="0" applyNumberFormat="1" applyFont="1" applyFill="1" applyBorder="1" applyAlignment="1">
      <alignment horizontal="center" vertical="center" wrapText="1"/>
    </xf>
    <xf numFmtId="17" fontId="6" fillId="16" borderId="1" xfId="0" applyNumberFormat="1" applyFont="1" applyFill="1" applyBorder="1" applyAlignment="1">
      <alignment horizontal="center" vertical="center"/>
    </xf>
    <xf numFmtId="0" fontId="6" fillId="0" borderId="31" xfId="0" applyFont="1" applyBorder="1" applyAlignment="1">
      <alignment horizontal="center" vertical="center" wrapText="1"/>
    </xf>
    <xf numFmtId="3" fontId="6" fillId="16" borderId="1" xfId="0" applyNumberFormat="1" applyFont="1" applyFill="1" applyBorder="1"/>
    <xf numFmtId="17" fontId="10" fillId="0" borderId="1" xfId="3" applyNumberFormat="1" applyFont="1" applyFill="1" applyBorder="1" applyAlignment="1">
      <alignment horizontal="center" vertical="center" wrapText="1"/>
    </xf>
    <xf numFmtId="3" fontId="10" fillId="16" borderId="1" xfId="0" applyNumberFormat="1" applyFont="1" applyFill="1" applyBorder="1" applyAlignment="1">
      <alignment horizontal="center" vertical="center" wrapText="1"/>
    </xf>
    <xf numFmtId="17" fontId="10" fillId="16" borderId="1" xfId="3"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9" fontId="9" fillId="3" borderId="1" xfId="2" applyFont="1" applyFill="1" applyBorder="1" applyAlignment="1">
      <alignment horizontal="center" vertical="center" wrapText="1"/>
    </xf>
    <xf numFmtId="9" fontId="10" fillId="16" borderId="1" xfId="2" applyFont="1" applyFill="1" applyBorder="1" applyAlignment="1">
      <alignment horizontal="center" vertical="center" wrapText="1"/>
    </xf>
    <xf numFmtId="17" fontId="5"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34"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17" fontId="10"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0" borderId="1" xfId="0" applyNumberFormat="1" applyFont="1" applyBorder="1" applyAlignment="1">
      <alignment horizontal="center"/>
    </xf>
    <xf numFmtId="17" fontId="6" fillId="0" borderId="1" xfId="0" quotePrefix="1" applyNumberFormat="1" applyFont="1" applyBorder="1" applyAlignment="1">
      <alignment horizontal="center"/>
    </xf>
    <xf numFmtId="17" fontId="6" fillId="0" borderId="3" xfId="0" applyNumberFormat="1" applyFont="1" applyBorder="1" applyAlignment="1">
      <alignment horizontal="center"/>
    </xf>
    <xf numFmtId="3" fontId="1" fillId="0" borderId="1" xfId="4" applyNumberFormat="1" applyFont="1" applyFill="1" applyBorder="1" applyAlignment="1">
      <alignment horizontal="center"/>
    </xf>
    <xf numFmtId="170" fontId="33" fillId="0" borderId="1" xfId="0" applyNumberFormat="1" applyFont="1" applyBorder="1" applyAlignment="1">
      <alignment horizontal="center" vertical="center" wrapText="1"/>
    </xf>
    <xf numFmtId="0" fontId="7" fillId="3" borderId="0" xfId="0" applyFont="1" applyFill="1" applyAlignment="1">
      <alignment horizontal="left" vertical="center" wrapText="1"/>
    </xf>
    <xf numFmtId="0" fontId="33" fillId="0" borderId="1" xfId="0" applyFont="1" applyBorder="1" applyAlignment="1">
      <alignment horizontal="center" vertical="center"/>
    </xf>
    <xf numFmtId="3" fontId="34" fillId="0" borderId="1" xfId="0" applyNumberFormat="1" applyFont="1" applyBorder="1" applyAlignment="1">
      <alignment horizontal="center" vertical="center"/>
    </xf>
    <xf numFmtId="3" fontId="33" fillId="16" borderId="1" xfId="0" applyNumberFormat="1" applyFont="1" applyFill="1" applyBorder="1" applyAlignment="1">
      <alignment horizontal="center" vertical="center"/>
    </xf>
    <xf numFmtId="0" fontId="33" fillId="16" borderId="1" xfId="0" applyFont="1" applyFill="1" applyBorder="1" applyAlignment="1">
      <alignment horizontal="center" vertical="center"/>
    </xf>
    <xf numFmtId="171" fontId="6" fillId="14" borderId="1" xfId="0" applyNumberFormat="1" applyFont="1" applyFill="1" applyBorder="1" applyAlignment="1">
      <alignment horizontal="center" vertical="center"/>
    </xf>
    <xf numFmtId="0" fontId="6" fillId="16" borderId="64" xfId="0" applyFont="1" applyFill="1" applyBorder="1" applyAlignment="1">
      <alignment vertical="center" wrapText="1"/>
    </xf>
    <xf numFmtId="0" fontId="4" fillId="0" borderId="0" xfId="0" applyFont="1"/>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2" fillId="0" borderId="0" xfId="5" applyFill="1" applyAlignment="1" applyProtection="1">
      <alignment horizontal="left"/>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32" fillId="0" borderId="0" xfId="5" applyFont="1" applyFill="1" applyAlignment="1" applyProtection="1"/>
    <xf numFmtId="0" fontId="22" fillId="0" borderId="0" xfId="5" applyFill="1" applyAlignment="1" applyProtection="1"/>
    <xf numFmtId="0" fontId="22" fillId="0" borderId="0" xfId="5" applyAlignment="1" applyProtection="1">
      <alignment horizontal="left"/>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32" fillId="0" borderId="0" xfId="5" applyFont="1" applyAlignment="1" applyProtection="1">
      <alignment horizontal="left"/>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0" fontId="6" fillId="0" borderId="1" xfId="0" applyFont="1" applyBorder="1" applyAlignment="1">
      <alignment horizontal="center"/>
    </xf>
    <xf numFmtId="170" fontId="6" fillId="0" borderId="50" xfId="0" quotePrefix="1" applyNumberFormat="1" applyFont="1" applyBorder="1" applyAlignment="1">
      <alignment horizontal="center" vertical="center"/>
    </xf>
    <xf numFmtId="170" fontId="6" fillId="0" borderId="51" xfId="0" quotePrefix="1" applyNumberFormat="1" applyFont="1" applyBorder="1" applyAlignment="1">
      <alignment horizontal="center" vertical="center"/>
    </xf>
    <xf numFmtId="170" fontId="6" fillId="0" borderId="12" xfId="0" quotePrefix="1" applyNumberFormat="1" applyFont="1" applyBorder="1" applyAlignment="1">
      <alignment horizontal="center" vertical="center"/>
    </xf>
    <xf numFmtId="0" fontId="7" fillId="0" borderId="0" xfId="0" quotePrefix="1" applyFont="1" applyAlignment="1">
      <alignment horizontal="left" vertical="top"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13" fillId="0" borderId="0" xfId="0" quotePrefix="1" applyFont="1" applyAlignment="1">
      <alignment horizontal="left" vertical="center"/>
    </xf>
    <xf numFmtId="0" fontId="6" fillId="16" borderId="1" xfId="0" applyFont="1" applyFill="1" applyBorder="1" applyAlignment="1">
      <alignment horizontal="center"/>
    </xf>
    <xf numFmtId="170" fontId="6" fillId="0" borderId="51" xfId="0" applyNumberFormat="1" applyFont="1" applyBorder="1" applyAlignment="1">
      <alignment horizontal="center" vertic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0" fontId="6" fillId="0" borderId="0" xfId="0" applyFont="1" applyAlignment="1">
      <alignment horizontal="center"/>
    </xf>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3" borderId="1" xfId="0" applyFont="1" applyFill="1" applyBorder="1" applyAlignment="1">
      <alignment horizontal="center" vertical="center"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 xfId="0" applyFont="1" applyBorder="1" applyAlignment="1">
      <alignment horizontal="center" vertical="center" wrapText="1"/>
    </xf>
    <xf numFmtId="0" fontId="6" fillId="16" borderId="1" xfId="0" applyFont="1" applyFill="1" applyBorder="1" applyAlignment="1">
      <alignment horizontal="center" vertical="center" wrapText="1"/>
    </xf>
    <xf numFmtId="0" fontId="7" fillId="3" borderId="5" xfId="0" applyFont="1" applyFill="1" applyBorder="1" applyAlignment="1">
      <alignment horizontal="left" vertical="top" wrapText="1"/>
    </xf>
    <xf numFmtId="0" fontId="10" fillId="16" borderId="1" xfId="0" applyFont="1" applyFill="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165" fontId="10" fillId="0" borderId="1" xfId="3" applyNumberFormat="1" applyFont="1" applyFill="1" applyBorder="1" applyAlignment="1">
      <alignment horizontal="center"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0" borderId="1" xfId="0" applyFont="1" applyBorder="1" applyAlignment="1">
      <alignment horizontal="center" vertical="center"/>
    </xf>
    <xf numFmtId="0" fontId="7" fillId="3" borderId="0" xfId="0" applyFont="1" applyFill="1" applyAlignment="1">
      <alignment horizontal="left" vertical="center" wrapText="1"/>
    </xf>
    <xf numFmtId="0" fontId="6" fillId="14" borderId="30" xfId="0" applyFont="1" applyFill="1" applyBorder="1" applyAlignment="1">
      <alignment horizontal="center" vertical="center"/>
    </xf>
    <xf numFmtId="0" fontId="6" fillId="14" borderId="5" xfId="0" applyFont="1" applyFill="1" applyBorder="1" applyAlignment="1">
      <alignment horizontal="center" vertical="center"/>
    </xf>
    <xf numFmtId="0" fontId="6" fillId="14" borderId="31" xfId="0" applyFont="1" applyFill="1" applyBorder="1" applyAlignment="1">
      <alignment horizontal="center" vertical="center"/>
    </xf>
    <xf numFmtId="0" fontId="6" fillId="14" borderId="13" xfId="0" applyFont="1" applyFill="1" applyBorder="1" applyAlignment="1">
      <alignment horizontal="center" vertical="center"/>
    </xf>
    <xf numFmtId="0" fontId="6" fillId="14" borderId="34" xfId="0" applyFont="1" applyFill="1" applyBorder="1" applyAlignment="1">
      <alignment horizontal="center" vertical="center"/>
    </xf>
    <xf numFmtId="0" fontId="6" fillId="14" borderId="11" xfId="0" applyFont="1" applyFill="1" applyBorder="1" applyAlignment="1">
      <alignment horizontal="center" vertical="center"/>
    </xf>
    <xf numFmtId="17" fontId="10" fillId="0" borderId="0" xfId="0" applyNumberFormat="1" applyFont="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0" xfId="0" applyFont="1" applyBorder="1" applyAlignment="1">
      <alignment horizontal="center" vertical="center"/>
    </xf>
    <xf numFmtId="0" fontId="6" fillId="0" borderId="51" xfId="0" applyFont="1" applyBorder="1" applyAlignment="1">
      <alignment horizontal="center" vertical="center"/>
    </xf>
    <xf numFmtId="0" fontId="6" fillId="0" borderId="12" xfId="0" applyFont="1" applyBorder="1" applyAlignment="1">
      <alignment horizontal="center" vertical="center"/>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4" fillId="0" borderId="0" xfId="0" applyFont="1" applyAlignment="1">
      <alignment horizontal="left"/>
    </xf>
    <xf numFmtId="0" fontId="6" fillId="0" borderId="1" xfId="0" applyFont="1" applyBorder="1" applyAlignment="1">
      <alignment horizontal="left" vertical="center" wrapText="1"/>
    </xf>
    <xf numFmtId="0" fontId="6" fillId="16" borderId="1" xfId="0" applyFont="1" applyFill="1" applyBorder="1" applyAlignment="1">
      <alignment horizontal="left" vertical="center" wrapText="1"/>
    </xf>
    <xf numFmtId="0" fontId="3" fillId="2" borderId="0" xfId="0" applyFont="1" applyFill="1" applyAlignment="1">
      <alignment horizontal="left"/>
    </xf>
    <xf numFmtId="165" fontId="10" fillId="16" borderId="1" xfId="3"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0" fontId="7" fillId="3" borderId="53" xfId="0" applyFont="1" applyFill="1" applyBorder="1" applyAlignment="1">
      <alignment horizontal="left" vertical="top" wrapText="1"/>
    </xf>
    <xf numFmtId="0" fontId="6" fillId="16" borderId="30" xfId="0" applyFont="1" applyFill="1" applyBorder="1" applyAlignment="1">
      <alignment horizontal="center" vertical="center"/>
    </xf>
    <xf numFmtId="0" fontId="6" fillId="16" borderId="5" xfId="0" applyFont="1" applyFill="1" applyBorder="1" applyAlignment="1">
      <alignment horizontal="center" vertical="center"/>
    </xf>
    <xf numFmtId="0" fontId="6" fillId="16" borderId="31" xfId="0" applyFont="1" applyFill="1" applyBorder="1" applyAlignment="1">
      <alignment horizontal="center" vertical="center"/>
    </xf>
    <xf numFmtId="0" fontId="6" fillId="16" borderId="13" xfId="0" applyFont="1" applyFill="1" applyBorder="1" applyAlignment="1">
      <alignment horizontal="center" vertical="center"/>
    </xf>
    <xf numFmtId="0" fontId="6" fillId="16" borderId="34" xfId="0" applyFont="1" applyFill="1" applyBorder="1" applyAlignment="1">
      <alignment horizontal="center" vertical="center"/>
    </xf>
    <xf numFmtId="0" fontId="6" fillId="16" borderId="11" xfId="0" applyFont="1" applyFill="1" applyBorder="1" applyAlignment="1">
      <alignment horizontal="center" vertical="center"/>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32" fillId="0" borderId="0" xfId="5" applyFont="1" applyAlignment="1" applyProtection="1"/>
    <xf numFmtId="0" fontId="33" fillId="0" borderId="1" xfId="0" applyFont="1" applyBorder="1" applyAlignment="1">
      <alignment horizontal="center" vertical="center" wrapText="1"/>
    </xf>
    <xf numFmtId="0" fontId="33" fillId="0" borderId="3" xfId="0" applyFont="1" applyBorder="1" applyAlignment="1">
      <alignment horizontal="center" vertical="center"/>
    </xf>
    <xf numFmtId="0" fontId="33" fillId="0" borderId="2" xfId="0" applyFont="1" applyBorder="1" applyAlignment="1">
      <alignment horizontal="center" vertical="center"/>
    </xf>
    <xf numFmtId="0" fontId="36" fillId="14" borderId="3" xfId="0" applyFont="1" applyFill="1" applyBorder="1" applyAlignment="1">
      <alignment horizontal="center" vertical="center"/>
    </xf>
    <xf numFmtId="0" fontId="36" fillId="14" borderId="4" xfId="0" applyFont="1" applyFill="1" applyBorder="1" applyAlignment="1">
      <alignment horizontal="center" vertical="center"/>
    </xf>
    <xf numFmtId="0" fontId="36" fillId="14" borderId="2" xfId="0" applyFont="1" applyFill="1" applyBorder="1" applyAlignment="1">
      <alignment horizontal="center" vertical="center"/>
    </xf>
    <xf numFmtId="0" fontId="33" fillId="0" borderId="50"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3" xfId="0" applyFont="1" applyBorder="1" applyAlignment="1">
      <alignment horizontal="center" vertical="center" wrapText="1"/>
    </xf>
    <xf numFmtId="0" fontId="33" fillId="16" borderId="1" xfId="0" applyFont="1" applyFill="1" applyBorder="1" applyAlignment="1">
      <alignment horizontal="center" vertical="center" wrapText="1"/>
    </xf>
    <xf numFmtId="0" fontId="6" fillId="16" borderId="1" xfId="0" applyFont="1" applyFill="1" applyBorder="1" applyAlignment="1">
      <alignment horizontal="center" vertical="center"/>
    </xf>
    <xf numFmtId="0" fontId="33" fillId="0" borderId="1" xfId="0" applyFont="1" applyBorder="1" applyAlignment="1">
      <alignment horizontal="center" vertical="center"/>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50" xfId="0" applyFont="1" applyBorder="1" applyAlignment="1">
      <alignment horizontal="center" vertical="center" wrapText="1"/>
    </xf>
    <xf numFmtId="0" fontId="10" fillId="0" borderId="12" xfId="0" applyFont="1" applyBorder="1" applyAlignment="1">
      <alignment horizontal="center" vertical="center" wrapText="1"/>
    </xf>
    <xf numFmtId="0" fontId="6"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1" xfId="0" applyFont="1" applyBorder="1" applyAlignment="1">
      <alignment horizontal="center" vertical="center" wrapText="1"/>
    </xf>
    <xf numFmtId="1" fontId="6" fillId="14" borderId="3" xfId="0" applyNumberFormat="1" applyFont="1" applyFill="1" applyBorder="1" applyAlignment="1">
      <alignment horizontal="center"/>
    </xf>
    <xf numFmtId="1" fontId="6" fillId="14" borderId="4" xfId="0" applyNumberFormat="1" applyFont="1" applyFill="1" applyBorder="1" applyAlignment="1">
      <alignment horizontal="center"/>
    </xf>
    <xf numFmtId="1" fontId="6" fillId="14" borderId="2" xfId="0" applyNumberFormat="1" applyFont="1" applyFill="1" applyBorder="1" applyAlignment="1">
      <alignment horizontal="center"/>
    </xf>
    <xf numFmtId="0" fontId="10"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25" fillId="3" borderId="0" xfId="0" applyFont="1" applyFill="1" applyAlignment="1">
      <alignment horizontal="center" vertical="center" wrapText="1"/>
    </xf>
    <xf numFmtId="0" fontId="6" fillId="2" borderId="0" xfId="0" applyFont="1" applyFill="1" applyAlignment="1">
      <alignment horizontal="left" vertical="top"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24" fillId="4" borderId="1" xfId="0" applyFont="1" applyFill="1" applyBorder="1" applyAlignment="1">
      <alignment horizontal="center" vertical="center"/>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cellXfs>
  <cellStyles count="17">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3" xfId="9" xr:uid="{9C7E356D-B969-4636-9991-5E76F002E267}"/>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9.xml.rels><?xml version="1.0" encoding="UTF-8" standalone="yes"?>
<Relationships xmlns="http://schemas.openxmlformats.org/package/2006/relationships"><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2.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24343</xdr:colOff>
      <xdr:row>1</xdr:row>
      <xdr:rowOff>128308</xdr:rowOff>
    </xdr:from>
    <xdr:to>
      <xdr:col>16</xdr:col>
      <xdr:colOff>326902</xdr:colOff>
      <xdr:row>3</xdr:row>
      <xdr:rowOff>173444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D633755-C81E-41FF-8E7F-43C5D3B29B25}"/>
            </a:ext>
          </a:extLst>
        </xdr:cNvPr>
        <xdr:cNvSpPr/>
      </xdr:nvSpPr>
      <xdr:spPr>
        <a:xfrm>
          <a:off x="14142510" y="318808"/>
          <a:ext cx="1826559"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584511</xdr:colOff>
      <xdr:row>1</xdr:row>
      <xdr:rowOff>134408</xdr:rowOff>
    </xdr:from>
    <xdr:to>
      <xdr:col>18</xdr:col>
      <xdr:colOff>744195</xdr:colOff>
      <xdr:row>3</xdr:row>
      <xdr:rowOff>179544</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8B5E9D7F-802A-41A0-954D-F2AA1A7312EE}"/>
            </a:ext>
          </a:extLst>
        </xdr:cNvPr>
        <xdr:cNvSpPr/>
      </xdr:nvSpPr>
      <xdr:spPr>
        <a:xfrm>
          <a:off x="16226678" y="324908"/>
          <a:ext cx="1831850" cy="54255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xdr:colOff>
      <xdr:row>2</xdr:row>
      <xdr:rowOff>4483</xdr:rowOff>
    </xdr:from>
    <xdr:to>
      <xdr:col>15</xdr:col>
      <xdr:colOff>857251</xdr:colOff>
      <xdr:row>4</xdr:row>
      <xdr:rowOff>102535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177CD26-C77B-4844-8005-AD74E5F83F89}"/>
            </a:ext>
          </a:extLst>
        </xdr:cNvPr>
        <xdr:cNvSpPr/>
      </xdr:nvSpPr>
      <xdr:spPr>
        <a:xfrm>
          <a:off x="13787439" y="492639"/>
          <a:ext cx="210740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15128</xdr:colOff>
      <xdr:row>2</xdr:row>
      <xdr:rowOff>11906</xdr:rowOff>
    </xdr:from>
    <xdr:to>
      <xdr:col>18</xdr:col>
      <xdr:colOff>127187</xdr:colOff>
      <xdr:row>4</xdr:row>
      <xdr:rowOff>109958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E4AD95EF-D569-449D-975F-54BF301FCCE9}"/>
            </a:ext>
          </a:extLst>
        </xdr:cNvPr>
        <xdr:cNvSpPr/>
      </xdr:nvSpPr>
      <xdr:spPr>
        <a:xfrm>
          <a:off x="16279066" y="500062"/>
          <a:ext cx="2183746"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310403</xdr:colOff>
      <xdr:row>1</xdr:row>
      <xdr:rowOff>0</xdr:rowOff>
    </xdr:from>
    <xdr:to>
      <xdr:col>24</xdr:col>
      <xdr:colOff>355787</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65695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257175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4097000" y="1187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384362</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5502778"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17</xdr:col>
      <xdr:colOff>98612</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5369428" y="952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95250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104775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42:AI416" sheet="1.3"/>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42:K416" sheet="1.3"/>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45:AO419" sheet="1.4"/>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92:W103" sheet="1.2"/>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44">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3">
      <pivotArea collapsedLevelsAreSubtotals="1" fieldPosition="0">
        <references count="1">
          <reference field="23" count="1">
            <x v="11"/>
          </reference>
        </references>
      </pivotArea>
    </format>
    <format dxfId="42">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1">
      <pivotArea collapsedLevelsAreSubtotals="1" fieldPosition="0">
        <references count="1">
          <reference field="23" count="1">
            <x v="12"/>
          </reference>
        </references>
      </pivotArea>
    </format>
    <format dxfId="40">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54">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3">
      <pivotArea collapsedLevelsAreSubtotals="1" fieldPosition="0">
        <references count="1">
          <reference field="23" count="1">
            <x v="11"/>
          </reference>
        </references>
      </pivotArea>
    </format>
    <format dxfId="52">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51">
      <pivotArea collapsedLevelsAreSubtotals="1" fieldPosition="0">
        <references count="1">
          <reference field="23" count="1">
            <x v="12"/>
          </reference>
        </references>
      </pivotArea>
    </format>
    <format dxfId="50">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5">
      <pivotArea outline="0" collapsedLevelsAreSubtotals="1" fieldPosition="0"/>
    </format>
    <format dxfId="4">
      <pivotArea collapsedLevelsAreSubtotals="1" fieldPosition="0">
        <references count="1">
          <reference field="42" count="1">
            <x v="14"/>
          </reference>
        </references>
      </pivotArea>
    </format>
    <format dxfId="3">
      <pivotArea dataOnly="0" labelOnly="1" fieldPosition="0">
        <references count="1">
          <reference field="42" count="1">
            <x v="14"/>
          </reference>
        </references>
      </pivotArea>
    </format>
    <format dxfId="2">
      <pivotArea collapsedLevelsAreSubtotals="1" fieldPosition="0">
        <references count="1">
          <reference field="42" count="1">
            <x v="15"/>
          </reference>
        </references>
      </pivotArea>
    </format>
    <format dxfId="1">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17">
      <pivotArea outline="0" collapsedLevelsAreSubtotals="1" fieldPosition="0"/>
    </format>
    <format dxfId="16">
      <pivotArea collapsedLevelsAreSubtotals="1" fieldPosition="0">
        <references count="1">
          <reference field="42" count="1">
            <x v="14"/>
          </reference>
        </references>
      </pivotArea>
    </format>
    <format dxfId="15">
      <pivotArea dataOnly="0" labelOnly="1" fieldPosition="0">
        <references count="1">
          <reference field="42" count="1">
            <x v="14"/>
          </reference>
        </references>
      </pivotArea>
    </format>
    <format dxfId="14">
      <pivotArea collapsedLevelsAreSubtotals="1" fieldPosition="0">
        <references count="1">
          <reference field="42" count="1">
            <x v="15"/>
          </reference>
        </references>
      </pivotArea>
    </format>
    <format dxfId="13">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29"/>
  <sheetViews>
    <sheetView showGridLines="0" tabSelected="1" workbookViewId="0"/>
    <sheetView workbookViewId="1"/>
  </sheetViews>
  <sheetFormatPr baseColWidth="10" defaultRowHeight="15" x14ac:dyDescent="0.25"/>
  <cols>
    <col min="1" max="1" width="14.42578125" customWidth="1"/>
  </cols>
  <sheetData>
    <row r="1" spans="1:13" x14ac:dyDescent="0.25">
      <c r="B1" s="388" t="s">
        <v>715</v>
      </c>
      <c r="C1" s="389"/>
      <c r="D1" s="389"/>
      <c r="E1" s="389"/>
      <c r="F1" s="389"/>
      <c r="G1" s="389"/>
      <c r="H1" s="389"/>
      <c r="I1" s="389"/>
      <c r="J1" s="389"/>
      <c r="K1" s="389"/>
      <c r="L1" s="389"/>
      <c r="M1" s="389"/>
    </row>
    <row r="2" spans="1:13" x14ac:dyDescent="0.25">
      <c r="B2" s="389"/>
      <c r="C2" s="389"/>
      <c r="D2" s="389"/>
      <c r="E2" s="389"/>
      <c r="F2" s="389"/>
      <c r="G2" s="389"/>
      <c r="H2" s="389"/>
      <c r="I2" s="389"/>
      <c r="J2" s="389"/>
      <c r="K2" s="389"/>
      <c r="L2" s="389"/>
      <c r="M2" s="389"/>
    </row>
    <row r="3" spans="1:13" x14ac:dyDescent="0.25">
      <c r="B3" s="389"/>
      <c r="C3" s="389"/>
      <c r="D3" s="389"/>
      <c r="E3" s="389"/>
      <c r="F3" s="389"/>
      <c r="G3" s="389"/>
      <c r="H3" s="389"/>
      <c r="I3" s="389"/>
      <c r="J3" s="389"/>
      <c r="K3" s="389"/>
      <c r="L3" s="389"/>
      <c r="M3" s="389"/>
    </row>
    <row r="4" spans="1:13" x14ac:dyDescent="0.25">
      <c r="B4" s="389"/>
      <c r="C4" s="389"/>
      <c r="D4" s="389"/>
      <c r="E4" s="389"/>
      <c r="F4" s="389"/>
      <c r="G4" s="389"/>
      <c r="H4" s="389"/>
      <c r="I4" s="389"/>
      <c r="J4" s="389"/>
      <c r="K4" s="389"/>
      <c r="L4" s="389"/>
      <c r="M4" s="389"/>
    </row>
    <row r="5" spans="1:13" x14ac:dyDescent="0.25">
      <c r="B5" s="389"/>
      <c r="C5" s="389"/>
      <c r="D5" s="389"/>
      <c r="E5" s="389"/>
      <c r="F5" s="389"/>
      <c r="G5" s="389"/>
      <c r="H5" s="389"/>
      <c r="I5" s="389"/>
      <c r="J5" s="389"/>
      <c r="K5" s="389"/>
      <c r="L5" s="389"/>
      <c r="M5" s="389"/>
    </row>
    <row r="6" spans="1:13" ht="15.75" x14ac:dyDescent="0.25">
      <c r="B6" s="232"/>
      <c r="C6" s="232"/>
      <c r="D6" s="232"/>
      <c r="E6" s="232"/>
      <c r="F6" s="232"/>
      <c r="G6" s="232"/>
      <c r="H6" s="232"/>
      <c r="I6" s="232"/>
      <c r="J6" s="232"/>
      <c r="K6" s="232"/>
      <c r="L6" s="232"/>
      <c r="M6" s="232"/>
    </row>
    <row r="8" spans="1:13" ht="15.75" thickBot="1" x14ac:dyDescent="0.3"/>
    <row r="9" spans="1:13" ht="24.75" thickTop="1" thickBot="1" x14ac:dyDescent="0.4">
      <c r="A9" s="233"/>
      <c r="B9" s="392" t="s">
        <v>727</v>
      </c>
      <c r="C9" s="393"/>
      <c r="D9" s="393"/>
      <c r="E9" s="393"/>
      <c r="F9" s="393"/>
      <c r="G9" s="393"/>
      <c r="H9" s="393"/>
      <c r="I9" s="393"/>
      <c r="J9" s="393"/>
      <c r="K9" s="393"/>
      <c r="L9" s="393"/>
      <c r="M9" s="394"/>
    </row>
    <row r="10" spans="1:13" ht="16.5" thickTop="1" x14ac:dyDescent="0.25">
      <c r="B10" s="395" t="s">
        <v>856</v>
      </c>
      <c r="C10" s="395"/>
      <c r="D10" s="395"/>
      <c r="E10" s="395"/>
      <c r="F10" s="395"/>
      <c r="G10" s="395"/>
      <c r="H10" s="395"/>
      <c r="I10" s="395"/>
      <c r="J10" s="395"/>
      <c r="K10" s="395"/>
      <c r="L10" s="395"/>
      <c r="M10" s="395"/>
    </row>
    <row r="11" spans="1:13" x14ac:dyDescent="0.25">
      <c r="B11" s="390"/>
      <c r="C11" s="390"/>
      <c r="D11" s="390"/>
      <c r="E11" s="390"/>
      <c r="F11" s="390"/>
      <c r="G11" s="390"/>
      <c r="H11" s="390"/>
      <c r="I11" s="390"/>
      <c r="J11" s="390"/>
      <c r="K11" s="390"/>
      <c r="L11" s="390"/>
      <c r="M11" s="390"/>
    </row>
    <row r="12" spans="1:13" ht="18.75" x14ac:dyDescent="0.3">
      <c r="B12" s="396" t="s">
        <v>723</v>
      </c>
      <c r="C12" s="396"/>
      <c r="D12" s="396"/>
      <c r="E12" s="396"/>
      <c r="F12" s="396"/>
      <c r="G12" s="396"/>
      <c r="H12" s="396"/>
      <c r="I12" s="396"/>
      <c r="J12" s="396"/>
      <c r="K12" s="396"/>
      <c r="L12" s="396"/>
      <c r="M12" s="396"/>
    </row>
    <row r="13" spans="1:13" x14ac:dyDescent="0.25">
      <c r="B13" s="397" t="s">
        <v>718</v>
      </c>
      <c r="C13" s="397"/>
      <c r="D13" s="397"/>
      <c r="E13" s="397"/>
      <c r="F13" s="397"/>
      <c r="G13" s="397"/>
      <c r="H13" s="397"/>
      <c r="I13" s="397"/>
      <c r="J13" s="397"/>
      <c r="K13" s="397"/>
      <c r="L13" s="397"/>
      <c r="M13" s="397"/>
    </row>
    <row r="14" spans="1:13" x14ac:dyDescent="0.25">
      <c r="B14" s="398" t="s">
        <v>774</v>
      </c>
      <c r="C14" s="398"/>
      <c r="D14" s="398"/>
      <c r="E14" s="398"/>
      <c r="F14" s="398"/>
      <c r="G14" s="398"/>
      <c r="H14" s="398"/>
      <c r="I14" s="398"/>
      <c r="J14" s="398"/>
      <c r="K14" s="398"/>
      <c r="L14" s="398"/>
      <c r="M14" s="398"/>
    </row>
    <row r="15" spans="1:13" x14ac:dyDescent="0.25">
      <c r="B15" s="398" t="s">
        <v>775</v>
      </c>
      <c r="C15" s="398"/>
      <c r="D15" s="398"/>
      <c r="E15" s="398"/>
      <c r="F15" s="398"/>
      <c r="G15" s="398"/>
      <c r="H15" s="398"/>
      <c r="I15" s="398"/>
      <c r="J15" s="398"/>
      <c r="K15" s="398"/>
      <c r="L15" s="398"/>
      <c r="M15" s="398"/>
    </row>
    <row r="16" spans="1:13" x14ac:dyDescent="0.25">
      <c r="B16" s="398" t="s">
        <v>722</v>
      </c>
      <c r="C16" s="398"/>
      <c r="D16" s="398"/>
      <c r="E16" s="398"/>
      <c r="F16" s="398"/>
      <c r="G16" s="398"/>
      <c r="H16" s="398"/>
      <c r="I16" s="398"/>
      <c r="J16" s="398"/>
      <c r="K16" s="398"/>
      <c r="L16" s="398"/>
      <c r="M16" s="398"/>
    </row>
    <row r="17" spans="2:13" ht="18.75" x14ac:dyDescent="0.3">
      <c r="B17" s="396" t="s">
        <v>714</v>
      </c>
      <c r="C17" s="396"/>
      <c r="D17" s="396"/>
      <c r="E17" s="396"/>
      <c r="F17" s="396"/>
      <c r="G17" s="396"/>
      <c r="H17" s="396"/>
      <c r="I17" s="396"/>
      <c r="J17" s="396"/>
      <c r="K17" s="396"/>
      <c r="L17" s="396"/>
      <c r="M17" s="396"/>
    </row>
    <row r="18" spans="2:13" x14ac:dyDescent="0.25">
      <c r="B18" s="391" t="s">
        <v>776</v>
      </c>
      <c r="C18" s="391"/>
      <c r="D18" s="391"/>
      <c r="E18" s="391"/>
      <c r="F18" s="391"/>
      <c r="G18" s="391"/>
      <c r="H18" s="391"/>
      <c r="I18" s="391"/>
      <c r="J18" s="391"/>
      <c r="K18" s="391"/>
      <c r="L18" s="391"/>
      <c r="M18" s="391"/>
    </row>
    <row r="19" spans="2:13" x14ac:dyDescent="0.25">
      <c r="B19" s="391" t="s">
        <v>783</v>
      </c>
      <c r="C19" s="391"/>
      <c r="D19" s="391"/>
      <c r="E19" s="391"/>
      <c r="F19" s="391"/>
      <c r="G19" s="391"/>
      <c r="H19" s="391"/>
      <c r="I19" s="391"/>
      <c r="J19" s="391"/>
      <c r="K19" s="391"/>
      <c r="L19" s="391"/>
      <c r="M19" s="391"/>
    </row>
    <row r="20" spans="2:13" x14ac:dyDescent="0.25">
      <c r="B20" s="391" t="s">
        <v>778</v>
      </c>
      <c r="C20" s="391"/>
      <c r="D20" s="391"/>
      <c r="E20" s="391"/>
      <c r="F20" s="391"/>
      <c r="G20" s="391"/>
      <c r="H20" s="391"/>
      <c r="I20" s="391"/>
      <c r="J20" s="391"/>
      <c r="K20" s="391"/>
      <c r="L20" s="391"/>
      <c r="M20" s="391"/>
    </row>
    <row r="21" spans="2:13" x14ac:dyDescent="0.25">
      <c r="B21" s="391" t="s">
        <v>784</v>
      </c>
      <c r="C21" s="391"/>
      <c r="D21" s="391"/>
      <c r="E21" s="391"/>
      <c r="F21" s="391"/>
      <c r="G21" s="391"/>
      <c r="H21" s="391"/>
      <c r="I21" s="391"/>
      <c r="J21" s="391"/>
      <c r="K21" s="391"/>
      <c r="L21" s="391"/>
      <c r="M21" s="391"/>
    </row>
    <row r="22" spans="2:13" x14ac:dyDescent="0.25">
      <c r="B22" s="391" t="s">
        <v>780</v>
      </c>
      <c r="C22" s="391"/>
      <c r="D22" s="391"/>
      <c r="E22" s="391"/>
      <c r="F22" s="391"/>
      <c r="G22" s="391"/>
      <c r="H22" s="391"/>
      <c r="I22" s="391"/>
      <c r="J22" s="391"/>
      <c r="K22" s="391"/>
      <c r="L22" s="391"/>
      <c r="M22" s="391"/>
    </row>
    <row r="23" spans="2:13" x14ac:dyDescent="0.25">
      <c r="B23" s="398" t="s">
        <v>781</v>
      </c>
      <c r="C23" s="398"/>
      <c r="D23" s="398"/>
      <c r="E23" s="398"/>
      <c r="F23" s="398"/>
      <c r="G23" s="398"/>
      <c r="H23" s="398"/>
      <c r="I23" s="398"/>
      <c r="J23" s="398"/>
      <c r="K23" s="398"/>
      <c r="L23" s="398"/>
      <c r="M23" s="398"/>
    </row>
    <row r="24" spans="2:13" ht="18.75" x14ac:dyDescent="0.3">
      <c r="B24" s="396" t="s">
        <v>740</v>
      </c>
      <c r="C24" s="396"/>
      <c r="D24" s="396"/>
      <c r="E24" s="396"/>
      <c r="F24" s="396"/>
      <c r="G24" s="396"/>
      <c r="H24" s="396"/>
      <c r="I24" s="396"/>
      <c r="J24" s="396"/>
      <c r="K24" s="396"/>
      <c r="L24" s="396"/>
      <c r="M24" s="396"/>
    </row>
    <row r="25" spans="2:13" x14ac:dyDescent="0.25">
      <c r="B25" s="256" t="s">
        <v>741</v>
      </c>
    </row>
    <row r="26" spans="2:13" ht="18.75" x14ac:dyDescent="0.3">
      <c r="B26" s="396" t="s">
        <v>762</v>
      </c>
      <c r="C26" s="396"/>
      <c r="D26" s="396"/>
      <c r="E26" s="396"/>
      <c r="F26" s="396"/>
      <c r="G26" s="396"/>
      <c r="H26" s="396"/>
      <c r="I26" s="396"/>
      <c r="J26" s="396"/>
      <c r="K26" s="396"/>
      <c r="L26" s="396"/>
      <c r="M26" s="396"/>
    </row>
    <row r="27" spans="2:13" x14ac:dyDescent="0.25">
      <c r="B27" s="256" t="s">
        <v>763</v>
      </c>
    </row>
    <row r="28" spans="2:13" x14ac:dyDescent="0.25">
      <c r="B28" s="256" t="s">
        <v>765</v>
      </c>
    </row>
    <row r="29" spans="2:13" x14ac:dyDescent="0.25">
      <c r="B29" s="256" t="s">
        <v>768</v>
      </c>
    </row>
  </sheetData>
  <mergeCells count="18">
    <mergeCell ref="B24:M24"/>
    <mergeCell ref="B26:M26"/>
    <mergeCell ref="B22:M22"/>
    <mergeCell ref="B23:M23"/>
    <mergeCell ref="B19:M19"/>
    <mergeCell ref="B20:M20"/>
    <mergeCell ref="B21:M21"/>
    <mergeCell ref="B1:M5"/>
    <mergeCell ref="B11:M11"/>
    <mergeCell ref="B18:M18"/>
    <mergeCell ref="B9:M9"/>
    <mergeCell ref="B10:M10"/>
    <mergeCell ref="B12:M12"/>
    <mergeCell ref="B17:M17"/>
    <mergeCell ref="B13:M13"/>
    <mergeCell ref="B14:M14"/>
    <mergeCell ref="B15:M15"/>
    <mergeCell ref="B16:M16"/>
  </mergeCells>
  <hyperlinks>
    <hyperlink ref="B12:M12" location="'I. Beneficios pagados'!A1" display="I. Pago de Beneficios del Pilar No Contributivo" xr:uid="{1BA79B36-5036-430B-8DAB-4A04B59A7EC3}"/>
    <hyperlink ref="B17:M17" location="'II. Estado de Solicitudes'!A1" display="II. Estado de solicitudes" xr:uid="{5E32C9AC-14CA-42EE-B860-7955881BDA35}"/>
    <hyperlink ref="B13:M13" location="'1.1'!A1" display="1. Total de beneficios pagados del Pilar No Contributivo" xr:uid="{EC722C1D-1952-414E-AA3B-DD246723790A}"/>
    <hyperlink ref="B15:M15" location="'1.3'!A1" display="3. Pagos Pensión Básica Solidaria (PBS)" xr:uid="{DFE45D39-2E5B-418A-A36F-F4D6BCF1B7A1}"/>
    <hyperlink ref="B14:M14" location="'1.2'!A1" display="2. Pagos Pensión Garantizada Universal (PGU)" xr:uid="{A3DB2700-DB33-450D-B547-E5AD8058755C}"/>
    <hyperlink ref="B16:M16" location="'1.4'!A1" display="4. Pagos Aporte Previsional Solidario (APS)" xr:uid="{C8EFC842-0BD6-4697-9E9F-1AB1C24F78BD}"/>
    <hyperlink ref="B18:M18" location="'2.1'!A1" display="1. Solicitudes del Pilar No Contributivo a nivel nacional" xr:uid="{5EFB9C70-1ED7-4876-9D7D-D03FAC2507FC}"/>
    <hyperlink ref="B19:M19" location="'2.2'!A1" display="2. Solicitudes a nivel regional y comunal" xr:uid="{3C2C8CCB-4AAA-44D6-8F67-412580B79E1A}"/>
    <hyperlink ref="B20:M20" location="'2.3'!A1" display="3. Solicitudes concedidas del Pilar No Contributivo a nivel nacional" xr:uid="{8517ABA5-CB9B-4980-9208-CAC739F63259}"/>
    <hyperlink ref="B21:M21" location="'2.4'!A1" display="4. Concesiones a nivel regional y comunal" xr:uid="{6D995E26-29D9-4A99-BBED-94DD52CDB247}"/>
    <hyperlink ref="B22:M22" location="'2.5'!A1" display="5. Solicitudes Rechazadas del Pilar No Contributivo" xr:uid="{5D20F942-7DFE-4DEA-96AD-9DDAE13C6335}"/>
    <hyperlink ref="B23:M23" location="'2.6'!A1" display="6. Tasas de concesión de solicitudes" xr:uid="{D8A2EA35-C2C7-4144-BD14-2BE7B124503D}"/>
    <hyperlink ref="B24:M24" location="'III. Bono por hijo'!A1" display="III. Bono por Hijo" xr:uid="{2BF229FB-08AE-4200-A7FE-5F7FF625F183}"/>
    <hyperlink ref="B26:M26" location="'IV. Subsidio STJ'!A1" display="IV. Subsidio al Trabajador Joven" xr:uid="{5BF86860-0062-405A-B903-0B97A20975B6}"/>
    <hyperlink ref="B25" location="'3.1'!A1" display="1. Bono por Hijo" xr:uid="{B2B65761-45A6-4CCA-9F75-3ECBB13D5D49}"/>
    <hyperlink ref="B27" location="'4.1'!A1" display="1. Pagos del Subsidio al Trabajador Joven (STJ)" xr:uid="{47B6102E-AE86-41BD-B4CD-0CB33048A34D}"/>
    <hyperlink ref="B28" location="'4.2'!A1" display="2. Subsidio a la Contratación de Trabajadores Jóvenes" xr:uid="{740A0177-CF64-4ADF-A0A9-A51B49FA76FC}"/>
    <hyperlink ref="B29" location="'4.3'!A1" display="3. Subsidio a la Cotización de Trabajadores Jóvenes" xr:uid="{FCE2254A-0293-4569-9D3F-E0317502A6FE}"/>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23"/>
  <sheetViews>
    <sheetView showGridLines="0" zoomScaleNormal="100" workbookViewId="0"/>
    <sheetView workbookViewId="1"/>
  </sheetViews>
  <sheetFormatPr baseColWidth="10" defaultRowHeight="15" x14ac:dyDescent="0.25"/>
  <cols>
    <col min="1" max="1" width="14.42578125" customWidth="1"/>
  </cols>
  <sheetData>
    <row r="1" spans="2:13" x14ac:dyDescent="0.25">
      <c r="B1" s="388" t="s">
        <v>715</v>
      </c>
      <c r="C1" s="389"/>
      <c r="D1" s="389"/>
      <c r="E1" s="389"/>
      <c r="F1" s="389"/>
      <c r="G1" s="389"/>
      <c r="H1" s="389"/>
      <c r="I1" s="389"/>
      <c r="J1" s="389"/>
      <c r="K1" s="389"/>
      <c r="L1" s="389"/>
      <c r="M1" s="389"/>
    </row>
    <row r="2" spans="2:13" x14ac:dyDescent="0.25">
      <c r="B2" s="389"/>
      <c r="C2" s="389"/>
      <c r="D2" s="389"/>
      <c r="E2" s="389"/>
      <c r="F2" s="389"/>
      <c r="G2" s="389"/>
      <c r="H2" s="389"/>
      <c r="I2" s="389"/>
      <c r="J2" s="389"/>
      <c r="K2" s="389"/>
      <c r="L2" s="389"/>
      <c r="M2" s="389"/>
    </row>
    <row r="3" spans="2:13" x14ac:dyDescent="0.25">
      <c r="B3" s="389"/>
      <c r="C3" s="389"/>
      <c r="D3" s="389"/>
      <c r="E3" s="389"/>
      <c r="F3" s="389"/>
      <c r="G3" s="389"/>
      <c r="H3" s="389"/>
      <c r="I3" s="389"/>
      <c r="J3" s="389"/>
      <c r="K3" s="389"/>
      <c r="L3" s="389"/>
      <c r="M3" s="389"/>
    </row>
    <row r="4" spans="2:13" x14ac:dyDescent="0.25">
      <c r="B4" s="389"/>
      <c r="C4" s="389"/>
      <c r="D4" s="389"/>
      <c r="E4" s="389"/>
      <c r="F4" s="389"/>
      <c r="G4" s="389"/>
      <c r="H4" s="389"/>
      <c r="I4" s="389"/>
      <c r="J4" s="389"/>
      <c r="K4" s="389"/>
      <c r="L4" s="389"/>
      <c r="M4" s="389"/>
    </row>
    <row r="5" spans="2:13" x14ac:dyDescent="0.25">
      <c r="B5" s="389"/>
      <c r="C5" s="389"/>
      <c r="D5" s="389"/>
      <c r="E5" s="389"/>
      <c r="F5" s="389"/>
      <c r="G5" s="389"/>
      <c r="H5" s="389"/>
      <c r="I5" s="389"/>
      <c r="J5" s="389"/>
      <c r="K5" s="389"/>
      <c r="L5" s="389"/>
      <c r="M5" s="389"/>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399" t="s">
        <v>723</v>
      </c>
      <c r="C9" s="400"/>
      <c r="D9" s="400"/>
      <c r="E9" s="400"/>
      <c r="F9" s="400"/>
      <c r="G9" s="400"/>
      <c r="H9" s="400"/>
      <c r="I9" s="400"/>
      <c r="J9" s="400"/>
      <c r="K9" s="400"/>
      <c r="L9" s="400"/>
      <c r="M9" s="401"/>
    </row>
    <row r="10" spans="2:13" ht="15.75" x14ac:dyDescent="0.25">
      <c r="B10" s="395" t="s">
        <v>856</v>
      </c>
      <c r="C10" s="395"/>
      <c r="D10" s="395"/>
      <c r="E10" s="395"/>
      <c r="F10" s="395"/>
      <c r="G10" s="395"/>
      <c r="H10" s="395"/>
      <c r="I10" s="395"/>
      <c r="J10" s="395"/>
      <c r="K10" s="395"/>
      <c r="L10" s="395"/>
      <c r="M10" s="395"/>
    </row>
    <row r="11" spans="2:13" x14ac:dyDescent="0.25">
      <c r="B11" s="390"/>
      <c r="C11" s="390"/>
      <c r="D11" s="390"/>
      <c r="E11" s="390"/>
      <c r="F11" s="390"/>
      <c r="G11" s="390"/>
      <c r="H11" s="390"/>
      <c r="I11" s="390"/>
      <c r="J11" s="390"/>
      <c r="K11" s="390"/>
      <c r="L11" s="390"/>
      <c r="M11" s="390"/>
    </row>
    <row r="12" spans="2:13" ht="18.75" x14ac:dyDescent="0.3">
      <c r="B12" s="402" t="s">
        <v>718</v>
      </c>
      <c r="C12" s="402"/>
      <c r="D12" s="402"/>
      <c r="E12" s="402"/>
      <c r="F12" s="402"/>
      <c r="G12" s="402"/>
      <c r="H12" s="402"/>
      <c r="I12" s="402"/>
      <c r="J12" s="402"/>
      <c r="K12" s="402"/>
      <c r="L12" s="402"/>
      <c r="M12" s="402"/>
    </row>
    <row r="13" spans="2:13" x14ac:dyDescent="0.25">
      <c r="B13" s="398" t="s">
        <v>818</v>
      </c>
      <c r="C13" s="398"/>
      <c r="D13" s="398"/>
      <c r="E13" s="398"/>
      <c r="F13" s="398"/>
      <c r="G13" s="398"/>
      <c r="H13" s="398"/>
      <c r="I13" s="398"/>
      <c r="J13" s="398"/>
      <c r="K13" s="398"/>
      <c r="L13" s="398"/>
      <c r="M13" s="398"/>
    </row>
    <row r="14" spans="2:13" x14ac:dyDescent="0.25">
      <c r="B14" s="398" t="s">
        <v>817</v>
      </c>
      <c r="C14" s="398"/>
      <c r="D14" s="398"/>
      <c r="E14" s="398"/>
      <c r="F14" s="398"/>
      <c r="G14" s="398"/>
      <c r="H14" s="398"/>
      <c r="I14" s="398"/>
      <c r="J14" s="398"/>
      <c r="K14" s="398"/>
      <c r="L14" s="398"/>
      <c r="M14" s="398"/>
    </row>
    <row r="15" spans="2:13" ht="18.75" x14ac:dyDescent="0.3">
      <c r="B15" s="402" t="s">
        <v>774</v>
      </c>
      <c r="C15" s="402"/>
      <c r="D15" s="402"/>
      <c r="E15" s="402"/>
      <c r="F15" s="402"/>
      <c r="G15" s="402"/>
      <c r="H15" s="402"/>
      <c r="I15" s="402"/>
      <c r="J15" s="402"/>
      <c r="K15" s="402"/>
      <c r="L15" s="402"/>
      <c r="M15" s="402"/>
    </row>
    <row r="16" spans="2:13" x14ac:dyDescent="0.25">
      <c r="B16" s="398" t="s">
        <v>818</v>
      </c>
      <c r="C16" s="398"/>
      <c r="D16" s="398"/>
      <c r="E16" s="398"/>
      <c r="F16" s="398"/>
      <c r="G16" s="398"/>
      <c r="H16" s="398"/>
      <c r="I16" s="398"/>
      <c r="J16" s="398"/>
      <c r="K16" s="398"/>
      <c r="L16" s="398"/>
      <c r="M16" s="398"/>
    </row>
    <row r="17" spans="2:13" x14ac:dyDescent="0.25">
      <c r="B17" s="398" t="s">
        <v>820</v>
      </c>
      <c r="C17" s="398"/>
      <c r="D17" s="398"/>
      <c r="E17" s="398"/>
      <c r="F17" s="398"/>
      <c r="G17" s="398"/>
      <c r="H17" s="398"/>
      <c r="I17" s="398"/>
      <c r="J17" s="398"/>
      <c r="K17" s="398"/>
      <c r="L17" s="398"/>
      <c r="M17" s="398"/>
    </row>
    <row r="18" spans="2:13" ht="18.75" x14ac:dyDescent="0.3">
      <c r="B18" s="402" t="s">
        <v>775</v>
      </c>
      <c r="C18" s="402"/>
      <c r="D18" s="402"/>
      <c r="E18" s="402"/>
      <c r="F18" s="402"/>
      <c r="G18" s="402"/>
      <c r="H18" s="402"/>
      <c r="I18" s="402"/>
      <c r="J18" s="402"/>
      <c r="K18" s="402"/>
      <c r="L18" s="402"/>
      <c r="M18" s="402"/>
    </row>
    <row r="19" spans="2:13" x14ac:dyDescent="0.25">
      <c r="B19" s="398" t="s">
        <v>818</v>
      </c>
      <c r="C19" s="398"/>
      <c r="D19" s="398"/>
      <c r="E19" s="398"/>
      <c r="F19" s="398"/>
      <c r="G19" s="398"/>
      <c r="H19" s="398"/>
      <c r="I19" s="398"/>
      <c r="J19" s="398"/>
      <c r="K19" s="398"/>
      <c r="L19" s="398"/>
      <c r="M19" s="398"/>
    </row>
    <row r="20" spans="2:13" x14ac:dyDescent="0.25">
      <c r="B20" s="398" t="s">
        <v>820</v>
      </c>
      <c r="C20" s="398"/>
      <c r="D20" s="398"/>
      <c r="E20" s="398"/>
      <c r="F20" s="398"/>
      <c r="G20" s="398"/>
      <c r="H20" s="398"/>
      <c r="I20" s="398"/>
      <c r="J20" s="398"/>
      <c r="K20" s="398"/>
      <c r="L20" s="398"/>
      <c r="M20" s="398"/>
    </row>
    <row r="21" spans="2:13" ht="18.75" x14ac:dyDescent="0.3">
      <c r="B21" s="402" t="s">
        <v>722</v>
      </c>
      <c r="C21" s="402"/>
      <c r="D21" s="402"/>
      <c r="E21" s="402"/>
      <c r="F21" s="402"/>
      <c r="G21" s="402"/>
      <c r="H21" s="402"/>
      <c r="I21" s="402"/>
      <c r="J21" s="402"/>
      <c r="K21" s="402"/>
      <c r="L21" s="402"/>
      <c r="M21" s="402"/>
    </row>
    <row r="22" spans="2:13" x14ac:dyDescent="0.25">
      <c r="B22" s="398" t="s">
        <v>818</v>
      </c>
      <c r="C22" s="398"/>
      <c r="D22" s="398"/>
      <c r="E22" s="398"/>
      <c r="F22" s="398"/>
      <c r="G22" s="398"/>
      <c r="H22" s="398"/>
      <c r="I22" s="398"/>
      <c r="J22" s="398"/>
      <c r="K22" s="398"/>
      <c r="L22" s="398"/>
      <c r="M22" s="398"/>
    </row>
    <row r="23" spans="2:13" x14ac:dyDescent="0.25">
      <c r="B23" s="398" t="s">
        <v>820</v>
      </c>
      <c r="C23" s="398"/>
      <c r="D23" s="398"/>
      <c r="E23" s="398"/>
      <c r="F23" s="398"/>
      <c r="G23" s="398"/>
      <c r="H23" s="398"/>
      <c r="I23" s="398"/>
      <c r="J23" s="398"/>
      <c r="K23" s="398"/>
      <c r="L23" s="398"/>
      <c r="M23" s="398"/>
    </row>
  </sheetData>
  <mergeCells count="16">
    <mergeCell ref="B16:M16"/>
    <mergeCell ref="B18:M18"/>
    <mergeCell ref="B15:M15"/>
    <mergeCell ref="B13:M13"/>
    <mergeCell ref="B14:M14"/>
    <mergeCell ref="B21:M21"/>
    <mergeCell ref="B17:M17"/>
    <mergeCell ref="B22:M22"/>
    <mergeCell ref="B23:M23"/>
    <mergeCell ref="B20:M20"/>
    <mergeCell ref="B19:M19"/>
    <mergeCell ref="B1:M5"/>
    <mergeCell ref="B9:M9"/>
    <mergeCell ref="B10:M10"/>
    <mergeCell ref="B11:M11"/>
    <mergeCell ref="B12:M12"/>
  </mergeCells>
  <hyperlinks>
    <hyperlink ref="B12:M12" location="'1.1'!A1" display="1. Total de beneficios pagados del Pilar No Contributivo" xr:uid="{BAB42535-16D8-4990-8B62-6090B5DEF07E}"/>
    <hyperlink ref="B13:M13" location="'1.1'!B4" display="i. Resumen trimestral de beneficios pagados en T4 2022, por tipo y sexo" xr:uid="{939D757F-ED37-4A79-8A78-4C07BA53B3F9}"/>
    <hyperlink ref="B14:M14" location="'1.1'!B31" display="ii. Serie resumen de pagos de beneficios acumulados, por tipo" xr:uid="{4416ACD0-07EF-4B32-9C09-02DF791B60CD}"/>
    <hyperlink ref="B18:M18" location="'1.3'!A1" display="3. Pagos Pensión Básica Solidaria (PBS)" xr:uid="{51FC3DB7-86FF-4522-895D-99D4E394B2A9}"/>
    <hyperlink ref="B19:M19" location="'1.3'!B4" display="i. Resumen trimestral de beneficios pagados, por tipo de beneficio y sexo" xr:uid="{E8BCF4CA-B895-49A3-B328-7938D3865F6F}"/>
    <hyperlink ref="B20:M20" location="'1.3'!B22" display="ii. Serie resumen de pagos de beneficios acumulado, por tipo de beneficio y sexo" xr:uid="{7680E28C-D722-48B1-9550-F3E16A3B6636}"/>
    <hyperlink ref="B16:M16" location="'1.2'!B5" display="i. Resumen trimestral de beneficios pagados, por tipo de beneficio y sexo" xr:uid="{6A2E5246-7F24-498C-8BEF-B3B067C95F2F}"/>
    <hyperlink ref="B17:M17" location="'1.2'!B23" display="ii. Serie resumen de pagos de beneficios acumulado, por tipo de beneficio y sexo" xr:uid="{963311E5-746D-48DE-9BCF-F24F66DACF67}"/>
    <hyperlink ref="B21:M21" location="'1.4'!A1" display="4. Pagos Aporte Previsional Solidario (APS)" xr:uid="{4F3EE4F0-097B-4F98-BE99-854A7C4AF112}"/>
    <hyperlink ref="B22:M22" location="'1.4'!B4" display="i. Resumen trimestral de beneficios pagados en T4 2022, por tipo y sexo" xr:uid="{8A2BB148-983C-403C-9CD3-1C9567AD26B3}"/>
    <hyperlink ref="B23:M23" location="'1.4'!B22" display="ii. Serie resumen de pagos de beneficios acumulado, por tipo y sexo" xr:uid="{902E32BA-2722-4009-8445-6CDF4EC0CCB0}"/>
    <hyperlink ref="B15:M15" location="'1.2'!A1" display="2. Pagos Pensión Garantizada Universal (PGU)" xr:uid="{AB45694A-099D-496B-A977-F2310A9E6E34}"/>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 workbookViewId="1"/>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6" t="s">
        <v>10</v>
      </c>
      <c r="B1" t="s">
        <v>603</v>
      </c>
    </row>
    <row r="3" spans="1:2" x14ac:dyDescent="0.25">
      <c r="A3" s="206" t="s">
        <v>548</v>
      </c>
    </row>
    <row r="4" spans="1:2" x14ac:dyDescent="0.25">
      <c r="A4" s="207" t="s">
        <v>589</v>
      </c>
    </row>
    <row r="5" spans="1:2" x14ac:dyDescent="0.25">
      <c r="A5" s="211" t="s">
        <v>660</v>
      </c>
      <c r="B5">
        <v>322141</v>
      </c>
    </row>
    <row r="6" spans="1:2" x14ac:dyDescent="0.25">
      <c r="A6" s="211" t="s">
        <v>661</v>
      </c>
      <c r="B6">
        <v>109963</v>
      </c>
    </row>
    <row r="7" spans="1:2" x14ac:dyDescent="0.25">
      <c r="A7" s="211" t="s">
        <v>662</v>
      </c>
      <c r="B7">
        <v>686334</v>
      </c>
    </row>
    <row r="8" spans="1:2" x14ac:dyDescent="0.25">
      <c r="A8" s="211" t="s">
        <v>663</v>
      </c>
      <c r="B8">
        <v>563950</v>
      </c>
    </row>
    <row r="9" spans="1:2" x14ac:dyDescent="0.25">
      <c r="A9" s="207" t="s">
        <v>590</v>
      </c>
    </row>
    <row r="10" spans="1:2" x14ac:dyDescent="0.25">
      <c r="A10" s="211" t="s">
        <v>660</v>
      </c>
      <c r="B10">
        <v>327443</v>
      </c>
    </row>
    <row r="11" spans="1:2" x14ac:dyDescent="0.25">
      <c r="A11" s="211" t="s">
        <v>661</v>
      </c>
      <c r="B11">
        <v>121585</v>
      </c>
    </row>
    <row r="12" spans="1:2" x14ac:dyDescent="0.25">
      <c r="A12" s="211" t="s">
        <v>662</v>
      </c>
      <c r="B12">
        <v>704099</v>
      </c>
    </row>
    <row r="13" spans="1:2" x14ac:dyDescent="0.25">
      <c r="A13" s="211" t="s">
        <v>663</v>
      </c>
      <c r="B13">
        <v>584193</v>
      </c>
    </row>
    <row r="14" spans="1:2" x14ac:dyDescent="0.25">
      <c r="A14" s="207" t="s">
        <v>591</v>
      </c>
    </row>
    <row r="15" spans="1:2" x14ac:dyDescent="0.25">
      <c r="A15" s="211" t="s">
        <v>660</v>
      </c>
      <c r="B15">
        <v>329180</v>
      </c>
    </row>
    <row r="16" spans="1:2" x14ac:dyDescent="0.25">
      <c r="A16" s="211" t="s">
        <v>661</v>
      </c>
      <c r="B16">
        <v>125728</v>
      </c>
    </row>
    <row r="17" spans="1:2" x14ac:dyDescent="0.25">
      <c r="A17" s="211" t="s">
        <v>662</v>
      </c>
      <c r="B17">
        <v>717919</v>
      </c>
    </row>
    <row r="18" spans="1:2" x14ac:dyDescent="0.25">
      <c r="A18" s="211" t="s">
        <v>663</v>
      </c>
      <c r="B18">
        <v>594890</v>
      </c>
    </row>
    <row r="22" spans="1:2" x14ac:dyDescent="0.25">
      <c r="A22" s="206" t="s">
        <v>10</v>
      </c>
      <c r="B22" t="s">
        <v>603</v>
      </c>
    </row>
    <row r="24" spans="1:2" x14ac:dyDescent="0.25">
      <c r="A24" s="206" t="s">
        <v>548</v>
      </c>
    </row>
    <row r="25" spans="1:2" x14ac:dyDescent="0.25">
      <c r="A25" s="207" t="s">
        <v>589</v>
      </c>
    </row>
    <row r="26" spans="1:2" x14ac:dyDescent="0.25">
      <c r="A26" s="211" t="s">
        <v>664</v>
      </c>
      <c r="B26" s="208">
        <v>62098939.511</v>
      </c>
    </row>
    <row r="27" spans="1:2" x14ac:dyDescent="0.25">
      <c r="A27" s="211" t="s">
        <v>665</v>
      </c>
      <c r="B27" s="208">
        <v>21312758.105999999</v>
      </c>
    </row>
    <row r="28" spans="1:2" x14ac:dyDescent="0.25">
      <c r="A28" s="211" t="s">
        <v>666</v>
      </c>
      <c r="B28" s="208">
        <v>131986560.543</v>
      </c>
    </row>
    <row r="29" spans="1:2" x14ac:dyDescent="0.25">
      <c r="A29" s="211" t="s">
        <v>667</v>
      </c>
      <c r="B29" s="208">
        <v>108014882.678</v>
      </c>
    </row>
    <row r="30" spans="1:2" x14ac:dyDescent="0.25">
      <c r="A30" s="207" t="s">
        <v>590</v>
      </c>
      <c r="B30" s="208"/>
    </row>
    <row r="31" spans="1:2" x14ac:dyDescent="0.25">
      <c r="A31" s="211" t="s">
        <v>664</v>
      </c>
      <c r="B31" s="208">
        <v>63080932.634000003</v>
      </c>
    </row>
    <row r="32" spans="1:2" x14ac:dyDescent="0.25">
      <c r="A32" s="211" t="s">
        <v>665</v>
      </c>
      <c r="B32" s="208">
        <v>23564397.059999999</v>
      </c>
    </row>
    <row r="33" spans="1:2" x14ac:dyDescent="0.25">
      <c r="A33" s="211" t="s">
        <v>666</v>
      </c>
      <c r="B33" s="208">
        <v>135236238.01499999</v>
      </c>
    </row>
    <row r="34" spans="1:2" x14ac:dyDescent="0.25">
      <c r="A34" s="211" t="s">
        <v>667</v>
      </c>
      <c r="B34" s="208">
        <v>111537201.04000001</v>
      </c>
    </row>
    <row r="35" spans="1:2" x14ac:dyDescent="0.25">
      <c r="A35" s="207" t="s">
        <v>591</v>
      </c>
      <c r="B35" s="208"/>
    </row>
    <row r="36" spans="1:2" x14ac:dyDescent="0.25">
      <c r="A36" s="211" t="s">
        <v>664</v>
      </c>
      <c r="B36" s="208">
        <v>63417031.792999998</v>
      </c>
    </row>
    <row r="37" spans="1:2" x14ac:dyDescent="0.25">
      <c r="A37" s="211" t="s">
        <v>665</v>
      </c>
      <c r="B37" s="208">
        <v>24368202.673</v>
      </c>
    </row>
    <row r="38" spans="1:2" x14ac:dyDescent="0.25">
      <c r="A38" s="211" t="s">
        <v>666</v>
      </c>
      <c r="B38" s="208">
        <v>137636217.15900001</v>
      </c>
    </row>
    <row r="39" spans="1:2" x14ac:dyDescent="0.25">
      <c r="A39" s="211" t="s">
        <v>667</v>
      </c>
      <c r="B39" s="208">
        <v>113286938.10600001</v>
      </c>
    </row>
    <row r="43" spans="1:2" x14ac:dyDescent="0.25">
      <c r="A43" s="206" t="s">
        <v>10</v>
      </c>
      <c r="B43" t="s">
        <v>603</v>
      </c>
    </row>
    <row r="45" spans="1:2" x14ac:dyDescent="0.25">
      <c r="A45" s="206" t="s">
        <v>548</v>
      </c>
    </row>
    <row r="46" spans="1:2" x14ac:dyDescent="0.25">
      <c r="A46" s="207" t="s">
        <v>589</v>
      </c>
    </row>
    <row r="47" spans="1:2" x14ac:dyDescent="0.25">
      <c r="A47" s="211" t="s">
        <v>668</v>
      </c>
      <c r="B47" s="208">
        <v>61325232.307267956</v>
      </c>
    </row>
    <row r="48" spans="1:2" x14ac:dyDescent="0.25">
      <c r="A48" s="211" t="s">
        <v>669</v>
      </c>
      <c r="B48" s="208">
        <v>21047216.784234114</v>
      </c>
    </row>
    <row r="49" spans="1:2" x14ac:dyDescent="0.25">
      <c r="A49" s="211" t="s">
        <v>670</v>
      </c>
      <c r="B49" s="208">
        <v>130342104.88092148</v>
      </c>
    </row>
    <row r="50" spans="1:2" x14ac:dyDescent="0.25">
      <c r="A50" s="211" t="s">
        <v>671</v>
      </c>
      <c r="B50" s="208">
        <v>106669096.52615377</v>
      </c>
    </row>
    <row r="51" spans="1:2" x14ac:dyDescent="0.25">
      <c r="A51" s="207" t="s">
        <v>590</v>
      </c>
      <c r="B51" s="208"/>
    </row>
    <row r="52" spans="1:2" x14ac:dyDescent="0.25">
      <c r="A52" s="211" t="s">
        <v>668</v>
      </c>
      <c r="B52" s="208">
        <v>62902519.333161265</v>
      </c>
    </row>
    <row r="53" spans="1:2" x14ac:dyDescent="0.25">
      <c r="A53" s="211" t="s">
        <v>669</v>
      </c>
      <c r="B53" s="208">
        <v>23497749.315805372</v>
      </c>
    </row>
    <row r="54" spans="1:2" x14ac:dyDescent="0.25">
      <c r="A54" s="211" t="s">
        <v>670</v>
      </c>
      <c r="B54" s="208">
        <v>134853746.14923665</v>
      </c>
    </row>
    <row r="55" spans="1:2" x14ac:dyDescent="0.25">
      <c r="A55" s="211" t="s">
        <v>671</v>
      </c>
      <c r="B55" s="208">
        <v>111221737.72370252</v>
      </c>
    </row>
    <row r="56" spans="1:2" x14ac:dyDescent="0.25">
      <c r="A56" s="207" t="s">
        <v>591</v>
      </c>
      <c r="B56" s="208"/>
    </row>
    <row r="57" spans="1:2" x14ac:dyDescent="0.25">
      <c r="A57" s="211" t="s">
        <v>668</v>
      </c>
      <c r="B57" s="208">
        <v>63417031.792999998</v>
      </c>
    </row>
    <row r="58" spans="1:2" x14ac:dyDescent="0.25">
      <c r="A58" s="211" t="s">
        <v>669</v>
      </c>
      <c r="B58" s="208">
        <v>24368202.673</v>
      </c>
    </row>
    <row r="59" spans="1:2" x14ac:dyDescent="0.25">
      <c r="A59" s="211" t="s">
        <v>670</v>
      </c>
      <c r="B59" s="208">
        <v>137636217.15900001</v>
      </c>
    </row>
    <row r="60" spans="1:2" x14ac:dyDescent="0.25">
      <c r="A60" s="211" t="s">
        <v>671</v>
      </c>
      <c r="B60" s="208">
        <v>113286938.10600001</v>
      </c>
    </row>
    <row r="67" spans="1:5" x14ac:dyDescent="0.25">
      <c r="A67" s="206" t="s">
        <v>672</v>
      </c>
      <c r="D67" s="206" t="s">
        <v>672</v>
      </c>
    </row>
    <row r="68" spans="1:5" x14ac:dyDescent="0.25">
      <c r="A68" s="207" t="s">
        <v>674</v>
      </c>
      <c r="B68" s="208">
        <v>319227.81818181818</v>
      </c>
      <c r="D68" s="207" t="s">
        <v>678</v>
      </c>
      <c r="E68" s="208">
        <v>626988.27272727271</v>
      </c>
    </row>
    <row r="69" spans="1:5" x14ac:dyDescent="0.25">
      <c r="A69" s="207" t="s">
        <v>660</v>
      </c>
      <c r="B69" s="208">
        <v>3511506</v>
      </c>
      <c r="D69" s="207" t="s">
        <v>676</v>
      </c>
      <c r="E69" s="208">
        <v>6896871</v>
      </c>
    </row>
    <row r="70" spans="1:5" x14ac:dyDescent="0.25">
      <c r="A70" s="207" t="s">
        <v>675</v>
      </c>
      <c r="B70" s="208">
        <v>111460.54545454546</v>
      </c>
      <c r="D70" s="207" t="s">
        <v>679</v>
      </c>
      <c r="E70" s="208">
        <v>488475.90909090912</v>
      </c>
    </row>
    <row r="71" spans="1:5" x14ac:dyDescent="0.25">
      <c r="A71" s="207" t="s">
        <v>673</v>
      </c>
      <c r="B71" s="208">
        <v>1226066</v>
      </c>
      <c r="D71" s="207" t="s">
        <v>677</v>
      </c>
      <c r="E71" s="208">
        <v>5373235</v>
      </c>
    </row>
    <row r="76" spans="1:5" x14ac:dyDescent="0.25">
      <c r="A76" s="206" t="s">
        <v>672</v>
      </c>
      <c r="D76" s="206" t="s">
        <v>672</v>
      </c>
    </row>
    <row r="77" spans="1:5" x14ac:dyDescent="0.25">
      <c r="A77" s="207" t="s">
        <v>682</v>
      </c>
      <c r="B77" s="208">
        <v>60323651.838181823</v>
      </c>
      <c r="D77" s="207" t="s">
        <v>686</v>
      </c>
      <c r="E77" s="208">
        <v>117640304.71290909</v>
      </c>
    </row>
    <row r="78" spans="1:5" x14ac:dyDescent="0.25">
      <c r="A78" s="207" t="s">
        <v>680</v>
      </c>
      <c r="B78" s="208">
        <v>663560170.22000003</v>
      </c>
      <c r="D78" s="207" t="s">
        <v>684</v>
      </c>
      <c r="E78" s="208">
        <v>1294043351.842</v>
      </c>
    </row>
    <row r="79" spans="1:5" x14ac:dyDescent="0.25">
      <c r="A79" s="207" t="s">
        <v>683</v>
      </c>
      <c r="B79" s="208">
        <v>21167797.947545454</v>
      </c>
      <c r="D79" s="207" t="s">
        <v>687</v>
      </c>
      <c r="E79" s="208">
        <v>91979552.724818185</v>
      </c>
    </row>
    <row r="80" spans="1:5" x14ac:dyDescent="0.25">
      <c r="A80" s="207" t="s">
        <v>681</v>
      </c>
      <c r="B80" s="208">
        <v>232845777.42300001</v>
      </c>
      <c r="D80" s="207" t="s">
        <v>685</v>
      </c>
      <c r="E80" s="208">
        <v>1011775079.973</v>
      </c>
    </row>
    <row r="84" spans="1:5" x14ac:dyDescent="0.25">
      <c r="A84" s="206" t="s">
        <v>672</v>
      </c>
      <c r="D84" s="206" t="s">
        <v>672</v>
      </c>
    </row>
    <row r="85" spans="1:5" x14ac:dyDescent="0.25">
      <c r="A85" s="207" t="s">
        <v>690</v>
      </c>
      <c r="B85" s="208">
        <v>57868225.186836265</v>
      </c>
      <c r="D85" s="207" t="s">
        <v>694</v>
      </c>
      <c r="E85" s="208">
        <v>113231615.65594667</v>
      </c>
    </row>
    <row r="86" spans="1:5" x14ac:dyDescent="0.25">
      <c r="A86" s="207" t="s">
        <v>688</v>
      </c>
      <c r="B86" s="208">
        <v>636550477.05519891</v>
      </c>
      <c r="D86" s="207" t="s">
        <v>692</v>
      </c>
      <c r="E86" s="208">
        <v>1245547772.2154133</v>
      </c>
    </row>
    <row r="87" spans="1:5" x14ac:dyDescent="0.25">
      <c r="A87" s="207" t="s">
        <v>691</v>
      </c>
      <c r="B87" s="208">
        <v>20321992.323435444</v>
      </c>
      <c r="D87" s="207" t="s">
        <v>695</v>
      </c>
      <c r="E87" s="208">
        <v>88711833.569766387</v>
      </c>
    </row>
    <row r="88" spans="1:5" x14ac:dyDescent="0.25">
      <c r="A88" s="207" t="s">
        <v>689</v>
      </c>
      <c r="B88" s="208">
        <v>223541915.55778989</v>
      </c>
      <c r="D88" s="207" t="s">
        <v>693</v>
      </c>
      <c r="E88" s="208">
        <v>975830169.26743031</v>
      </c>
    </row>
    <row r="93" spans="1:5" x14ac:dyDescent="0.25">
      <c r="A93" s="206" t="s">
        <v>548</v>
      </c>
      <c r="B93" t="s">
        <v>660</v>
      </c>
      <c r="C93" t="s">
        <v>661</v>
      </c>
      <c r="D93" t="s">
        <v>662</v>
      </c>
      <c r="E93" t="s">
        <v>663</v>
      </c>
    </row>
    <row r="94" spans="1:5" x14ac:dyDescent="0.25">
      <c r="A94" s="207" t="s">
        <v>581</v>
      </c>
      <c r="B94" s="208">
        <v>309683</v>
      </c>
      <c r="C94" s="208">
        <v>106066</v>
      </c>
      <c r="D94" s="208">
        <v>517361</v>
      </c>
      <c r="E94" s="208">
        <v>340110</v>
      </c>
    </row>
    <row r="95" spans="1:5" x14ac:dyDescent="0.25">
      <c r="A95" s="207" t="s">
        <v>582</v>
      </c>
      <c r="B95" s="208">
        <v>312946</v>
      </c>
      <c r="C95" s="208">
        <v>107255</v>
      </c>
      <c r="D95" s="208">
        <v>536699</v>
      </c>
      <c r="E95" s="208">
        <v>361057</v>
      </c>
    </row>
    <row r="96" spans="1:5" x14ac:dyDescent="0.25">
      <c r="A96" s="207" t="s">
        <v>583</v>
      </c>
      <c r="B96" s="208">
        <v>314601</v>
      </c>
      <c r="C96" s="208">
        <v>107763</v>
      </c>
      <c r="D96" s="208">
        <v>552501</v>
      </c>
      <c r="E96" s="208">
        <v>374925</v>
      </c>
    </row>
    <row r="97" spans="1:5" x14ac:dyDescent="0.25">
      <c r="A97" s="207" t="s">
        <v>584</v>
      </c>
      <c r="B97" s="208">
        <v>316872</v>
      </c>
      <c r="C97" s="208">
        <v>108938</v>
      </c>
      <c r="D97" s="208">
        <v>605836</v>
      </c>
      <c r="E97" s="208">
        <v>477591</v>
      </c>
    </row>
    <row r="98" spans="1:5" x14ac:dyDescent="0.25">
      <c r="A98" s="207" t="s">
        <v>585</v>
      </c>
      <c r="B98" s="208">
        <v>317138</v>
      </c>
      <c r="C98" s="208">
        <v>109221</v>
      </c>
      <c r="D98" s="208">
        <v>615086</v>
      </c>
      <c r="E98" s="208">
        <v>487043</v>
      </c>
    </row>
    <row r="99" spans="1:5" x14ac:dyDescent="0.25">
      <c r="A99" s="207" t="s">
        <v>586</v>
      </c>
      <c r="B99" s="208">
        <v>317824</v>
      </c>
      <c r="C99" s="208">
        <v>109691</v>
      </c>
      <c r="D99" s="208">
        <v>621791</v>
      </c>
      <c r="E99" s="208">
        <v>498271</v>
      </c>
    </row>
    <row r="100" spans="1:5" x14ac:dyDescent="0.25">
      <c r="A100" s="207" t="s">
        <v>587</v>
      </c>
      <c r="B100" s="208">
        <v>322017</v>
      </c>
      <c r="C100" s="208">
        <v>110018</v>
      </c>
      <c r="D100" s="208">
        <v>660104</v>
      </c>
      <c r="E100" s="208">
        <v>538150</v>
      </c>
    </row>
    <row r="101" spans="1:5" x14ac:dyDescent="0.25">
      <c r="A101" s="207" t="s">
        <v>588</v>
      </c>
      <c r="B101" s="208">
        <v>321661</v>
      </c>
      <c r="C101" s="208">
        <v>109838</v>
      </c>
      <c r="D101" s="208">
        <v>679141</v>
      </c>
      <c r="E101" s="208">
        <v>553055</v>
      </c>
    </row>
    <row r="102" spans="1:5" x14ac:dyDescent="0.25">
      <c r="A102" s="207" t="s">
        <v>589</v>
      </c>
      <c r="B102" s="208">
        <v>322141</v>
      </c>
      <c r="C102" s="208">
        <v>109963</v>
      </c>
      <c r="D102" s="208">
        <v>686334</v>
      </c>
      <c r="E102" s="208">
        <v>563950</v>
      </c>
    </row>
    <row r="103" spans="1:5" x14ac:dyDescent="0.25">
      <c r="A103" s="207" t="s">
        <v>590</v>
      </c>
      <c r="B103" s="208">
        <v>327443</v>
      </c>
      <c r="C103" s="208">
        <v>121585</v>
      </c>
      <c r="D103" s="208">
        <v>704099</v>
      </c>
      <c r="E103" s="208">
        <v>584193</v>
      </c>
    </row>
    <row r="104" spans="1:5" x14ac:dyDescent="0.25">
      <c r="A104" s="207" t="s">
        <v>591</v>
      </c>
      <c r="B104" s="208">
        <v>329180</v>
      </c>
      <c r="C104" s="208">
        <v>125728</v>
      </c>
      <c r="D104" s="208">
        <v>717919</v>
      </c>
      <c r="E104" s="208">
        <v>594890</v>
      </c>
    </row>
    <row r="108" spans="1:5" x14ac:dyDescent="0.25">
      <c r="A108" s="206" t="s">
        <v>548</v>
      </c>
      <c r="B108" t="s">
        <v>690</v>
      </c>
      <c r="C108" t="s">
        <v>691</v>
      </c>
      <c r="D108" t="s">
        <v>694</v>
      </c>
      <c r="E108" t="s">
        <v>695</v>
      </c>
    </row>
    <row r="109" spans="1:5" x14ac:dyDescent="0.25">
      <c r="A109" s="207" t="s">
        <v>581</v>
      </c>
      <c r="B109" s="208">
        <v>51479972.012799807</v>
      </c>
      <c r="C109" s="208">
        <v>17653929.924414385</v>
      </c>
      <c r="D109" s="208">
        <v>76563175.748604089</v>
      </c>
      <c r="E109" s="208">
        <v>52468769.282160051</v>
      </c>
    </row>
    <row r="110" spans="1:5" x14ac:dyDescent="0.25">
      <c r="A110" s="207" t="s">
        <v>582</v>
      </c>
      <c r="B110" s="208">
        <v>52900839.868866049</v>
      </c>
      <c r="C110" s="208">
        <v>18182522.16710674</v>
      </c>
      <c r="D110" s="208">
        <v>90814177.247717783</v>
      </c>
      <c r="E110" s="208">
        <v>61156596.985792443</v>
      </c>
    </row>
    <row r="111" spans="1:5" x14ac:dyDescent="0.25">
      <c r="A111" s="207" t="s">
        <v>583</v>
      </c>
      <c r="B111" s="208">
        <v>53866571.515622824</v>
      </c>
      <c r="C111" s="208">
        <v>18523266.417408571</v>
      </c>
      <c r="D111" s="208">
        <v>94731528.649637625</v>
      </c>
      <c r="E111" s="208">
        <v>64414474.957863875</v>
      </c>
    </row>
    <row r="112" spans="1:5" x14ac:dyDescent="0.25">
      <c r="A112" s="207" t="s">
        <v>584</v>
      </c>
      <c r="B112" s="208">
        <v>54858966.378384836</v>
      </c>
      <c r="C112" s="208">
        <v>18947987.941543601</v>
      </c>
      <c r="D112" s="208">
        <v>105078731.83953598</v>
      </c>
      <c r="E112" s="208">
        <v>83047981.72619015</v>
      </c>
    </row>
    <row r="113" spans="1:5" x14ac:dyDescent="0.25">
      <c r="A113" s="207" t="s">
        <v>585</v>
      </c>
      <c r="B113" s="208">
        <v>55397966.503543399</v>
      </c>
      <c r="C113" s="208">
        <v>19173743.597283315</v>
      </c>
      <c r="D113" s="208">
        <v>107633875.10387804</v>
      </c>
      <c r="E113" s="208">
        <v>85481507.652592659</v>
      </c>
    </row>
    <row r="114" spans="1:5" x14ac:dyDescent="0.25">
      <c r="A114" s="207" t="s">
        <v>586</v>
      </c>
      <c r="B114" s="208">
        <v>58993211.929863982</v>
      </c>
      <c r="C114" s="208">
        <v>20461815.299974598</v>
      </c>
      <c r="D114" s="208">
        <v>115630826.53683501</v>
      </c>
      <c r="E114" s="208">
        <v>92933917.124145657</v>
      </c>
    </row>
    <row r="115" spans="1:5" x14ac:dyDescent="0.25">
      <c r="A115" s="207" t="s">
        <v>587</v>
      </c>
      <c r="B115" s="208">
        <v>60482279.820567153</v>
      </c>
      <c r="C115" s="208">
        <v>20770526.869989313</v>
      </c>
      <c r="D115" s="208">
        <v>123862548.4774671</v>
      </c>
      <c r="E115" s="208">
        <v>100896180.34271789</v>
      </c>
    </row>
    <row r="116" spans="1:5" x14ac:dyDescent="0.25">
      <c r="A116" s="207" t="s">
        <v>588</v>
      </c>
      <c r="B116" s="208">
        <v>60925885.592121646</v>
      </c>
      <c r="C116" s="208">
        <v>20914954.567029878</v>
      </c>
      <c r="D116" s="208">
        <v>128400840.42257972</v>
      </c>
      <c r="E116" s="208">
        <v>104252968.84011112</v>
      </c>
    </row>
    <row r="117" spans="1:5" x14ac:dyDescent="0.25">
      <c r="A117" s="207" t="s">
        <v>589</v>
      </c>
      <c r="B117" s="208">
        <v>61325232.307267956</v>
      </c>
      <c r="C117" s="208">
        <v>21047216.784234114</v>
      </c>
      <c r="D117" s="208">
        <v>130342104.88092148</v>
      </c>
      <c r="E117" s="208">
        <v>106669096.52615377</v>
      </c>
    </row>
    <row r="118" spans="1:5" x14ac:dyDescent="0.25">
      <c r="A118" s="207" t="s">
        <v>590</v>
      </c>
      <c r="B118" s="208">
        <v>62902519.333161265</v>
      </c>
      <c r="C118" s="208">
        <v>23497749.315805372</v>
      </c>
      <c r="D118" s="208">
        <v>134853746.14923665</v>
      </c>
      <c r="E118" s="208">
        <v>111221737.72370252</v>
      </c>
    </row>
    <row r="119" spans="1:5" x14ac:dyDescent="0.25">
      <c r="A119" s="207" t="s">
        <v>591</v>
      </c>
      <c r="B119" s="208">
        <v>63417031.792999998</v>
      </c>
      <c r="C119" s="208">
        <v>24368202.673</v>
      </c>
      <c r="D119" s="208">
        <v>137636217.15900001</v>
      </c>
      <c r="E119" s="20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 workbookViewId="1"/>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6" t="s">
        <v>548</v>
      </c>
      <c r="B3" t="s">
        <v>597</v>
      </c>
      <c r="C3" t="s">
        <v>598</v>
      </c>
      <c r="D3" t="s">
        <v>599</v>
      </c>
      <c r="E3" t="s">
        <v>600</v>
      </c>
      <c r="F3" t="s">
        <v>601</v>
      </c>
      <c r="G3" t="s">
        <v>602</v>
      </c>
    </row>
    <row r="4" spans="1:7" x14ac:dyDescent="0.25">
      <c r="A4" s="207" t="s">
        <v>550</v>
      </c>
      <c r="B4" s="208">
        <v>218799.83333333334</v>
      </c>
      <c r="C4" s="208">
        <v>107682.66666666667</v>
      </c>
      <c r="D4" s="208">
        <v>108916.5</v>
      </c>
      <c r="E4" s="208">
        <v>84536</v>
      </c>
      <c r="F4" s="208">
        <v>327716.33333333331</v>
      </c>
      <c r="G4" s="208">
        <v>192218.66666666666</v>
      </c>
    </row>
    <row r="5" spans="1:7" x14ac:dyDescent="0.25">
      <c r="A5" s="207" t="s">
        <v>551</v>
      </c>
      <c r="B5" s="208">
        <v>262267.25</v>
      </c>
      <c r="C5" s="208">
        <v>117026.58333333333</v>
      </c>
      <c r="D5" s="208">
        <v>116205.08333333333</v>
      </c>
      <c r="E5" s="208">
        <v>86817.666666666672</v>
      </c>
      <c r="F5" s="208">
        <v>378472.33333333331</v>
      </c>
      <c r="G5" s="208">
        <v>203844.25</v>
      </c>
    </row>
    <row r="6" spans="1:7" x14ac:dyDescent="0.25">
      <c r="A6" s="207" t="s">
        <v>552</v>
      </c>
      <c r="B6" s="208">
        <v>284569.66666666669</v>
      </c>
      <c r="C6" s="208">
        <v>119969.58333333333</v>
      </c>
      <c r="D6" s="208">
        <v>125529.75</v>
      </c>
      <c r="E6" s="208">
        <v>89731.416666666672</v>
      </c>
      <c r="F6" s="208">
        <v>410099.41666666669</v>
      </c>
      <c r="G6" s="208">
        <v>209701</v>
      </c>
    </row>
    <row r="7" spans="1:7" x14ac:dyDescent="0.25">
      <c r="A7" s="207" t="s">
        <v>553</v>
      </c>
      <c r="B7" s="208">
        <v>286982.91666666669</v>
      </c>
      <c r="C7" s="208">
        <v>118668.91666666667</v>
      </c>
      <c r="D7" s="208">
        <v>125674.58333333333</v>
      </c>
      <c r="E7" s="208">
        <v>89317.916666666672</v>
      </c>
      <c r="F7" s="208">
        <v>412657.5</v>
      </c>
      <c r="G7" s="208">
        <v>207986.83333333334</v>
      </c>
    </row>
    <row r="8" spans="1:7" x14ac:dyDescent="0.25">
      <c r="A8" s="207" t="s">
        <v>554</v>
      </c>
      <c r="B8" s="208">
        <v>288232.25</v>
      </c>
      <c r="C8" s="208">
        <v>116683.83333333333</v>
      </c>
      <c r="D8" s="208">
        <v>120025.91666666667</v>
      </c>
      <c r="E8" s="208">
        <v>85446.25</v>
      </c>
      <c r="F8" s="208">
        <v>408258.16666666669</v>
      </c>
      <c r="G8" s="208">
        <v>202130.08333333334</v>
      </c>
    </row>
    <row r="9" spans="1:7" x14ac:dyDescent="0.25">
      <c r="A9" s="207" t="s">
        <v>555</v>
      </c>
      <c r="B9" s="208">
        <v>288720.25</v>
      </c>
      <c r="C9" s="208">
        <v>114312</v>
      </c>
      <c r="D9" s="208">
        <v>112605.08333333333</v>
      </c>
      <c r="E9" s="208">
        <v>79812.916666666672</v>
      </c>
      <c r="F9" s="208">
        <v>401325.33333333331</v>
      </c>
      <c r="G9" s="208">
        <v>194124.91666666666</v>
      </c>
    </row>
    <row r="10" spans="1:7" x14ac:dyDescent="0.25">
      <c r="A10" s="207" t="s">
        <v>556</v>
      </c>
      <c r="B10" s="208">
        <v>288530.41666666669</v>
      </c>
      <c r="C10" s="208">
        <v>111136.16666666667</v>
      </c>
      <c r="D10" s="208">
        <v>107377.16666666667</v>
      </c>
      <c r="E10" s="208">
        <v>75527.833333333328</v>
      </c>
      <c r="F10" s="208">
        <v>395907.58333333331</v>
      </c>
      <c r="G10" s="208">
        <v>186664</v>
      </c>
    </row>
    <row r="11" spans="1:7" x14ac:dyDescent="0.25">
      <c r="A11" s="207" t="s">
        <v>557</v>
      </c>
      <c r="B11" s="208">
        <v>289070.58333333331</v>
      </c>
      <c r="C11" s="208">
        <v>110162</v>
      </c>
      <c r="D11" s="208">
        <v>105105.41666666667</v>
      </c>
      <c r="E11" s="208">
        <v>74655.333333333328</v>
      </c>
      <c r="F11" s="208">
        <v>394176</v>
      </c>
      <c r="G11" s="208">
        <v>184817.33333333334</v>
      </c>
    </row>
    <row r="12" spans="1:7" x14ac:dyDescent="0.25">
      <c r="A12" s="207" t="s">
        <v>558</v>
      </c>
      <c r="B12" s="208">
        <v>290373</v>
      </c>
      <c r="C12" s="208">
        <v>108843.41666666667</v>
      </c>
      <c r="D12" s="208">
        <v>105459.83333333333</v>
      </c>
      <c r="E12" s="208">
        <v>75532.583333333328</v>
      </c>
      <c r="F12" s="208">
        <v>395832.83333333331</v>
      </c>
      <c r="G12" s="208">
        <v>184376</v>
      </c>
    </row>
    <row r="13" spans="1:7" x14ac:dyDescent="0.25">
      <c r="A13" s="207" t="s">
        <v>559</v>
      </c>
      <c r="B13" s="208">
        <v>291754</v>
      </c>
      <c r="C13" s="208">
        <v>107694.83333333333</v>
      </c>
      <c r="D13" s="208">
        <v>105581.83333333333</v>
      </c>
      <c r="E13" s="208">
        <v>76434.166666666672</v>
      </c>
      <c r="F13" s="208">
        <v>397335.83333333331</v>
      </c>
      <c r="G13" s="208">
        <v>184129</v>
      </c>
    </row>
    <row r="14" spans="1:7" x14ac:dyDescent="0.25">
      <c r="A14" s="207" t="s">
        <v>560</v>
      </c>
      <c r="B14" s="208">
        <v>295171.83333333331</v>
      </c>
      <c r="C14" s="208">
        <v>107077.41666666667</v>
      </c>
      <c r="D14" s="208">
        <v>105559.41666666667</v>
      </c>
      <c r="E14" s="208">
        <v>77417</v>
      </c>
      <c r="F14" s="208">
        <v>400731.25</v>
      </c>
      <c r="G14" s="208">
        <v>184494.41666666666</v>
      </c>
    </row>
    <row r="15" spans="1:7" x14ac:dyDescent="0.25">
      <c r="A15" s="207" t="s">
        <v>561</v>
      </c>
      <c r="B15" s="208">
        <v>299821.5</v>
      </c>
      <c r="C15" s="208">
        <v>106705.25</v>
      </c>
      <c r="D15" s="208">
        <v>104899.16666666667</v>
      </c>
      <c r="E15" s="208">
        <v>77850.416666666672</v>
      </c>
      <c r="F15" s="208">
        <v>404720.66666666669</v>
      </c>
      <c r="G15" s="208">
        <v>184555.66666666666</v>
      </c>
    </row>
    <row r="16" spans="1:7" x14ac:dyDescent="0.25">
      <c r="A16" s="207" t="s">
        <v>562</v>
      </c>
      <c r="B16" s="208">
        <v>302635</v>
      </c>
      <c r="C16" s="208">
        <v>105719.41666666667</v>
      </c>
      <c r="D16" s="208">
        <v>104028.33333333333</v>
      </c>
      <c r="E16" s="208">
        <v>77987.166666666672</v>
      </c>
      <c r="F16" s="208">
        <v>406663.33333333331</v>
      </c>
      <c r="G16" s="208">
        <v>183706.58333333334</v>
      </c>
    </row>
    <row r="17" spans="1:7" s="218" customFormat="1" x14ac:dyDescent="0.25">
      <c r="A17" s="216" t="s">
        <v>563</v>
      </c>
      <c r="B17" s="217">
        <v>305054.41666666669</v>
      </c>
      <c r="C17" s="217">
        <v>104587.16666666667</v>
      </c>
      <c r="D17" s="217">
        <v>102460.83333333333</v>
      </c>
      <c r="E17" s="217">
        <v>78655.75</v>
      </c>
      <c r="F17" s="217">
        <v>407515.25</v>
      </c>
      <c r="G17" s="217">
        <v>183242.91666666666</v>
      </c>
    </row>
    <row r="18" spans="1:7" x14ac:dyDescent="0.25">
      <c r="A18" s="210" t="s">
        <v>580</v>
      </c>
      <c r="B18" s="208">
        <v>303535</v>
      </c>
      <c r="C18" s="208">
        <v>104773</v>
      </c>
      <c r="D18" s="208">
        <v>102915</v>
      </c>
      <c r="E18" s="208">
        <v>78093</v>
      </c>
      <c r="F18" s="208">
        <v>406450</v>
      </c>
      <c r="G18" s="208">
        <v>182866</v>
      </c>
    </row>
    <row r="19" spans="1:7" x14ac:dyDescent="0.25">
      <c r="A19" s="210" t="s">
        <v>581</v>
      </c>
      <c r="B19" s="208">
        <v>303509</v>
      </c>
      <c r="C19" s="208">
        <v>104543</v>
      </c>
      <c r="D19" s="208">
        <v>102585</v>
      </c>
      <c r="E19" s="208">
        <v>78054</v>
      </c>
      <c r="F19" s="208">
        <v>406094</v>
      </c>
      <c r="G19" s="208">
        <v>182597</v>
      </c>
    </row>
    <row r="20" spans="1:7" x14ac:dyDescent="0.25">
      <c r="A20" s="210" t="s">
        <v>582</v>
      </c>
      <c r="B20" s="208">
        <v>303836</v>
      </c>
      <c r="C20" s="208">
        <v>104524</v>
      </c>
      <c r="D20" s="208">
        <v>102435</v>
      </c>
      <c r="E20" s="208">
        <v>78131</v>
      </c>
      <c r="F20" s="208">
        <v>406271</v>
      </c>
      <c r="G20" s="208">
        <v>182655</v>
      </c>
    </row>
    <row r="21" spans="1:7" x14ac:dyDescent="0.25">
      <c r="A21" s="210" t="s">
        <v>583</v>
      </c>
      <c r="B21" s="208">
        <v>304229</v>
      </c>
      <c r="C21" s="208">
        <v>104568</v>
      </c>
      <c r="D21" s="208">
        <v>102581</v>
      </c>
      <c r="E21" s="208">
        <v>78384</v>
      </c>
      <c r="F21" s="208">
        <v>406810</v>
      </c>
      <c r="G21" s="208">
        <v>182952</v>
      </c>
    </row>
    <row r="22" spans="1:7" x14ac:dyDescent="0.25">
      <c r="A22" s="210" t="s">
        <v>584</v>
      </c>
      <c r="B22" s="208">
        <v>304427</v>
      </c>
      <c r="C22" s="208">
        <v>104477</v>
      </c>
      <c r="D22" s="208">
        <v>102248</v>
      </c>
      <c r="E22" s="208">
        <v>78324</v>
      </c>
      <c r="F22" s="208">
        <v>406675</v>
      </c>
      <c r="G22" s="208">
        <v>182801</v>
      </c>
    </row>
    <row r="23" spans="1:7" x14ac:dyDescent="0.25">
      <c r="A23" s="210" t="s">
        <v>585</v>
      </c>
      <c r="B23" s="208">
        <v>304385</v>
      </c>
      <c r="C23" s="208">
        <v>104256</v>
      </c>
      <c r="D23" s="208">
        <v>102342</v>
      </c>
      <c r="E23" s="208">
        <v>78508</v>
      </c>
      <c r="F23" s="208">
        <v>406727</v>
      </c>
      <c r="G23" s="208">
        <v>182764</v>
      </c>
    </row>
    <row r="24" spans="1:7" x14ac:dyDescent="0.25">
      <c r="A24" s="210" t="s">
        <v>586</v>
      </c>
      <c r="B24" s="208">
        <v>304412</v>
      </c>
      <c r="C24" s="208">
        <v>104136</v>
      </c>
      <c r="D24" s="208">
        <v>102344</v>
      </c>
      <c r="E24" s="208">
        <v>78636</v>
      </c>
      <c r="F24" s="208">
        <v>406756</v>
      </c>
      <c r="G24" s="208">
        <v>182772</v>
      </c>
    </row>
    <row r="25" spans="1:7" x14ac:dyDescent="0.25">
      <c r="A25" s="210" t="s">
        <v>587</v>
      </c>
      <c r="B25" s="208">
        <v>304998</v>
      </c>
      <c r="C25" s="208">
        <v>104304</v>
      </c>
      <c r="D25" s="208">
        <v>102353</v>
      </c>
      <c r="E25" s="208">
        <v>78808</v>
      </c>
      <c r="F25" s="208">
        <v>407351</v>
      </c>
      <c r="G25" s="208">
        <v>183112</v>
      </c>
    </row>
    <row r="26" spans="1:7" x14ac:dyDescent="0.25">
      <c r="A26" s="210" t="s">
        <v>588</v>
      </c>
      <c r="B26" s="208">
        <v>305471</v>
      </c>
      <c r="C26" s="208">
        <v>104316</v>
      </c>
      <c r="D26" s="208">
        <v>102289</v>
      </c>
      <c r="E26" s="208">
        <v>78880</v>
      </c>
      <c r="F26" s="208">
        <v>407760</v>
      </c>
      <c r="G26" s="208">
        <v>183196</v>
      </c>
    </row>
    <row r="27" spans="1:7" x14ac:dyDescent="0.25">
      <c r="A27" s="210" t="s">
        <v>589</v>
      </c>
      <c r="B27" s="208">
        <v>306429</v>
      </c>
      <c r="C27" s="208">
        <v>104673</v>
      </c>
      <c r="D27" s="208">
        <v>102399</v>
      </c>
      <c r="E27" s="208">
        <v>79105</v>
      </c>
      <c r="F27" s="208">
        <v>408828</v>
      </c>
      <c r="G27" s="208">
        <v>183778</v>
      </c>
    </row>
    <row r="28" spans="1:7" x14ac:dyDescent="0.25">
      <c r="A28" s="210" t="s">
        <v>590</v>
      </c>
      <c r="B28" s="208">
        <v>307296</v>
      </c>
      <c r="C28" s="208">
        <v>105079</v>
      </c>
      <c r="D28" s="208">
        <v>102500</v>
      </c>
      <c r="E28" s="208">
        <v>79398</v>
      </c>
      <c r="F28" s="208">
        <v>409796</v>
      </c>
      <c r="G28" s="208">
        <v>184477</v>
      </c>
    </row>
    <row r="29" spans="1:7" x14ac:dyDescent="0.25">
      <c r="A29" s="210" t="s">
        <v>591</v>
      </c>
      <c r="B29" s="208">
        <v>308126</v>
      </c>
      <c r="C29" s="208">
        <v>105397</v>
      </c>
      <c r="D29" s="208">
        <v>102539</v>
      </c>
      <c r="E29" s="208">
        <v>79548</v>
      </c>
      <c r="F29" s="208">
        <v>410665</v>
      </c>
      <c r="G29" s="208">
        <v>184945</v>
      </c>
    </row>
    <row r="30" spans="1:7" s="218" customFormat="1" x14ac:dyDescent="0.25">
      <c r="A30" s="216" t="s">
        <v>564</v>
      </c>
      <c r="B30" s="217">
        <v>25752.666666666668</v>
      </c>
      <c r="C30" s="217">
        <v>8825.75</v>
      </c>
      <c r="D30" s="217">
        <v>103357.58333333333</v>
      </c>
      <c r="E30" s="217">
        <v>80758.083333333328</v>
      </c>
      <c r="F30" s="217">
        <v>129110.25</v>
      </c>
      <c r="G30" s="217">
        <v>89583.833333333328</v>
      </c>
    </row>
    <row r="31" spans="1:7" x14ac:dyDescent="0.25">
      <c r="A31" s="210" t="s">
        <v>580</v>
      </c>
      <c r="B31" s="208">
        <v>309032</v>
      </c>
      <c r="C31" s="208">
        <v>105909</v>
      </c>
      <c r="D31" s="208">
        <v>102612</v>
      </c>
      <c r="E31" s="208">
        <v>79732</v>
      </c>
      <c r="F31" s="208">
        <v>411644</v>
      </c>
      <c r="G31" s="208">
        <v>185641</v>
      </c>
    </row>
    <row r="32" spans="1:7" x14ac:dyDescent="0.25">
      <c r="A32" s="210" t="s">
        <v>581</v>
      </c>
      <c r="B32" s="208">
        <v>0</v>
      </c>
      <c r="C32" s="208">
        <v>0</v>
      </c>
      <c r="D32" s="208">
        <v>102691</v>
      </c>
      <c r="E32" s="208">
        <v>79908</v>
      </c>
      <c r="F32" s="208">
        <v>102691</v>
      </c>
      <c r="G32" s="208">
        <v>79908</v>
      </c>
    </row>
    <row r="33" spans="1:7" x14ac:dyDescent="0.25">
      <c r="A33" s="210" t="s">
        <v>582</v>
      </c>
      <c r="B33" s="208">
        <v>0</v>
      </c>
      <c r="C33" s="208">
        <v>0</v>
      </c>
      <c r="D33" s="208">
        <v>102784</v>
      </c>
      <c r="E33" s="208">
        <v>80074</v>
      </c>
      <c r="F33" s="208">
        <v>102784</v>
      </c>
      <c r="G33" s="208">
        <v>80074</v>
      </c>
    </row>
    <row r="34" spans="1:7" x14ac:dyDescent="0.25">
      <c r="A34" s="210" t="s">
        <v>583</v>
      </c>
      <c r="B34" s="208">
        <v>0</v>
      </c>
      <c r="C34" s="208">
        <v>0</v>
      </c>
      <c r="D34" s="208">
        <v>102632</v>
      </c>
      <c r="E34" s="208">
        <v>80110</v>
      </c>
      <c r="F34" s="208">
        <v>102632</v>
      </c>
      <c r="G34" s="208">
        <v>80110</v>
      </c>
    </row>
    <row r="35" spans="1:7" x14ac:dyDescent="0.25">
      <c r="A35" s="210" t="s">
        <v>584</v>
      </c>
      <c r="B35" s="208">
        <v>0</v>
      </c>
      <c r="C35" s="208">
        <v>0</v>
      </c>
      <c r="D35" s="208">
        <v>102856</v>
      </c>
      <c r="E35" s="208">
        <v>80398</v>
      </c>
      <c r="F35" s="208">
        <v>102856</v>
      </c>
      <c r="G35" s="208">
        <v>80398</v>
      </c>
    </row>
    <row r="36" spans="1:7" x14ac:dyDescent="0.25">
      <c r="A36" s="210" t="s">
        <v>585</v>
      </c>
      <c r="B36" s="208">
        <v>0</v>
      </c>
      <c r="C36" s="208">
        <v>0</v>
      </c>
      <c r="D36" s="208">
        <v>103404</v>
      </c>
      <c r="E36" s="208">
        <v>80766</v>
      </c>
      <c r="F36" s="208">
        <v>103404</v>
      </c>
      <c r="G36" s="208">
        <v>80766</v>
      </c>
    </row>
    <row r="37" spans="1:7" x14ac:dyDescent="0.25">
      <c r="A37" s="210" t="s">
        <v>586</v>
      </c>
      <c r="B37" s="208">
        <v>0</v>
      </c>
      <c r="C37" s="208">
        <v>0</v>
      </c>
      <c r="D37" s="208">
        <v>103650</v>
      </c>
      <c r="E37" s="208">
        <v>81031</v>
      </c>
      <c r="F37" s="208">
        <v>103650</v>
      </c>
      <c r="G37" s="208">
        <v>81031</v>
      </c>
    </row>
    <row r="38" spans="1:7" x14ac:dyDescent="0.25">
      <c r="A38" s="210" t="s">
        <v>587</v>
      </c>
      <c r="B38" s="208">
        <v>0</v>
      </c>
      <c r="C38" s="208">
        <v>0</v>
      </c>
      <c r="D38" s="208">
        <v>103890</v>
      </c>
      <c r="E38" s="208">
        <v>81219</v>
      </c>
      <c r="F38" s="208">
        <v>103890</v>
      </c>
      <c r="G38" s="208">
        <v>81219</v>
      </c>
    </row>
    <row r="39" spans="1:7" x14ac:dyDescent="0.25">
      <c r="A39" s="210" t="s">
        <v>588</v>
      </c>
      <c r="B39" s="208">
        <v>0</v>
      </c>
      <c r="C39" s="208">
        <v>0</v>
      </c>
      <c r="D39" s="208">
        <v>103948</v>
      </c>
      <c r="E39" s="208">
        <v>81350</v>
      </c>
      <c r="F39" s="208">
        <v>103948</v>
      </c>
      <c r="G39" s="208">
        <v>81350</v>
      </c>
    </row>
    <row r="40" spans="1:7" x14ac:dyDescent="0.25">
      <c r="A40" s="210" t="s">
        <v>589</v>
      </c>
      <c r="B40" s="208">
        <v>0</v>
      </c>
      <c r="C40" s="208">
        <v>0</v>
      </c>
      <c r="D40" s="208">
        <v>103979</v>
      </c>
      <c r="E40" s="208">
        <v>81414</v>
      </c>
      <c r="F40" s="208">
        <v>103979</v>
      </c>
      <c r="G40" s="208">
        <v>81414</v>
      </c>
    </row>
    <row r="41" spans="1:7" x14ac:dyDescent="0.25">
      <c r="A41" s="210" t="s">
        <v>590</v>
      </c>
      <c r="B41" s="208">
        <v>0</v>
      </c>
      <c r="C41" s="208">
        <v>0</v>
      </c>
      <c r="D41" s="208">
        <v>103866</v>
      </c>
      <c r="E41" s="208">
        <v>81490</v>
      </c>
      <c r="F41" s="208">
        <v>103866</v>
      </c>
      <c r="G41" s="208">
        <v>81490</v>
      </c>
    </row>
    <row r="42" spans="1:7" x14ac:dyDescent="0.25">
      <c r="A42" s="210" t="s">
        <v>591</v>
      </c>
      <c r="B42" s="208">
        <v>0</v>
      </c>
      <c r="C42" s="208">
        <v>0</v>
      </c>
      <c r="D42" s="208">
        <v>103979</v>
      </c>
      <c r="E42" s="208">
        <v>81605</v>
      </c>
      <c r="F42" s="208">
        <v>103979</v>
      </c>
      <c r="G42" s="20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 workbookViewId="1"/>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6" t="s">
        <v>10</v>
      </c>
      <c r="J1" t="s">
        <v>603</v>
      </c>
    </row>
    <row r="3" spans="1:40" x14ac:dyDescent="0.25">
      <c r="A3" s="206" t="s">
        <v>548</v>
      </c>
      <c r="B3" t="s">
        <v>576</v>
      </c>
      <c r="C3" t="s">
        <v>575</v>
      </c>
      <c r="D3" t="s">
        <v>577</v>
      </c>
      <c r="E3" t="s">
        <v>574</v>
      </c>
      <c r="F3" t="s">
        <v>579</v>
      </c>
      <c r="G3" t="s">
        <v>578</v>
      </c>
      <c r="I3" s="206" t="s">
        <v>548</v>
      </c>
      <c r="J3" t="s">
        <v>566</v>
      </c>
      <c r="K3" t="s">
        <v>565</v>
      </c>
      <c r="L3" t="s">
        <v>567</v>
      </c>
      <c r="M3" t="s">
        <v>573</v>
      </c>
      <c r="N3" t="s">
        <v>572</v>
      </c>
      <c r="O3" t="s">
        <v>568</v>
      </c>
      <c r="P3" t="s">
        <v>570</v>
      </c>
      <c r="Q3" t="s">
        <v>569</v>
      </c>
      <c r="R3" t="s">
        <v>571</v>
      </c>
      <c r="T3" t="s">
        <v>548</v>
      </c>
      <c r="U3" t="s">
        <v>566</v>
      </c>
      <c r="V3" t="s">
        <v>565</v>
      </c>
      <c r="W3" t="s">
        <v>567</v>
      </c>
      <c r="X3" t="s">
        <v>573</v>
      </c>
      <c r="Y3" t="s">
        <v>572</v>
      </c>
      <c r="Z3" t="s">
        <v>568</v>
      </c>
      <c r="AA3" t="s">
        <v>570</v>
      </c>
      <c r="AB3" t="s">
        <v>569</v>
      </c>
      <c r="AC3" t="s">
        <v>571</v>
      </c>
      <c r="AE3" t="s">
        <v>548</v>
      </c>
      <c r="AF3" t="s">
        <v>566</v>
      </c>
      <c r="AG3" t="s">
        <v>565</v>
      </c>
      <c r="AH3" t="s">
        <v>567</v>
      </c>
      <c r="AI3" s="221" t="s">
        <v>573</v>
      </c>
      <c r="AJ3" s="221" t="s">
        <v>572</v>
      </c>
      <c r="AK3" t="s">
        <v>568</v>
      </c>
      <c r="AL3" s="222" t="s">
        <v>570</v>
      </c>
      <c r="AM3" s="222" t="s">
        <v>569</v>
      </c>
      <c r="AN3" t="s">
        <v>571</v>
      </c>
    </row>
    <row r="4" spans="1:40" x14ac:dyDescent="0.25">
      <c r="A4" s="207" t="s">
        <v>550</v>
      </c>
      <c r="B4" s="208">
        <v>8246926869.2877502</v>
      </c>
      <c r="C4" s="208">
        <v>3973207724.5979996</v>
      </c>
      <c r="D4" s="208">
        <v>3969656243.1597457</v>
      </c>
      <c r="E4" s="208">
        <v>3064613569.4954667</v>
      </c>
      <c r="F4" s="208">
        <v>12216583112.447495</v>
      </c>
      <c r="G4" s="208">
        <v>7037821294.0934668</v>
      </c>
      <c r="I4" s="216" t="s">
        <v>564</v>
      </c>
      <c r="J4" s="217">
        <v>0</v>
      </c>
      <c r="K4" s="217">
        <v>0</v>
      </c>
      <c r="L4" s="217">
        <v>0</v>
      </c>
      <c r="M4" s="217">
        <v>60133312971.379852</v>
      </c>
      <c r="N4" s="217">
        <v>47149435903.915161</v>
      </c>
      <c r="O4" s="217">
        <v>107282748875.29501</v>
      </c>
      <c r="P4" s="217">
        <v>60133312971.379852</v>
      </c>
      <c r="Q4" s="217">
        <v>47149435903.915161</v>
      </c>
      <c r="R4" s="217">
        <v>107282748875.29501</v>
      </c>
      <c r="T4" t="s">
        <v>589</v>
      </c>
      <c r="U4">
        <v>0</v>
      </c>
      <c r="V4">
        <v>0</v>
      </c>
      <c r="W4">
        <v>0</v>
      </c>
      <c r="X4">
        <v>19903687043.913326</v>
      </c>
      <c r="Y4">
        <v>15583475340.434208</v>
      </c>
      <c r="Z4">
        <v>35487162384.347534</v>
      </c>
      <c r="AA4">
        <v>19903687043.913326</v>
      </c>
      <c r="AB4">
        <v>15583475340.434208</v>
      </c>
      <c r="AC4">
        <v>35487162384.347534</v>
      </c>
      <c r="AE4" t="s">
        <v>589</v>
      </c>
      <c r="AF4" s="219">
        <f>+U4/1000</f>
        <v>0</v>
      </c>
      <c r="AG4" s="219">
        <f t="shared" ref="AG4:AN4" si="0">+V4/1000</f>
        <v>0</v>
      </c>
      <c r="AH4" s="219">
        <f t="shared" si="0"/>
        <v>0</v>
      </c>
      <c r="AI4" s="219">
        <f t="shared" si="0"/>
        <v>19903687.043913327</v>
      </c>
      <c r="AJ4" s="219">
        <f t="shared" si="0"/>
        <v>15583475.340434209</v>
      </c>
      <c r="AK4" s="219">
        <f t="shared" si="0"/>
        <v>35487162.384347536</v>
      </c>
      <c r="AL4" s="219">
        <f t="shared" si="0"/>
        <v>19903687.043913327</v>
      </c>
      <c r="AM4" s="219">
        <f t="shared" si="0"/>
        <v>15583475.340434209</v>
      </c>
      <c r="AN4" s="219">
        <f t="shared" si="0"/>
        <v>35487162.384347536</v>
      </c>
    </row>
    <row r="5" spans="1:40" x14ac:dyDescent="0.25">
      <c r="A5" s="207" t="s">
        <v>551</v>
      </c>
      <c r="B5" s="208">
        <v>10831943415.048538</v>
      </c>
      <c r="C5" s="208">
        <v>4778493385.1598539</v>
      </c>
      <c r="D5" s="208">
        <v>5149103046.8522663</v>
      </c>
      <c r="E5" s="208">
        <v>3655592972.6395154</v>
      </c>
      <c r="F5" s="208">
        <v>15981046461.900803</v>
      </c>
      <c r="G5" s="208">
        <v>8434086357.799367</v>
      </c>
      <c r="I5" s="210" t="s">
        <v>589</v>
      </c>
      <c r="J5" s="208">
        <v>0</v>
      </c>
      <c r="K5" s="208">
        <v>0</v>
      </c>
      <c r="L5" s="208">
        <v>0</v>
      </c>
      <c r="M5" s="208">
        <v>19903687043.913326</v>
      </c>
      <c r="N5" s="208">
        <v>15583475340.434208</v>
      </c>
      <c r="O5" s="208">
        <v>35487162384.347534</v>
      </c>
      <c r="P5" s="208">
        <v>19903687043.913326</v>
      </c>
      <c r="Q5" s="208">
        <v>15583475340.434208</v>
      </c>
      <c r="R5" s="208">
        <v>35487162384.347534</v>
      </c>
      <c r="T5" t="s">
        <v>590</v>
      </c>
      <c r="U5">
        <v>0</v>
      </c>
      <c r="V5">
        <v>0</v>
      </c>
      <c r="W5">
        <v>0</v>
      </c>
      <c r="X5">
        <v>20075788768.466526</v>
      </c>
      <c r="Y5">
        <v>15749774388.480951</v>
      </c>
      <c r="Z5">
        <v>35825563156.947479</v>
      </c>
      <c r="AA5">
        <v>20075788768.466526</v>
      </c>
      <c r="AB5">
        <v>15749774388.480951</v>
      </c>
      <c r="AC5">
        <v>35825563156.947479</v>
      </c>
      <c r="AE5" t="s">
        <v>590</v>
      </c>
      <c r="AF5" s="219">
        <f t="shared" ref="AF5:AF6" si="1">+U5/1000</f>
        <v>0</v>
      </c>
      <c r="AG5" s="219">
        <f t="shared" ref="AG5:AG6" si="2">+V5/1000</f>
        <v>0</v>
      </c>
      <c r="AH5" s="219">
        <f t="shared" ref="AH5:AH6" si="3">+W5/1000</f>
        <v>0</v>
      </c>
      <c r="AI5" s="219">
        <f t="shared" ref="AI5:AI6" si="4">+X5/1000</f>
        <v>20075788.768466525</v>
      </c>
      <c r="AJ5" s="219">
        <f t="shared" ref="AJ5:AJ6" si="5">+Y5/1000</f>
        <v>15749774.388480952</v>
      </c>
      <c r="AK5" s="219">
        <f t="shared" ref="AK5:AK6" si="6">+Z5/1000</f>
        <v>35825563.156947479</v>
      </c>
      <c r="AL5" s="219">
        <f t="shared" ref="AL5:AL6" si="7">+AA5/1000</f>
        <v>20075788.768466525</v>
      </c>
      <c r="AM5" s="219">
        <f t="shared" ref="AM5:AM6" si="8">+AB5/1000</f>
        <v>15749774.388480952</v>
      </c>
      <c r="AN5" s="219">
        <f t="shared" ref="AN5:AN6" si="9">+AC5/1000</f>
        <v>35825563.156947479</v>
      </c>
    </row>
    <row r="6" spans="1:40" x14ac:dyDescent="0.25">
      <c r="A6" s="207" t="s">
        <v>552</v>
      </c>
      <c r="B6" s="208">
        <v>13095567640.080732</v>
      </c>
      <c r="C6" s="208">
        <v>5502966223.7595825</v>
      </c>
      <c r="D6" s="208">
        <v>5973329799.6957197</v>
      </c>
      <c r="E6" s="208">
        <v>4181931763.7496819</v>
      </c>
      <c r="F6" s="208">
        <v>19068897439.776447</v>
      </c>
      <c r="G6" s="208">
        <v>9684897987.5092659</v>
      </c>
      <c r="I6" s="210" t="s">
        <v>590</v>
      </c>
      <c r="J6" s="208">
        <v>0</v>
      </c>
      <c r="K6" s="208">
        <v>0</v>
      </c>
      <c r="L6" s="208">
        <v>0</v>
      </c>
      <c r="M6" s="208">
        <v>20075788768.466526</v>
      </c>
      <c r="N6" s="208">
        <v>15749774388.480951</v>
      </c>
      <c r="O6" s="208">
        <v>35825563156.947479</v>
      </c>
      <c r="P6" s="208">
        <v>20075788768.466526</v>
      </c>
      <c r="Q6" s="208">
        <v>15749774388.480951</v>
      </c>
      <c r="R6" s="208">
        <v>35825563156.947479</v>
      </c>
      <c r="T6" t="s">
        <v>591</v>
      </c>
      <c r="U6">
        <v>0</v>
      </c>
      <c r="V6">
        <v>0</v>
      </c>
      <c r="W6">
        <v>0</v>
      </c>
      <c r="X6">
        <v>20153837159</v>
      </c>
      <c r="Y6">
        <v>15816186175</v>
      </c>
      <c r="Z6">
        <v>35970023334</v>
      </c>
      <c r="AA6">
        <v>20153837159</v>
      </c>
      <c r="AB6">
        <v>15816186175</v>
      </c>
      <c r="AC6">
        <v>35970023334</v>
      </c>
      <c r="AE6" t="s">
        <v>591</v>
      </c>
      <c r="AF6" s="219">
        <f t="shared" si="1"/>
        <v>0</v>
      </c>
      <c r="AG6" s="219">
        <f t="shared" si="2"/>
        <v>0</v>
      </c>
      <c r="AH6" s="219">
        <f t="shared" si="3"/>
        <v>0</v>
      </c>
      <c r="AI6" s="219">
        <f t="shared" si="4"/>
        <v>20153837.159000002</v>
      </c>
      <c r="AJ6" s="219">
        <f t="shared" si="5"/>
        <v>15816186.175000001</v>
      </c>
      <c r="AK6" s="219">
        <f t="shared" si="6"/>
        <v>35970023.333999999</v>
      </c>
      <c r="AL6" s="219">
        <f t="shared" si="7"/>
        <v>20153837.159000002</v>
      </c>
      <c r="AM6" s="219">
        <f t="shared" si="8"/>
        <v>15816186.175000001</v>
      </c>
      <c r="AN6" s="219">
        <f t="shared" si="9"/>
        <v>35970023.333999999</v>
      </c>
    </row>
    <row r="7" spans="1:40" x14ac:dyDescent="0.25">
      <c r="A7" s="207" t="s">
        <v>553</v>
      </c>
      <c r="B7" s="208">
        <v>13994994329.511679</v>
      </c>
      <c r="C7" s="208">
        <v>5780107940.9241409</v>
      </c>
      <c r="D7" s="208">
        <v>6221600908.5936813</v>
      </c>
      <c r="E7" s="208">
        <v>4373494706.5970135</v>
      </c>
      <c r="F7" s="208">
        <v>20216595238.105358</v>
      </c>
      <c r="G7" s="208">
        <v>10153602647.521154</v>
      </c>
      <c r="I7" s="210" t="s">
        <v>591</v>
      </c>
      <c r="J7" s="208">
        <v>0</v>
      </c>
      <c r="K7" s="208">
        <v>0</v>
      </c>
      <c r="L7" s="208">
        <v>0</v>
      </c>
      <c r="M7" s="208">
        <v>20153837159</v>
      </c>
      <c r="N7" s="208">
        <v>15816186175</v>
      </c>
      <c r="O7" s="208">
        <v>35970023334</v>
      </c>
      <c r="P7" s="208">
        <v>20153837159</v>
      </c>
      <c r="Q7" s="208">
        <v>15816186175</v>
      </c>
      <c r="R7" s="208">
        <v>35970023334</v>
      </c>
    </row>
    <row r="8" spans="1:40" x14ac:dyDescent="0.25">
      <c r="A8" s="207" t="s">
        <v>554</v>
      </c>
      <c r="B8" s="208">
        <v>14900591934.083181</v>
      </c>
      <c r="C8" s="208">
        <v>6027641672.6388502</v>
      </c>
      <c r="D8" s="208">
        <v>6305334741.0595312</v>
      </c>
      <c r="E8" s="208">
        <v>4448180899.6762056</v>
      </c>
      <c r="F8" s="208">
        <v>21205926675.142715</v>
      </c>
      <c r="G8" s="208">
        <v>10475822572.315058</v>
      </c>
    </row>
    <row r="9" spans="1:40" x14ac:dyDescent="0.25">
      <c r="A9" s="207" t="s">
        <v>555</v>
      </c>
      <c r="B9" s="208">
        <v>15464510652.205984</v>
      </c>
      <c r="C9" s="208">
        <v>6127638130.4877253</v>
      </c>
      <c r="D9" s="208">
        <v>6133300571.7438841</v>
      </c>
      <c r="E9" s="208">
        <v>4291617400.8795981</v>
      </c>
      <c r="F9" s="208">
        <v>21597811223.949871</v>
      </c>
      <c r="G9" s="208">
        <v>10419255531.367325</v>
      </c>
    </row>
    <row r="10" spans="1:40" x14ac:dyDescent="0.25">
      <c r="A10" s="207" t="s">
        <v>556</v>
      </c>
      <c r="B10" s="208">
        <v>16719242118.712105</v>
      </c>
      <c r="C10" s="208">
        <v>6443033859.5210752</v>
      </c>
      <c r="D10" s="208">
        <v>6332875385.4161987</v>
      </c>
      <c r="E10" s="208">
        <v>4376817385.0717344</v>
      </c>
      <c r="F10" s="208">
        <v>23052117504.128307</v>
      </c>
      <c r="G10" s="208">
        <v>10819851244.592808</v>
      </c>
    </row>
    <row r="11" spans="1:40" x14ac:dyDescent="0.25">
      <c r="A11" s="207" t="s">
        <v>557</v>
      </c>
      <c r="B11" s="208">
        <v>18210702843.160507</v>
      </c>
      <c r="C11" s="208">
        <v>6946083183.5916548</v>
      </c>
      <c r="D11" s="208">
        <v>6761441395.714366</v>
      </c>
      <c r="E11" s="208">
        <v>4771430769.2962599</v>
      </c>
      <c r="F11" s="208">
        <v>24972144238.874874</v>
      </c>
      <c r="G11" s="208">
        <v>11717513952.887915</v>
      </c>
    </row>
    <row r="12" spans="1:40" x14ac:dyDescent="0.25">
      <c r="A12" s="207" t="s">
        <v>558</v>
      </c>
      <c r="B12" s="208">
        <v>19783296657.483814</v>
      </c>
      <c r="C12" s="208">
        <v>7425619705.3861189</v>
      </c>
      <c r="D12" s="208">
        <v>7362010767.830924</v>
      </c>
      <c r="E12" s="208">
        <v>5231600971.8967381</v>
      </c>
      <c r="F12" s="208">
        <v>27145307425.314739</v>
      </c>
      <c r="G12" s="208">
        <v>12657220677.28286</v>
      </c>
      <c r="I12" s="206" t="s">
        <v>10</v>
      </c>
      <c r="J12" t="s">
        <v>603</v>
      </c>
      <c r="AE12" t="s">
        <v>623</v>
      </c>
    </row>
    <row r="13" spans="1:40" x14ac:dyDescent="0.25">
      <c r="A13" s="207" t="s">
        <v>559</v>
      </c>
      <c r="B13" s="208">
        <v>23013211595.87286</v>
      </c>
      <c r="C13" s="208">
        <v>8501264270.2728071</v>
      </c>
      <c r="D13" s="208">
        <v>8483630715.9830093</v>
      </c>
      <c r="E13" s="208">
        <v>6104356781.0873613</v>
      </c>
      <c r="F13" s="208">
        <v>31496842311.855865</v>
      </c>
      <c r="G13" s="208">
        <v>14605621051.360168</v>
      </c>
      <c r="AF13" t="s">
        <v>624</v>
      </c>
      <c r="AI13" t="s">
        <v>622</v>
      </c>
      <c r="AL13" t="s">
        <v>78</v>
      </c>
    </row>
    <row r="14" spans="1:40" x14ac:dyDescent="0.25">
      <c r="A14" s="207" t="s">
        <v>560</v>
      </c>
      <c r="B14" s="208">
        <v>24370427621.370571</v>
      </c>
      <c r="C14" s="208">
        <v>8842345357.059454</v>
      </c>
      <c r="D14" s="208">
        <v>8863104958.5664921</v>
      </c>
      <c r="E14" s="208">
        <v>6451885180.39046</v>
      </c>
      <c r="F14" s="208">
        <v>33233532579.937061</v>
      </c>
      <c r="G14" s="208">
        <v>15294230537.449913</v>
      </c>
      <c r="I14" s="206" t="s">
        <v>548</v>
      </c>
      <c r="J14" t="s">
        <v>604</v>
      </c>
      <c r="K14" t="s">
        <v>605</v>
      </c>
      <c r="L14" t="s">
        <v>606</v>
      </c>
      <c r="M14" t="s">
        <v>607</v>
      </c>
      <c r="N14" t="s">
        <v>608</v>
      </c>
      <c r="O14" t="s">
        <v>609</v>
      </c>
      <c r="P14" t="s">
        <v>610</v>
      </c>
      <c r="Q14" t="s">
        <v>611</v>
      </c>
      <c r="R14" t="s">
        <v>612</v>
      </c>
      <c r="T14" t="s">
        <v>548</v>
      </c>
      <c r="U14" s="209" t="s">
        <v>604</v>
      </c>
      <c r="V14" s="209" t="s">
        <v>605</v>
      </c>
      <c r="W14" s="209" t="s">
        <v>606</v>
      </c>
      <c r="X14" s="209" t="s">
        <v>607</v>
      </c>
      <c r="Y14" s="209" t="s">
        <v>608</v>
      </c>
      <c r="Z14" s="209" t="s">
        <v>609</v>
      </c>
      <c r="AA14" s="209" t="s">
        <v>610</v>
      </c>
      <c r="AB14" s="209" t="s">
        <v>611</v>
      </c>
      <c r="AC14" s="209" t="s">
        <v>612</v>
      </c>
      <c r="AE14" t="s">
        <v>548</v>
      </c>
      <c r="AF14" t="s">
        <v>613</v>
      </c>
      <c r="AG14" t="s">
        <v>614</v>
      </c>
      <c r="AH14" t="s">
        <v>615</v>
      </c>
      <c r="AI14" t="s">
        <v>616</v>
      </c>
      <c r="AJ14" t="s">
        <v>617</v>
      </c>
      <c r="AK14" t="s">
        <v>618</v>
      </c>
      <c r="AL14" t="s">
        <v>619</v>
      </c>
      <c r="AM14" t="s">
        <v>620</v>
      </c>
      <c r="AN14" t="s">
        <v>621</v>
      </c>
    </row>
    <row r="15" spans="1:40" x14ac:dyDescent="0.25">
      <c r="A15" s="207" t="s">
        <v>561</v>
      </c>
      <c r="B15" s="208">
        <v>26689511249.196259</v>
      </c>
      <c r="C15" s="208">
        <v>9492244005.0758266</v>
      </c>
      <c r="D15" s="208">
        <v>9429656004.8587437</v>
      </c>
      <c r="E15" s="208">
        <v>6956454754.7894373</v>
      </c>
      <c r="F15" s="208">
        <v>36119167254.055008</v>
      </c>
      <c r="G15" s="208">
        <v>16448698759.865265</v>
      </c>
      <c r="I15" s="216" t="s">
        <v>564</v>
      </c>
      <c r="J15" s="217">
        <v>0</v>
      </c>
      <c r="K15" s="217">
        <v>0</v>
      </c>
      <c r="L15" s="217">
        <v>0</v>
      </c>
      <c r="M15" s="217">
        <v>60441368879</v>
      </c>
      <c r="N15" s="217">
        <v>47390715970</v>
      </c>
      <c r="O15" s="217">
        <v>107832084849</v>
      </c>
      <c r="P15" s="217">
        <v>60441368879</v>
      </c>
      <c r="Q15" s="217">
        <v>47390715970</v>
      </c>
      <c r="R15" s="217">
        <v>107832084849</v>
      </c>
      <c r="T15" t="s">
        <v>589</v>
      </c>
      <c r="U15" s="219">
        <v>0</v>
      </c>
      <c r="V15" s="219">
        <v>0</v>
      </c>
      <c r="W15" s="219">
        <v>0</v>
      </c>
      <c r="X15" s="219">
        <v>20154801071</v>
      </c>
      <c r="Y15" s="219">
        <v>15780083599</v>
      </c>
      <c r="Z15" s="219">
        <v>35934884670</v>
      </c>
      <c r="AA15" s="219">
        <v>20154801071</v>
      </c>
      <c r="AB15" s="219">
        <v>15780083599</v>
      </c>
      <c r="AC15" s="219">
        <v>35934884670</v>
      </c>
      <c r="AE15" t="s">
        <v>589</v>
      </c>
      <c r="AF15" s="219">
        <f>+U15/1000</f>
        <v>0</v>
      </c>
      <c r="AG15" s="219">
        <f t="shared" ref="AG15:AN15" si="10">+V15/1000</f>
        <v>0</v>
      </c>
      <c r="AH15" s="219">
        <f t="shared" si="10"/>
        <v>0</v>
      </c>
      <c r="AI15" s="219">
        <f>+X15/1000</f>
        <v>20154801.070999999</v>
      </c>
      <c r="AJ15" s="219">
        <f t="shared" si="10"/>
        <v>15780083.598999999</v>
      </c>
      <c r="AK15" s="219">
        <f t="shared" si="10"/>
        <v>35934884.670000002</v>
      </c>
      <c r="AL15" s="219">
        <f t="shared" si="10"/>
        <v>20154801.070999999</v>
      </c>
      <c r="AM15" s="219">
        <f t="shared" si="10"/>
        <v>15780083.598999999</v>
      </c>
      <c r="AN15" s="219">
        <f t="shared" si="10"/>
        <v>35934884.670000002</v>
      </c>
    </row>
    <row r="16" spans="1:40" x14ac:dyDescent="0.25">
      <c r="A16" s="207" t="s">
        <v>562</v>
      </c>
      <c r="B16" s="208">
        <v>36592890448.634682</v>
      </c>
      <c r="C16" s="208">
        <v>12913294405.351358</v>
      </c>
      <c r="D16" s="208">
        <v>11894673713.107821</v>
      </c>
      <c r="E16" s="208">
        <v>8911422908.9337215</v>
      </c>
      <c r="F16" s="208">
        <v>48487564161.742493</v>
      </c>
      <c r="G16" s="208">
        <v>21824717314.285076</v>
      </c>
      <c r="I16" s="210" t="s">
        <v>589</v>
      </c>
      <c r="J16" s="208">
        <v>0</v>
      </c>
      <c r="K16" s="208">
        <v>0</v>
      </c>
      <c r="L16" s="208">
        <v>0</v>
      </c>
      <c r="M16" s="208">
        <v>20154801071</v>
      </c>
      <c r="N16" s="208">
        <v>15780083599</v>
      </c>
      <c r="O16" s="208">
        <v>35934884670</v>
      </c>
      <c r="P16" s="208">
        <v>20154801071</v>
      </c>
      <c r="Q16" s="208">
        <v>15780083599</v>
      </c>
      <c r="R16" s="208">
        <v>35934884670</v>
      </c>
      <c r="T16" s="218" t="s">
        <v>590</v>
      </c>
      <c r="U16" s="220">
        <v>0</v>
      </c>
      <c r="V16" s="220">
        <v>0</v>
      </c>
      <c r="W16" s="220">
        <v>0</v>
      </c>
      <c r="X16" s="220">
        <v>20132730649</v>
      </c>
      <c r="Y16" s="220">
        <v>15794446196</v>
      </c>
      <c r="Z16" s="220">
        <v>35927176845</v>
      </c>
      <c r="AA16" s="220">
        <v>20132730649</v>
      </c>
      <c r="AB16" s="220">
        <v>15794446196</v>
      </c>
      <c r="AC16" s="220">
        <v>35927176845</v>
      </c>
      <c r="AE16" s="218" t="s">
        <v>590</v>
      </c>
      <c r="AF16" s="219">
        <f t="shared" ref="AF16:AF17" si="11">+U16/1000</f>
        <v>0</v>
      </c>
      <c r="AG16" s="219">
        <f t="shared" ref="AG16:AG17" si="12">+V16/1000</f>
        <v>0</v>
      </c>
      <c r="AH16" s="219">
        <f t="shared" ref="AH16:AH17" si="13">+W16/1000</f>
        <v>0</v>
      </c>
      <c r="AI16" s="219">
        <f t="shared" ref="AI16:AI17" si="14">+X16/1000</f>
        <v>20132730.649</v>
      </c>
      <c r="AJ16" s="219">
        <f t="shared" ref="AJ16:AJ17" si="15">+Y16/1000</f>
        <v>15794446.196</v>
      </c>
      <c r="AK16" s="219">
        <f t="shared" ref="AK16:AK17" si="16">+Z16/1000</f>
        <v>35927176.844999999</v>
      </c>
      <c r="AL16" s="219">
        <f t="shared" ref="AL16:AL17" si="17">+AA16/1000</f>
        <v>20132730.649</v>
      </c>
      <c r="AM16" s="219">
        <f t="shared" ref="AM16:AM17" si="18">+AB16/1000</f>
        <v>15794446.196</v>
      </c>
      <c r="AN16" s="219">
        <f t="shared" ref="AN16:AN17" si="19">+AC16/1000</f>
        <v>35927176.844999999</v>
      </c>
    </row>
    <row r="17" spans="1:40" x14ac:dyDescent="0.25">
      <c r="A17" s="216" t="s">
        <v>563</v>
      </c>
      <c r="B17" s="217">
        <v>43453866484.039848</v>
      </c>
      <c r="C17" s="217">
        <v>14949329618.898636</v>
      </c>
      <c r="D17" s="217">
        <v>14114095435.076376</v>
      </c>
      <c r="E17" s="217">
        <v>10837332885.31241</v>
      </c>
      <c r="F17" s="217">
        <v>57567961919.116219</v>
      </c>
      <c r="G17" s="217">
        <v>25786662504.21104</v>
      </c>
      <c r="I17" s="210" t="s">
        <v>590</v>
      </c>
      <c r="J17" s="208">
        <v>0</v>
      </c>
      <c r="K17" s="208">
        <v>0</v>
      </c>
      <c r="L17" s="208">
        <v>0</v>
      </c>
      <c r="M17" s="208">
        <v>20132730649</v>
      </c>
      <c r="N17" s="208">
        <v>15794446196</v>
      </c>
      <c r="O17" s="208">
        <v>35927176845</v>
      </c>
      <c r="P17" s="208">
        <v>20132730649</v>
      </c>
      <c r="Q17" s="208">
        <v>15794446196</v>
      </c>
      <c r="R17" s="208">
        <v>35927176845</v>
      </c>
      <c r="S17" s="218"/>
      <c r="T17" t="s">
        <v>591</v>
      </c>
      <c r="U17" s="219">
        <v>0</v>
      </c>
      <c r="V17" s="219">
        <v>0</v>
      </c>
      <c r="W17" s="219">
        <v>0</v>
      </c>
      <c r="X17" s="219">
        <v>20153837159</v>
      </c>
      <c r="Y17" s="219">
        <v>15816186175</v>
      </c>
      <c r="Z17" s="219">
        <v>35970023334</v>
      </c>
      <c r="AA17" s="219">
        <v>20153837159</v>
      </c>
      <c r="AB17" s="219">
        <v>15816186175</v>
      </c>
      <c r="AC17" s="219">
        <v>35970023334</v>
      </c>
      <c r="AE17" t="s">
        <v>591</v>
      </c>
      <c r="AF17" s="219">
        <f t="shared" si="11"/>
        <v>0</v>
      </c>
      <c r="AG17" s="219">
        <f t="shared" si="12"/>
        <v>0</v>
      </c>
      <c r="AH17" s="219">
        <f t="shared" si="13"/>
        <v>0</v>
      </c>
      <c r="AI17" s="219">
        <f t="shared" si="14"/>
        <v>20153837.159000002</v>
      </c>
      <c r="AJ17" s="219">
        <f t="shared" si="15"/>
        <v>15816186.175000001</v>
      </c>
      <c r="AK17" s="219">
        <f t="shared" si="16"/>
        <v>35970023.333999999</v>
      </c>
      <c r="AL17" s="219">
        <f t="shared" si="17"/>
        <v>20153837.159000002</v>
      </c>
      <c r="AM17" s="219">
        <f t="shared" si="18"/>
        <v>15816186.175000001</v>
      </c>
      <c r="AN17" s="219">
        <f t="shared" si="19"/>
        <v>35970023.333999999</v>
      </c>
    </row>
    <row r="18" spans="1:40" x14ac:dyDescent="0.25">
      <c r="A18" s="210" t="s">
        <v>580</v>
      </c>
      <c r="B18" s="208">
        <v>41412764928.550545</v>
      </c>
      <c r="C18" s="208">
        <v>14344174607.805138</v>
      </c>
      <c r="D18" s="208">
        <v>13575450041.297749</v>
      </c>
      <c r="E18" s="208">
        <v>10301136754.388906</v>
      </c>
      <c r="F18" s="208">
        <v>54988214969.848297</v>
      </c>
      <c r="G18" s="208">
        <v>24645311362.194046</v>
      </c>
      <c r="I18" s="210" t="s">
        <v>591</v>
      </c>
      <c r="J18" s="208">
        <v>0</v>
      </c>
      <c r="K18" s="208">
        <v>0</v>
      </c>
      <c r="L18" s="208">
        <v>0</v>
      </c>
      <c r="M18" s="208">
        <v>20153837159</v>
      </c>
      <c r="N18" s="208">
        <v>15816186175</v>
      </c>
      <c r="O18" s="208">
        <v>35970023334</v>
      </c>
      <c r="P18" s="208">
        <v>20153837159</v>
      </c>
      <c r="Q18" s="208">
        <v>15816186175</v>
      </c>
      <c r="R18" s="208">
        <v>35970023334</v>
      </c>
      <c r="T18" t="s">
        <v>549</v>
      </c>
      <c r="U18" s="219">
        <v>0</v>
      </c>
      <c r="V18" s="219">
        <v>0</v>
      </c>
      <c r="W18" s="219">
        <v>0</v>
      </c>
      <c r="X18" s="219">
        <v>20147122959.666668</v>
      </c>
      <c r="Y18" s="219">
        <v>15796905323.333334</v>
      </c>
      <c r="Z18" s="219">
        <v>35944028283</v>
      </c>
      <c r="AA18" s="219">
        <v>20147122959.666668</v>
      </c>
      <c r="AB18" s="219">
        <v>15796905323.333334</v>
      </c>
      <c r="AC18" s="219">
        <v>35944028283</v>
      </c>
      <c r="AF18" s="219"/>
      <c r="AG18" s="219"/>
      <c r="AH18" s="219"/>
      <c r="AI18" s="219"/>
      <c r="AJ18" s="219"/>
      <c r="AK18" s="219"/>
      <c r="AL18" s="219"/>
      <c r="AM18" s="219"/>
      <c r="AN18" s="219"/>
    </row>
    <row r="19" spans="1:40" x14ac:dyDescent="0.25">
      <c r="A19" s="210" t="s">
        <v>581</v>
      </c>
      <c r="B19" s="208">
        <v>41492133144.129395</v>
      </c>
      <c r="C19" s="208">
        <v>14338671951.417471</v>
      </c>
      <c r="D19" s="208">
        <v>13556899957.095909</v>
      </c>
      <c r="E19" s="208">
        <v>10317360873.560974</v>
      </c>
      <c r="F19" s="208">
        <v>55049033101.225304</v>
      </c>
      <c r="G19" s="208">
        <v>24656032824.978443</v>
      </c>
    </row>
    <row r="20" spans="1:40" x14ac:dyDescent="0.25">
      <c r="A20" s="210" t="s">
        <v>582</v>
      </c>
      <c r="B20" s="208">
        <v>41689377531.52832</v>
      </c>
      <c r="C20" s="208">
        <v>14389107537.936651</v>
      </c>
      <c r="D20" s="208">
        <v>13587482423.759024</v>
      </c>
      <c r="E20" s="208">
        <v>10363693683.943645</v>
      </c>
      <c r="F20" s="208">
        <v>55276859955.287346</v>
      </c>
      <c r="G20" s="208">
        <v>24752801221.880299</v>
      </c>
    </row>
    <row r="21" spans="1:40" x14ac:dyDescent="0.25">
      <c r="A21" s="210" t="s">
        <v>583</v>
      </c>
      <c r="B21" s="208">
        <v>41893693794.81633</v>
      </c>
      <c r="C21" s="208">
        <v>14448119364.683731</v>
      </c>
      <c r="D21" s="208">
        <v>13658161040.342596</v>
      </c>
      <c r="E21" s="208">
        <v>10436146134.295401</v>
      </c>
      <c r="F21" s="208">
        <v>55551854835.158928</v>
      </c>
      <c r="G21" s="208">
        <v>24884265498.97913</v>
      </c>
    </row>
    <row r="22" spans="1:40" x14ac:dyDescent="0.25">
      <c r="A22" s="210" t="s">
        <v>584</v>
      </c>
      <c r="B22" s="208">
        <v>42028716433.503952</v>
      </c>
      <c r="C22" s="208">
        <v>14474202460.279303</v>
      </c>
      <c r="D22" s="208">
        <v>13650260559.967369</v>
      </c>
      <c r="E22" s="208">
        <v>10455981672.870468</v>
      </c>
      <c r="F22" s="208">
        <v>55678976993.471321</v>
      </c>
      <c r="G22" s="208">
        <v>24930184133.149773</v>
      </c>
    </row>
    <row r="23" spans="1:40" x14ac:dyDescent="0.25">
      <c r="A23" s="210" t="s">
        <v>585</v>
      </c>
      <c r="B23" s="208">
        <v>42051494056.711189</v>
      </c>
      <c r="C23" s="208">
        <v>14454401135.575151</v>
      </c>
      <c r="D23" s="208">
        <v>13673344879.106573</v>
      </c>
      <c r="E23" s="208">
        <v>10488651757.441307</v>
      </c>
      <c r="F23" s="208">
        <v>55724838935.817764</v>
      </c>
      <c r="G23" s="208">
        <v>24943052893.01646</v>
      </c>
    </row>
    <row r="24" spans="1:40" x14ac:dyDescent="0.25">
      <c r="A24" s="210" t="s">
        <v>586</v>
      </c>
      <c r="B24" s="208">
        <v>43968064599.592735</v>
      </c>
      <c r="C24" s="208">
        <v>15094747143.016346</v>
      </c>
      <c r="D24" s="208">
        <v>14296200721.375242</v>
      </c>
      <c r="E24" s="208">
        <v>10984398268.326876</v>
      </c>
      <c r="F24" s="208">
        <v>58264265320.967979</v>
      </c>
      <c r="G24" s="208">
        <v>26079145411.343224</v>
      </c>
    </row>
    <row r="25" spans="1:40" x14ac:dyDescent="0.25">
      <c r="A25" s="210" t="s">
        <v>587</v>
      </c>
      <c r="B25" s="208">
        <v>44239652802.527435</v>
      </c>
      <c r="C25" s="208">
        <v>15183281289.48546</v>
      </c>
      <c r="D25" s="208">
        <v>14359653915.897924</v>
      </c>
      <c r="E25" s="208">
        <v>11056169211.807955</v>
      </c>
      <c r="F25" s="208">
        <v>58599306718.425362</v>
      </c>
      <c r="G25" s="208">
        <v>26239450501.293415</v>
      </c>
    </row>
    <row r="26" spans="1:40" x14ac:dyDescent="0.25">
      <c r="A26" s="210" t="s">
        <v>588</v>
      </c>
      <c r="B26" s="208">
        <v>44825753490.339638</v>
      </c>
      <c r="C26" s="208">
        <v>15361682293.239056</v>
      </c>
      <c r="D26" s="208">
        <v>14520121666.492722</v>
      </c>
      <c r="E26" s="208">
        <v>11196683921.068314</v>
      </c>
      <c r="F26" s="208">
        <v>59345875156.832359</v>
      </c>
      <c r="G26" s="208">
        <v>26558366214.307369</v>
      </c>
    </row>
    <row r="27" spans="1:40" x14ac:dyDescent="0.25">
      <c r="A27" s="210" t="s">
        <v>589</v>
      </c>
      <c r="B27" s="208">
        <v>45558468926.131744</v>
      </c>
      <c r="C27" s="208">
        <v>15619780966.110331</v>
      </c>
      <c r="D27" s="208">
        <v>14731002156.65905</v>
      </c>
      <c r="E27" s="208">
        <v>11378658505.587618</v>
      </c>
      <c r="F27" s="208">
        <v>60289471082.790794</v>
      </c>
      <c r="G27" s="208">
        <v>26998439471.697948</v>
      </c>
    </row>
    <row r="28" spans="1:40" x14ac:dyDescent="0.25">
      <c r="A28" s="210" t="s">
        <v>590</v>
      </c>
      <c r="B28" s="208">
        <v>45907806144.015701</v>
      </c>
      <c r="C28" s="208">
        <v>15757842457.160728</v>
      </c>
      <c r="D28" s="208">
        <v>14819941119.248938</v>
      </c>
      <c r="E28" s="208">
        <v>11477733789.488827</v>
      </c>
      <c r="F28" s="208">
        <v>60727747263.264633</v>
      </c>
      <c r="G28" s="208">
        <v>27235576246.649555</v>
      </c>
    </row>
    <row r="29" spans="1:40" x14ac:dyDescent="0.25">
      <c r="A29" s="210" t="s">
        <v>591</v>
      </c>
      <c r="B29" s="208">
        <v>46378471956.631134</v>
      </c>
      <c r="C29" s="208">
        <v>15925944220.074242</v>
      </c>
      <c r="D29" s="208">
        <v>14940626739.673445</v>
      </c>
      <c r="E29" s="208">
        <v>11591380050.96863</v>
      </c>
      <c r="F29" s="208">
        <v>61319098696.304581</v>
      </c>
      <c r="G29" s="208">
        <v>27517324271.042873</v>
      </c>
    </row>
    <row r="30" spans="1:40" s="218" customFormat="1" x14ac:dyDescent="0.25">
      <c r="A30" s="216" t="s">
        <v>564</v>
      </c>
      <c r="B30" s="217">
        <v>4061495668.9687133</v>
      </c>
      <c r="C30" s="217">
        <v>1394304840.9271979</v>
      </c>
      <c r="D30" s="217">
        <v>18608107348.715408</v>
      </c>
      <c r="E30" s="217">
        <v>14541108885.050779</v>
      </c>
      <c r="F30" s="217">
        <v>22669603017.684124</v>
      </c>
      <c r="G30" s="217">
        <v>15935413725.977976</v>
      </c>
      <c r="H30"/>
      <c r="I30"/>
      <c r="J30"/>
      <c r="K30"/>
      <c r="L30"/>
      <c r="M30"/>
      <c r="N30"/>
      <c r="O30"/>
    </row>
    <row r="31" spans="1:40" x14ac:dyDescent="0.25">
      <c r="A31" s="210" t="s">
        <v>580</v>
      </c>
      <c r="B31" s="208">
        <v>48737948027.624557</v>
      </c>
      <c r="C31" s="208">
        <v>16731658091.126375</v>
      </c>
      <c r="D31" s="208">
        <v>16210542125.044081</v>
      </c>
      <c r="E31" s="208">
        <v>12595583261.466858</v>
      </c>
      <c r="F31" s="208">
        <v>64948490152.66864</v>
      </c>
      <c r="G31" s="208">
        <v>29327241352.593231</v>
      </c>
    </row>
    <row r="32" spans="1:40" x14ac:dyDescent="0.25">
      <c r="A32" s="210" t="s">
        <v>581</v>
      </c>
      <c r="B32" s="208">
        <v>0</v>
      </c>
      <c r="C32" s="208">
        <v>0</v>
      </c>
      <c r="D32" s="208">
        <v>17091973483.192741</v>
      </c>
      <c r="E32" s="208">
        <v>13299723403.619192</v>
      </c>
      <c r="F32" s="208">
        <v>17091973483.192741</v>
      </c>
      <c r="G32" s="208">
        <v>13299723403.619192</v>
      </c>
    </row>
    <row r="33" spans="1:7" x14ac:dyDescent="0.25">
      <c r="A33" s="210" t="s">
        <v>582</v>
      </c>
      <c r="B33" s="208">
        <v>0</v>
      </c>
      <c r="C33" s="208">
        <v>0</v>
      </c>
      <c r="D33" s="208">
        <v>17424606452.911678</v>
      </c>
      <c r="E33" s="208">
        <v>13573744962.130131</v>
      </c>
      <c r="F33" s="208">
        <v>17424606452.911678</v>
      </c>
      <c r="G33" s="208">
        <v>13573744962.130131</v>
      </c>
    </row>
    <row r="34" spans="1:7" x14ac:dyDescent="0.25">
      <c r="A34" s="210" t="s">
        <v>583</v>
      </c>
      <c r="B34" s="208">
        <v>0</v>
      </c>
      <c r="C34" s="208">
        <v>0</v>
      </c>
      <c r="D34" s="208">
        <v>17641980698.009972</v>
      </c>
      <c r="E34" s="208">
        <v>13769718696.30522</v>
      </c>
      <c r="F34" s="208">
        <v>17641980698.009972</v>
      </c>
      <c r="G34" s="208">
        <v>13769718696.30522</v>
      </c>
    </row>
    <row r="35" spans="1:7" x14ac:dyDescent="0.25">
      <c r="A35" s="210" t="s">
        <v>584</v>
      </c>
      <c r="B35" s="208">
        <v>0</v>
      </c>
      <c r="C35" s="208">
        <v>0</v>
      </c>
      <c r="D35" s="208">
        <v>17891632863.695015</v>
      </c>
      <c r="E35" s="208">
        <v>13984257091.629864</v>
      </c>
      <c r="F35" s="208">
        <v>17891632863.695015</v>
      </c>
      <c r="G35" s="208">
        <v>13984257091.629864</v>
      </c>
    </row>
    <row r="36" spans="1:7" x14ac:dyDescent="0.25">
      <c r="A36" s="210" t="s">
        <v>585</v>
      </c>
      <c r="B36" s="208">
        <v>0</v>
      </c>
      <c r="C36" s="208">
        <v>0</v>
      </c>
      <c r="D36" s="208">
        <v>18154510583.825241</v>
      </c>
      <c r="E36" s="208">
        <v>14178908328.029295</v>
      </c>
      <c r="F36" s="208">
        <v>18154510583.825241</v>
      </c>
      <c r="G36" s="208">
        <v>14178908328.029295</v>
      </c>
    </row>
    <row r="37" spans="1:7" x14ac:dyDescent="0.25">
      <c r="A37" s="210" t="s">
        <v>586</v>
      </c>
      <c r="B37" s="208">
        <v>0</v>
      </c>
      <c r="C37" s="208">
        <v>0</v>
      </c>
      <c r="D37" s="208">
        <v>19337226013.322685</v>
      </c>
      <c r="E37" s="208">
        <v>15116052668.109373</v>
      </c>
      <c r="F37" s="208">
        <v>19337226013.322685</v>
      </c>
      <c r="G37" s="208">
        <v>15116052668.109373</v>
      </c>
    </row>
    <row r="38" spans="1:7" x14ac:dyDescent="0.25">
      <c r="A38" s="210" t="s">
        <v>587</v>
      </c>
      <c r="B38" s="208">
        <v>0</v>
      </c>
      <c r="C38" s="208">
        <v>0</v>
      </c>
      <c r="D38" s="208">
        <v>19615995290.222252</v>
      </c>
      <c r="E38" s="208">
        <v>15334641090.347298</v>
      </c>
      <c r="F38" s="208">
        <v>19615995290.222252</v>
      </c>
      <c r="G38" s="208">
        <v>15334641090.347298</v>
      </c>
    </row>
    <row r="39" spans="1:7" x14ac:dyDescent="0.25">
      <c r="A39" s="210" t="s">
        <v>588</v>
      </c>
      <c r="B39" s="208">
        <v>0</v>
      </c>
      <c r="C39" s="208">
        <v>0</v>
      </c>
      <c r="D39" s="208">
        <v>19795507702.981388</v>
      </c>
      <c r="E39" s="208">
        <v>15491241215.056953</v>
      </c>
      <c r="F39" s="208">
        <v>19795507702.981388</v>
      </c>
      <c r="G39" s="208">
        <v>15491241215.056953</v>
      </c>
    </row>
    <row r="40" spans="1:7" x14ac:dyDescent="0.25">
      <c r="A40" s="210" t="s">
        <v>589</v>
      </c>
      <c r="B40" s="208">
        <v>0</v>
      </c>
      <c r="C40" s="208">
        <v>0</v>
      </c>
      <c r="D40" s="208">
        <v>19903687043.913326</v>
      </c>
      <c r="E40" s="208">
        <v>15583475340.434208</v>
      </c>
      <c r="F40" s="208">
        <v>19903687043.913326</v>
      </c>
      <c r="G40" s="208">
        <v>15583475340.434208</v>
      </c>
    </row>
    <row r="41" spans="1:7" x14ac:dyDescent="0.25">
      <c r="A41" s="210" t="s">
        <v>590</v>
      </c>
      <c r="B41" s="208">
        <v>0</v>
      </c>
      <c r="C41" s="208">
        <v>0</v>
      </c>
      <c r="D41" s="208">
        <v>20075788768.466526</v>
      </c>
      <c r="E41" s="208">
        <v>15749774388.480951</v>
      </c>
      <c r="F41" s="208">
        <v>20075788768.466526</v>
      </c>
      <c r="G41" s="208">
        <v>15749774388.480951</v>
      </c>
    </row>
    <row r="42" spans="1:7" x14ac:dyDescent="0.25">
      <c r="A42" s="210" t="s">
        <v>591</v>
      </c>
      <c r="B42" s="208">
        <v>0</v>
      </c>
      <c r="C42" s="208">
        <v>0</v>
      </c>
      <c r="D42" s="208">
        <v>20153837159</v>
      </c>
      <c r="E42" s="208">
        <v>15816186175</v>
      </c>
      <c r="F42" s="208">
        <v>20153837159</v>
      </c>
      <c r="G42" s="208">
        <v>15816186175</v>
      </c>
    </row>
    <row r="43" spans="1:7" x14ac:dyDescent="0.25">
      <c r="A43" s="207" t="s">
        <v>549</v>
      </c>
      <c r="B43" s="208">
        <v>19676256282.276787</v>
      </c>
      <c r="C43" s="208">
        <v>7386963480.0933323</v>
      </c>
      <c r="D43" s="208">
        <v>8525316752.7444334</v>
      </c>
      <c r="E43" s="208">
        <v>6252795520.6978397</v>
      </c>
      <c r="F43" s="208">
        <v>28201573035.02121</v>
      </c>
      <c r="G43" s="208">
        <v>13639759000.791176</v>
      </c>
    </row>
    <row r="52" spans="1:15" x14ac:dyDescent="0.25">
      <c r="A52" t="s">
        <v>548</v>
      </c>
      <c r="B52" t="s">
        <v>576</v>
      </c>
      <c r="C52" t="s">
        <v>575</v>
      </c>
      <c r="D52" t="s">
        <v>577</v>
      </c>
      <c r="E52" t="s">
        <v>574</v>
      </c>
      <c r="F52" t="s">
        <v>579</v>
      </c>
      <c r="G52" t="s">
        <v>578</v>
      </c>
      <c r="I52" t="s">
        <v>548</v>
      </c>
      <c r="J52" t="s">
        <v>576</v>
      </c>
      <c r="K52" t="s">
        <v>575</v>
      </c>
      <c r="L52" t="s">
        <v>577</v>
      </c>
      <c r="M52" t="s">
        <v>574</v>
      </c>
      <c r="N52" t="s">
        <v>579</v>
      </c>
      <c r="O52" t="s">
        <v>578</v>
      </c>
    </row>
    <row r="53" spans="1:15" x14ac:dyDescent="0.25">
      <c r="A53" t="s">
        <v>550</v>
      </c>
      <c r="B53">
        <v>8246926869.2877502</v>
      </c>
      <c r="C53" s="219">
        <v>3973207724.5979996</v>
      </c>
      <c r="D53">
        <v>3969656243.1597457</v>
      </c>
      <c r="E53">
        <v>3064613569.4954667</v>
      </c>
      <c r="F53">
        <v>12216583112.447495</v>
      </c>
      <c r="G53">
        <v>7037821294.0934668</v>
      </c>
      <c r="I53" t="s">
        <v>550</v>
      </c>
      <c r="J53" s="219">
        <v>8246926.8692877507</v>
      </c>
      <c r="K53" s="219">
        <v>3973207.7245979994</v>
      </c>
      <c r="L53" s="219">
        <v>3969656.2431597458</v>
      </c>
      <c r="M53" s="219">
        <v>3064613.5694954665</v>
      </c>
      <c r="N53" s="219">
        <v>12216583.112447495</v>
      </c>
      <c r="O53" s="219">
        <v>7037821.2940934664</v>
      </c>
    </row>
    <row r="54" spans="1:15" x14ac:dyDescent="0.25">
      <c r="A54" t="s">
        <v>551</v>
      </c>
      <c r="B54">
        <v>10831943415.048538</v>
      </c>
      <c r="C54">
        <v>4778493385.1598539</v>
      </c>
      <c r="D54">
        <v>5149103046.8522663</v>
      </c>
      <c r="E54">
        <v>3655592972.6395154</v>
      </c>
      <c r="F54">
        <v>15981046461.900803</v>
      </c>
      <c r="G54">
        <v>8434086357.799367</v>
      </c>
      <c r="I54" t="s">
        <v>551</v>
      </c>
      <c r="J54" s="219">
        <v>10831943.415048538</v>
      </c>
      <c r="K54" s="219">
        <v>4778493.3851598538</v>
      </c>
      <c r="L54" s="219">
        <v>5149103.0468522664</v>
      </c>
      <c r="M54" s="219">
        <v>3655592.9726395155</v>
      </c>
      <c r="N54" s="219">
        <v>15981046.461900802</v>
      </c>
      <c r="O54" s="219">
        <v>8434086.3577993661</v>
      </c>
    </row>
    <row r="55" spans="1:15" x14ac:dyDescent="0.25">
      <c r="A55" t="s">
        <v>552</v>
      </c>
      <c r="B55">
        <v>13095567640.080732</v>
      </c>
      <c r="C55">
        <v>5502966223.7595825</v>
      </c>
      <c r="D55">
        <v>5973329799.6957197</v>
      </c>
      <c r="E55">
        <v>4181931763.7496819</v>
      </c>
      <c r="F55">
        <v>19068897439.776447</v>
      </c>
      <c r="G55">
        <v>9684897987.5092659</v>
      </c>
      <c r="I55" t="s">
        <v>552</v>
      </c>
      <c r="J55" s="219">
        <v>13095567.640080733</v>
      </c>
      <c r="K55" s="219">
        <v>5502966.2237595823</v>
      </c>
      <c r="L55" s="219">
        <v>5973329.79969572</v>
      </c>
      <c r="M55" s="219">
        <v>4181931.7637496819</v>
      </c>
      <c r="N55" s="219">
        <v>19068897.439776447</v>
      </c>
      <c r="O55" s="219">
        <v>9684897.9875092655</v>
      </c>
    </row>
    <row r="56" spans="1:15" x14ac:dyDescent="0.25">
      <c r="A56" t="s">
        <v>553</v>
      </c>
      <c r="B56">
        <v>13994994329.511679</v>
      </c>
      <c r="C56">
        <v>5780107940.9241409</v>
      </c>
      <c r="D56">
        <v>6221600908.5936813</v>
      </c>
      <c r="E56">
        <v>4373494706.5970135</v>
      </c>
      <c r="F56">
        <v>20216595238.105358</v>
      </c>
      <c r="G56">
        <v>10153602647.521154</v>
      </c>
      <c r="I56" t="s">
        <v>553</v>
      </c>
      <c r="J56" s="219">
        <v>13994994.329511678</v>
      </c>
      <c r="K56" s="219">
        <v>5780107.9409241406</v>
      </c>
      <c r="L56" s="219">
        <v>6221600.9085936816</v>
      </c>
      <c r="M56" s="219">
        <v>4373494.7065970134</v>
      </c>
      <c r="N56" s="219">
        <v>20216595.238105357</v>
      </c>
      <c r="O56" s="219">
        <v>10153602.647521155</v>
      </c>
    </row>
    <row r="57" spans="1:15" x14ac:dyDescent="0.25">
      <c r="A57" t="s">
        <v>554</v>
      </c>
      <c r="B57">
        <v>14900591934.083181</v>
      </c>
      <c r="C57">
        <v>6027641672.6388502</v>
      </c>
      <c r="D57">
        <v>6305334741.0595312</v>
      </c>
      <c r="E57">
        <v>4448180899.6762056</v>
      </c>
      <c r="F57">
        <v>21205926675.142715</v>
      </c>
      <c r="G57">
        <v>10475822572.315058</v>
      </c>
      <c r="I57" t="s">
        <v>554</v>
      </c>
      <c r="J57" s="219">
        <v>14900591.934083181</v>
      </c>
      <c r="K57" s="219">
        <v>6027641.6726388503</v>
      </c>
      <c r="L57" s="219">
        <v>6305334.7410595315</v>
      </c>
      <c r="M57" s="219">
        <v>4448180.8996762056</v>
      </c>
      <c r="N57" s="219">
        <v>21205926.675142717</v>
      </c>
      <c r="O57" s="219">
        <v>10475822.572315058</v>
      </c>
    </row>
    <row r="58" spans="1:15" x14ac:dyDescent="0.25">
      <c r="A58" t="s">
        <v>555</v>
      </c>
      <c r="B58">
        <v>15464510652.205984</v>
      </c>
      <c r="C58">
        <v>6127638130.4877253</v>
      </c>
      <c r="D58">
        <v>6133300571.7438841</v>
      </c>
      <c r="E58">
        <v>4291617400.8795981</v>
      </c>
      <c r="F58">
        <v>21597811223.949871</v>
      </c>
      <c r="G58">
        <v>10419255531.367325</v>
      </c>
      <c r="I58" t="s">
        <v>555</v>
      </c>
      <c r="J58" s="219">
        <v>15464510.652205985</v>
      </c>
      <c r="K58" s="219">
        <v>6127638.1304877251</v>
      </c>
      <c r="L58" s="219">
        <v>6133300.5717438841</v>
      </c>
      <c r="M58" s="219">
        <v>4291617.4008795982</v>
      </c>
      <c r="N58" s="219">
        <v>21597811.223949872</v>
      </c>
      <c r="O58" s="219">
        <v>10419255.531367324</v>
      </c>
    </row>
    <row r="59" spans="1:15" x14ac:dyDescent="0.25">
      <c r="A59" t="s">
        <v>556</v>
      </c>
      <c r="B59">
        <v>16719242118.712105</v>
      </c>
      <c r="C59">
        <v>6443033859.5210752</v>
      </c>
      <c r="D59">
        <v>6332875385.4161987</v>
      </c>
      <c r="E59">
        <v>4376817385.0717344</v>
      </c>
      <c r="F59">
        <v>23052117504.128307</v>
      </c>
      <c r="G59">
        <v>10819851244.592808</v>
      </c>
      <c r="I59" t="s">
        <v>556</v>
      </c>
      <c r="J59" s="219">
        <v>16719242.118712105</v>
      </c>
      <c r="K59" s="219">
        <v>6443033.8595210752</v>
      </c>
      <c r="L59" s="219">
        <v>6332875.3854161985</v>
      </c>
      <c r="M59" s="219">
        <v>4376817.385071734</v>
      </c>
      <c r="N59" s="219">
        <v>23052117.504128307</v>
      </c>
      <c r="O59" s="219">
        <v>10819851.244592808</v>
      </c>
    </row>
    <row r="60" spans="1:15" x14ac:dyDescent="0.25">
      <c r="A60" t="s">
        <v>557</v>
      </c>
      <c r="B60">
        <v>18210702843.160507</v>
      </c>
      <c r="C60">
        <v>6946083183.5916548</v>
      </c>
      <c r="D60">
        <v>6761441395.714366</v>
      </c>
      <c r="E60">
        <v>4771430769.2962599</v>
      </c>
      <c r="F60">
        <v>24972144238.874874</v>
      </c>
      <c r="G60">
        <v>11717513952.887915</v>
      </c>
      <c r="I60" t="s">
        <v>557</v>
      </c>
      <c r="J60" s="219">
        <v>18210702.843160506</v>
      </c>
      <c r="K60" s="219">
        <v>6946083.1835916545</v>
      </c>
      <c r="L60" s="219">
        <v>6761441.3957143659</v>
      </c>
      <c r="M60" s="219">
        <v>4771430.7692962596</v>
      </c>
      <c r="N60" s="219">
        <v>24972144.238874875</v>
      </c>
      <c r="O60" s="219">
        <v>11717513.952887915</v>
      </c>
    </row>
    <row r="61" spans="1:15" x14ac:dyDescent="0.25">
      <c r="A61" t="s">
        <v>558</v>
      </c>
      <c r="B61">
        <v>19783296657.483814</v>
      </c>
      <c r="C61">
        <v>7425619705.3861189</v>
      </c>
      <c r="D61">
        <v>7362010767.830924</v>
      </c>
      <c r="E61">
        <v>5231600971.8967381</v>
      </c>
      <c r="F61">
        <v>27145307425.314739</v>
      </c>
      <c r="G61">
        <v>12657220677.28286</v>
      </c>
      <c r="I61" t="s">
        <v>558</v>
      </c>
      <c r="J61" s="219">
        <v>19783296.657483812</v>
      </c>
      <c r="K61" s="219">
        <v>7425619.705386119</v>
      </c>
      <c r="L61" s="219">
        <v>7362010.7678309241</v>
      </c>
      <c r="M61" s="219">
        <v>5231600.9718967378</v>
      </c>
      <c r="N61" s="219">
        <v>27145307.425314739</v>
      </c>
      <c r="O61" s="219">
        <v>12657220.677282861</v>
      </c>
    </row>
    <row r="62" spans="1:15" x14ac:dyDescent="0.25">
      <c r="A62" t="s">
        <v>559</v>
      </c>
      <c r="B62">
        <v>23013211595.87286</v>
      </c>
      <c r="C62">
        <v>8501264270.2728071</v>
      </c>
      <c r="D62">
        <v>8483630715.9830093</v>
      </c>
      <c r="E62">
        <v>6104356781.0873613</v>
      </c>
      <c r="F62">
        <v>31496842311.855865</v>
      </c>
      <c r="G62">
        <v>14605621051.360168</v>
      </c>
      <c r="I62" t="s">
        <v>559</v>
      </c>
      <c r="J62" s="219">
        <v>23013211.59587286</v>
      </c>
      <c r="K62" s="219">
        <v>8501264.2702728063</v>
      </c>
      <c r="L62" s="219">
        <v>8483630.715983009</v>
      </c>
      <c r="M62" s="219">
        <v>6104356.7810873613</v>
      </c>
      <c r="N62" s="219">
        <v>31496842.311855864</v>
      </c>
      <c r="O62" s="219">
        <v>14605621.051360168</v>
      </c>
    </row>
    <row r="63" spans="1:15" x14ac:dyDescent="0.25">
      <c r="A63" t="s">
        <v>560</v>
      </c>
      <c r="B63">
        <v>24370427621.370571</v>
      </c>
      <c r="C63">
        <v>8842345357.059454</v>
      </c>
      <c r="D63">
        <v>8863104958.5664921</v>
      </c>
      <c r="E63">
        <v>6451885180.39046</v>
      </c>
      <c r="F63">
        <v>33233532579.937061</v>
      </c>
      <c r="G63">
        <v>15294230537.449913</v>
      </c>
      <c r="I63" t="s">
        <v>560</v>
      </c>
      <c r="J63" s="219">
        <v>24370427.621370573</v>
      </c>
      <c r="K63" s="219">
        <v>8842345.3570594545</v>
      </c>
      <c r="L63" s="219">
        <v>8863104.9585664924</v>
      </c>
      <c r="M63" s="219">
        <v>6451885.1803904604</v>
      </c>
      <c r="N63" s="219">
        <v>33233532.579937063</v>
      </c>
      <c r="O63" s="219">
        <v>15294230.537449913</v>
      </c>
    </row>
    <row r="64" spans="1:15" x14ac:dyDescent="0.25">
      <c r="A64" t="s">
        <v>561</v>
      </c>
      <c r="B64">
        <v>26689511249.196259</v>
      </c>
      <c r="C64">
        <v>9492244005.0758266</v>
      </c>
      <c r="D64">
        <v>9429656004.8587437</v>
      </c>
      <c r="E64">
        <v>6956454754.7894373</v>
      </c>
      <c r="F64">
        <v>36119167254.055008</v>
      </c>
      <c r="G64">
        <v>16448698759.865265</v>
      </c>
      <c r="I64" t="s">
        <v>561</v>
      </c>
      <c r="J64" s="219">
        <v>26689511.249196257</v>
      </c>
      <c r="K64" s="219">
        <v>9492244.0050758272</v>
      </c>
      <c r="L64" s="219">
        <v>9429656.0048587434</v>
      </c>
      <c r="M64" s="219">
        <v>6956454.7547894372</v>
      </c>
      <c r="N64" s="219">
        <v>36119167.254055008</v>
      </c>
      <c r="O64" s="219">
        <v>16448698.759865265</v>
      </c>
    </row>
    <row r="65" spans="1:15" x14ac:dyDescent="0.25">
      <c r="A65" t="s">
        <v>562</v>
      </c>
      <c r="B65">
        <v>36592890448.634682</v>
      </c>
      <c r="C65">
        <v>12913294405.351358</v>
      </c>
      <c r="D65">
        <v>11894673713.107821</v>
      </c>
      <c r="E65">
        <v>8911422908.9337215</v>
      </c>
      <c r="F65">
        <v>48487564161.742493</v>
      </c>
      <c r="G65">
        <v>21824717314.285076</v>
      </c>
      <c r="I65" t="s">
        <v>562</v>
      </c>
      <c r="J65" s="219">
        <v>36592890.448634684</v>
      </c>
      <c r="K65" s="219">
        <v>12913294.405351358</v>
      </c>
      <c r="L65" s="219">
        <v>11894673.713107821</v>
      </c>
      <c r="M65" s="219">
        <v>8911422.9089337215</v>
      </c>
      <c r="N65" s="219">
        <v>48487564.161742494</v>
      </c>
      <c r="O65" s="219">
        <v>21824717.314285077</v>
      </c>
    </row>
    <row r="66" spans="1:15" x14ac:dyDescent="0.25">
      <c r="A66" t="s">
        <v>563</v>
      </c>
      <c r="B66">
        <v>43453866484.039848</v>
      </c>
      <c r="C66">
        <v>14949329618.898636</v>
      </c>
      <c r="D66">
        <v>14114095435.076376</v>
      </c>
      <c r="E66">
        <v>10837332885.31241</v>
      </c>
      <c r="F66">
        <v>57567961919.116219</v>
      </c>
      <c r="G66">
        <v>25786662504.21104</v>
      </c>
      <c r="I66" t="s">
        <v>580</v>
      </c>
      <c r="J66" s="219">
        <v>41412764.928550541</v>
      </c>
      <c r="K66" s="219">
        <v>14344174.607805138</v>
      </c>
      <c r="L66" s="219">
        <v>13575450.041297749</v>
      </c>
      <c r="M66" s="219">
        <v>10301136.754388906</v>
      </c>
      <c r="N66" s="219">
        <v>54988214.969848298</v>
      </c>
      <c r="O66" s="219">
        <v>24645311.362194046</v>
      </c>
    </row>
    <row r="67" spans="1:15" x14ac:dyDescent="0.25">
      <c r="A67" t="s">
        <v>580</v>
      </c>
      <c r="B67">
        <v>41412764928.550545</v>
      </c>
      <c r="C67">
        <v>14344174607.805138</v>
      </c>
      <c r="D67">
        <v>13575450041.297749</v>
      </c>
      <c r="E67">
        <v>10301136754.388906</v>
      </c>
      <c r="F67">
        <v>54988214969.848297</v>
      </c>
      <c r="G67">
        <v>24645311362.194046</v>
      </c>
      <c r="I67" t="s">
        <v>581</v>
      </c>
      <c r="J67" s="219">
        <v>41492133.144129395</v>
      </c>
      <c r="K67" s="219">
        <v>14338671.95141747</v>
      </c>
      <c r="L67" s="219">
        <v>13556899.95709591</v>
      </c>
      <c r="M67" s="219">
        <v>10317360.873560974</v>
      </c>
      <c r="N67" s="219">
        <v>55049033.101225302</v>
      </c>
      <c r="O67" s="219">
        <v>24656032.824978445</v>
      </c>
    </row>
    <row r="68" spans="1:15" x14ac:dyDescent="0.25">
      <c r="A68" t="s">
        <v>581</v>
      </c>
      <c r="B68">
        <v>41492133144.129395</v>
      </c>
      <c r="C68">
        <v>14338671951.417471</v>
      </c>
      <c r="D68">
        <v>13556899957.095909</v>
      </c>
      <c r="E68">
        <v>10317360873.560974</v>
      </c>
      <c r="F68">
        <v>55049033101.225304</v>
      </c>
      <c r="G68">
        <v>24656032824.978443</v>
      </c>
      <c r="I68" t="s">
        <v>582</v>
      </c>
      <c r="J68" s="219">
        <v>41689377.531528324</v>
      </c>
      <c r="K68" s="219">
        <v>14389107.537936652</v>
      </c>
      <c r="L68" s="219">
        <v>13587482.423759025</v>
      </c>
      <c r="M68" s="219">
        <v>10363693.683943646</v>
      </c>
      <c r="N68" s="219">
        <v>55276859.955287345</v>
      </c>
      <c r="O68" s="219">
        <v>24752801.221880298</v>
      </c>
    </row>
    <row r="69" spans="1:15" x14ac:dyDescent="0.25">
      <c r="A69" t="s">
        <v>582</v>
      </c>
      <c r="B69">
        <v>41689377531.52832</v>
      </c>
      <c r="C69">
        <v>14389107537.936651</v>
      </c>
      <c r="D69">
        <v>13587482423.759024</v>
      </c>
      <c r="E69">
        <v>10363693683.943645</v>
      </c>
      <c r="F69">
        <v>55276859955.287346</v>
      </c>
      <c r="G69">
        <v>24752801221.880299</v>
      </c>
      <c r="I69" t="s">
        <v>583</v>
      </c>
      <c r="J69" s="219">
        <v>41893693.79481633</v>
      </c>
      <c r="K69" s="219">
        <v>14448119.364683731</v>
      </c>
      <c r="L69" s="219">
        <v>13658161.040342595</v>
      </c>
      <c r="M69" s="219">
        <v>10436146.1342954</v>
      </c>
      <c r="N69" s="219">
        <v>55551854.835158929</v>
      </c>
      <c r="O69" s="219">
        <v>24884265.498979129</v>
      </c>
    </row>
    <row r="70" spans="1:15" x14ac:dyDescent="0.25">
      <c r="A70" t="s">
        <v>583</v>
      </c>
      <c r="B70">
        <v>41893693794.81633</v>
      </c>
      <c r="C70">
        <v>14448119364.683731</v>
      </c>
      <c r="D70">
        <v>13658161040.342596</v>
      </c>
      <c r="E70">
        <v>10436146134.295401</v>
      </c>
      <c r="F70">
        <v>55551854835.158928</v>
      </c>
      <c r="G70">
        <v>24884265498.97913</v>
      </c>
      <c r="I70" t="s">
        <v>584</v>
      </c>
      <c r="J70" s="219">
        <v>42028716.433503956</v>
      </c>
      <c r="K70" s="219">
        <v>14474202.460279303</v>
      </c>
      <c r="L70" s="219">
        <v>13650260.559967369</v>
      </c>
      <c r="M70" s="219">
        <v>10455981.672870468</v>
      </c>
      <c r="N70" s="219">
        <v>55678976.993471324</v>
      </c>
      <c r="O70" s="219">
        <v>24930184.133149773</v>
      </c>
    </row>
    <row r="71" spans="1:15" x14ac:dyDescent="0.25">
      <c r="A71" t="s">
        <v>584</v>
      </c>
      <c r="B71">
        <v>42028716433.503952</v>
      </c>
      <c r="C71">
        <v>14474202460.279303</v>
      </c>
      <c r="D71">
        <v>13650260559.967369</v>
      </c>
      <c r="E71">
        <v>10455981672.870468</v>
      </c>
      <c r="F71">
        <v>55678976993.471321</v>
      </c>
      <c r="G71">
        <v>24930184133.149773</v>
      </c>
      <c r="I71" t="s">
        <v>585</v>
      </c>
      <c r="J71" s="219">
        <v>42051494.056711189</v>
      </c>
      <c r="K71" s="219">
        <v>14454401.135575151</v>
      </c>
      <c r="L71" s="219">
        <v>13673344.879106574</v>
      </c>
      <c r="M71" s="219">
        <v>10488651.757441306</v>
      </c>
      <c r="N71" s="219">
        <v>55724838.935817763</v>
      </c>
      <c r="O71" s="219">
        <v>24943052.893016461</v>
      </c>
    </row>
    <row r="72" spans="1:15" x14ac:dyDescent="0.25">
      <c r="A72" t="s">
        <v>585</v>
      </c>
      <c r="B72">
        <v>42051494056.711189</v>
      </c>
      <c r="C72">
        <v>14454401135.575151</v>
      </c>
      <c r="D72">
        <v>13673344879.106573</v>
      </c>
      <c r="E72">
        <v>10488651757.441307</v>
      </c>
      <c r="F72">
        <v>55724838935.817764</v>
      </c>
      <c r="G72">
        <v>24943052893.01646</v>
      </c>
      <c r="I72" t="s">
        <v>586</v>
      </c>
      <c r="J72" s="219">
        <v>43968064.599592738</v>
      </c>
      <c r="K72" s="219">
        <v>15094747.143016346</v>
      </c>
      <c r="L72" s="219">
        <v>14296200.721375242</v>
      </c>
      <c r="M72" s="219">
        <v>10984398.268326875</v>
      </c>
      <c r="N72" s="219">
        <v>58264265.32096798</v>
      </c>
      <c r="O72" s="219">
        <v>26079145.411343224</v>
      </c>
    </row>
    <row r="73" spans="1:15" x14ac:dyDescent="0.25">
      <c r="A73" t="s">
        <v>586</v>
      </c>
      <c r="B73">
        <v>43968064599.592735</v>
      </c>
      <c r="C73">
        <v>15094747143.016346</v>
      </c>
      <c r="D73">
        <v>14296200721.375242</v>
      </c>
      <c r="E73">
        <v>10984398268.326876</v>
      </c>
      <c r="F73">
        <v>58264265320.967979</v>
      </c>
      <c r="G73">
        <v>26079145411.343224</v>
      </c>
      <c r="I73" t="s">
        <v>587</v>
      </c>
      <c r="J73" s="219">
        <v>44239652.802527435</v>
      </c>
      <c r="K73" s="219">
        <v>15183281.28948546</v>
      </c>
      <c r="L73" s="219">
        <v>14359653.915897924</v>
      </c>
      <c r="M73" s="219">
        <v>11056169.211807955</v>
      </c>
      <c r="N73" s="219">
        <v>58599306.718425363</v>
      </c>
      <c r="O73" s="219">
        <v>26239450.501293413</v>
      </c>
    </row>
    <row r="74" spans="1:15" x14ac:dyDescent="0.25">
      <c r="A74" t="s">
        <v>587</v>
      </c>
      <c r="B74">
        <v>44239652802.527435</v>
      </c>
      <c r="C74">
        <v>15183281289.48546</v>
      </c>
      <c r="D74">
        <v>14359653915.897924</v>
      </c>
      <c r="E74">
        <v>11056169211.807955</v>
      </c>
      <c r="F74">
        <v>58599306718.425362</v>
      </c>
      <c r="G74">
        <v>26239450501.293415</v>
      </c>
      <c r="I74" t="s">
        <v>588</v>
      </c>
      <c r="J74" s="219">
        <v>44825753.490339637</v>
      </c>
      <c r="K74" s="219">
        <v>15361682.293239055</v>
      </c>
      <c r="L74" s="219">
        <v>14520121.666492721</v>
      </c>
      <c r="M74" s="219">
        <v>11196683.921068314</v>
      </c>
      <c r="N74" s="219">
        <v>59345875.15683236</v>
      </c>
      <c r="O74" s="219">
        <v>26558366.214307368</v>
      </c>
    </row>
    <row r="75" spans="1:15" x14ac:dyDescent="0.25">
      <c r="A75" t="s">
        <v>588</v>
      </c>
      <c r="B75">
        <v>44825753490.339638</v>
      </c>
      <c r="C75">
        <v>15361682293.239056</v>
      </c>
      <c r="D75">
        <v>14520121666.492722</v>
      </c>
      <c r="E75">
        <v>11196683921.068314</v>
      </c>
      <c r="F75">
        <v>59345875156.832359</v>
      </c>
      <c r="G75">
        <v>26558366214.307369</v>
      </c>
      <c r="I75" t="s">
        <v>589</v>
      </c>
      <c r="J75" s="219">
        <v>45558468.926131748</v>
      </c>
      <c r="K75" s="219">
        <v>15619780.96611033</v>
      </c>
      <c r="L75" s="219">
        <v>14731002.15665905</v>
      </c>
      <c r="M75" s="219">
        <v>11378658.505587619</v>
      </c>
      <c r="N75" s="219">
        <v>60289471.082790792</v>
      </c>
      <c r="O75" s="219">
        <v>26998439.471697949</v>
      </c>
    </row>
    <row r="76" spans="1:15" x14ac:dyDescent="0.25">
      <c r="A76" t="s">
        <v>589</v>
      </c>
      <c r="B76">
        <v>45558468926.131744</v>
      </c>
      <c r="C76">
        <v>15619780966.110331</v>
      </c>
      <c r="D76">
        <v>14731002156.65905</v>
      </c>
      <c r="E76">
        <v>11378658505.587618</v>
      </c>
      <c r="F76">
        <v>60289471082.790794</v>
      </c>
      <c r="G76">
        <v>26998439471.697948</v>
      </c>
      <c r="I76" t="s">
        <v>590</v>
      </c>
      <c r="J76" s="219">
        <v>45907806.1440157</v>
      </c>
      <c r="K76" s="219">
        <v>15757842.457160728</v>
      </c>
      <c r="L76" s="219">
        <v>14819941.119248938</v>
      </c>
      <c r="M76" s="219">
        <v>11477733.789488826</v>
      </c>
      <c r="N76" s="219">
        <v>60727747.263264634</v>
      </c>
      <c r="O76" s="219">
        <v>27235576.246649556</v>
      </c>
    </row>
    <row r="77" spans="1:15" x14ac:dyDescent="0.25">
      <c r="A77" t="s">
        <v>590</v>
      </c>
      <c r="B77">
        <v>45907806144.015701</v>
      </c>
      <c r="C77">
        <v>15757842457.160728</v>
      </c>
      <c r="D77">
        <v>14819941119.248938</v>
      </c>
      <c r="E77">
        <v>11477733789.488827</v>
      </c>
      <c r="F77">
        <v>60727747263.264633</v>
      </c>
      <c r="G77">
        <v>27235576246.649555</v>
      </c>
      <c r="I77" t="s">
        <v>591</v>
      </c>
      <c r="J77" s="219">
        <v>46378471.956631131</v>
      </c>
      <c r="K77" s="219">
        <v>15925944.220074242</v>
      </c>
      <c r="L77" s="219">
        <v>14940626.739673445</v>
      </c>
      <c r="M77" s="219">
        <v>11591380.05096863</v>
      </c>
      <c r="N77" s="219">
        <v>61319098.696304582</v>
      </c>
      <c r="O77" s="219">
        <v>27517324.271042872</v>
      </c>
    </row>
    <row r="78" spans="1:15" x14ac:dyDescent="0.25">
      <c r="A78" t="s">
        <v>591</v>
      </c>
      <c r="B78">
        <v>46378471956.631134</v>
      </c>
      <c r="C78">
        <v>15925944220.074242</v>
      </c>
      <c r="D78">
        <v>14940626739.673445</v>
      </c>
      <c r="E78">
        <v>11591380050.96863</v>
      </c>
      <c r="F78">
        <v>61319098696.304581</v>
      </c>
      <c r="G78">
        <v>27517324271.042873</v>
      </c>
      <c r="I78" t="s">
        <v>580</v>
      </c>
      <c r="J78" s="219">
        <v>48737948.027624555</v>
      </c>
      <c r="K78" s="219">
        <v>16731658.091126375</v>
      </c>
      <c r="L78" s="219">
        <v>16210542.125044081</v>
      </c>
      <c r="M78" s="219">
        <v>12595583.261466857</v>
      </c>
      <c r="N78" s="219">
        <v>64948490.15266864</v>
      </c>
      <c r="O78" s="219">
        <v>29327241.352593232</v>
      </c>
    </row>
    <row r="79" spans="1:15" x14ac:dyDescent="0.25">
      <c r="A79" t="s">
        <v>564</v>
      </c>
      <c r="B79">
        <v>4061495668.9687133</v>
      </c>
      <c r="C79">
        <v>1394304840.9271979</v>
      </c>
      <c r="D79">
        <v>18608107348.715408</v>
      </c>
      <c r="E79">
        <v>14541108885.050779</v>
      </c>
      <c r="F79">
        <v>22669603017.684124</v>
      </c>
      <c r="G79">
        <v>15935413725.977976</v>
      </c>
      <c r="I79" t="s">
        <v>581</v>
      </c>
      <c r="J79" s="219">
        <v>0</v>
      </c>
      <c r="K79" s="219">
        <v>0</v>
      </c>
      <c r="L79" s="219">
        <v>17091973.483192742</v>
      </c>
      <c r="M79" s="219">
        <v>13299723.403619193</v>
      </c>
      <c r="N79" s="219">
        <v>17091973.483192742</v>
      </c>
      <c r="O79" s="219">
        <v>13299723.403619193</v>
      </c>
    </row>
    <row r="80" spans="1:15" x14ac:dyDescent="0.25">
      <c r="A80" t="s">
        <v>580</v>
      </c>
      <c r="B80">
        <v>48737948027.624557</v>
      </c>
      <c r="C80">
        <v>16731658091.126375</v>
      </c>
      <c r="D80">
        <v>16210542125.044081</v>
      </c>
      <c r="E80">
        <v>12595583261.466858</v>
      </c>
      <c r="F80">
        <v>64948490152.66864</v>
      </c>
      <c r="G80">
        <v>29327241352.593231</v>
      </c>
      <c r="I80" t="s">
        <v>582</v>
      </c>
      <c r="J80" s="219">
        <v>0</v>
      </c>
      <c r="K80" s="219">
        <v>0</v>
      </c>
      <c r="L80" s="219">
        <v>17424606.452911679</v>
      </c>
      <c r="M80" s="219">
        <v>13573744.962130131</v>
      </c>
      <c r="N80" s="219">
        <v>17424606.452911679</v>
      </c>
      <c r="O80" s="219">
        <v>13573744.962130131</v>
      </c>
    </row>
    <row r="81" spans="1:15" x14ac:dyDescent="0.25">
      <c r="A81" t="s">
        <v>581</v>
      </c>
      <c r="B81">
        <v>0</v>
      </c>
      <c r="C81">
        <v>0</v>
      </c>
      <c r="D81">
        <v>17091973483.192741</v>
      </c>
      <c r="E81">
        <v>13299723403.619192</v>
      </c>
      <c r="F81">
        <v>17091973483.192741</v>
      </c>
      <c r="G81">
        <v>13299723403.619192</v>
      </c>
      <c r="I81" t="s">
        <v>583</v>
      </c>
      <c r="J81" s="219">
        <v>0</v>
      </c>
      <c r="K81" s="219">
        <v>0</v>
      </c>
      <c r="L81" s="219">
        <v>17641980.698009972</v>
      </c>
      <c r="M81" s="219">
        <v>13769718.696305219</v>
      </c>
      <c r="N81" s="219">
        <v>17641980.698009972</v>
      </c>
      <c r="O81" s="219">
        <v>13769718.696305219</v>
      </c>
    </row>
    <row r="82" spans="1:15" x14ac:dyDescent="0.25">
      <c r="A82" t="s">
        <v>582</v>
      </c>
      <c r="B82">
        <v>0</v>
      </c>
      <c r="C82">
        <v>0</v>
      </c>
      <c r="D82">
        <v>17424606452.911678</v>
      </c>
      <c r="E82">
        <v>13573744962.130131</v>
      </c>
      <c r="F82">
        <v>17424606452.911678</v>
      </c>
      <c r="G82">
        <v>13573744962.130131</v>
      </c>
      <c r="I82" t="s">
        <v>584</v>
      </c>
      <c r="J82" s="219">
        <v>0</v>
      </c>
      <c r="K82" s="219">
        <v>0</v>
      </c>
      <c r="L82" s="219">
        <v>17891632.863695014</v>
      </c>
      <c r="M82" s="219">
        <v>13984257.091629865</v>
      </c>
      <c r="N82" s="219">
        <v>17891632.863695014</v>
      </c>
      <c r="O82" s="219">
        <v>13984257.091629865</v>
      </c>
    </row>
    <row r="83" spans="1:15" x14ac:dyDescent="0.25">
      <c r="A83" t="s">
        <v>583</v>
      </c>
      <c r="B83">
        <v>0</v>
      </c>
      <c r="C83">
        <v>0</v>
      </c>
      <c r="D83">
        <v>17641980698.009972</v>
      </c>
      <c r="E83">
        <v>13769718696.30522</v>
      </c>
      <c r="F83">
        <v>17641980698.009972</v>
      </c>
      <c r="G83">
        <v>13769718696.30522</v>
      </c>
      <c r="I83" t="s">
        <v>585</v>
      </c>
      <c r="J83" s="219">
        <v>0</v>
      </c>
      <c r="K83" s="219">
        <v>0</v>
      </c>
      <c r="L83" s="219">
        <v>18154510.583825242</v>
      </c>
      <c r="M83" s="219">
        <v>14178908.328029295</v>
      </c>
      <c r="N83" s="219">
        <v>18154510.583825242</v>
      </c>
      <c r="O83" s="219">
        <v>14178908.328029295</v>
      </c>
    </row>
    <row r="84" spans="1:15" x14ac:dyDescent="0.25">
      <c r="A84" t="s">
        <v>584</v>
      </c>
      <c r="B84">
        <v>0</v>
      </c>
      <c r="C84">
        <v>0</v>
      </c>
      <c r="D84">
        <v>17891632863.695015</v>
      </c>
      <c r="E84">
        <v>13984257091.629864</v>
      </c>
      <c r="F84">
        <v>17891632863.695015</v>
      </c>
      <c r="G84">
        <v>13984257091.629864</v>
      </c>
      <c r="I84" t="s">
        <v>586</v>
      </c>
      <c r="J84" s="219">
        <v>0</v>
      </c>
      <c r="K84" s="219">
        <v>0</v>
      </c>
      <c r="L84" s="219">
        <v>19337226.013322685</v>
      </c>
      <c r="M84" s="219">
        <v>15116052.668109372</v>
      </c>
      <c r="N84" s="219">
        <v>19337226.013322685</v>
      </c>
      <c r="O84" s="219">
        <v>15116052.668109372</v>
      </c>
    </row>
    <row r="85" spans="1:15" x14ac:dyDescent="0.25">
      <c r="A85" t="s">
        <v>585</v>
      </c>
      <c r="B85">
        <v>0</v>
      </c>
      <c r="C85">
        <v>0</v>
      </c>
      <c r="D85">
        <v>18154510583.825241</v>
      </c>
      <c r="E85">
        <v>14178908328.029295</v>
      </c>
      <c r="F85">
        <v>18154510583.825241</v>
      </c>
      <c r="G85">
        <v>14178908328.029295</v>
      </c>
      <c r="I85" t="s">
        <v>587</v>
      </c>
      <c r="J85" s="219">
        <v>0</v>
      </c>
      <c r="K85" s="219">
        <v>0</v>
      </c>
      <c r="L85" s="219">
        <v>19615995.290222254</v>
      </c>
      <c r="M85" s="219">
        <v>15334641.090347297</v>
      </c>
      <c r="N85" s="219">
        <v>19615995.290222254</v>
      </c>
      <c r="O85" s="219">
        <v>15334641.090347297</v>
      </c>
    </row>
    <row r="86" spans="1:15" x14ac:dyDescent="0.25">
      <c r="A86" t="s">
        <v>586</v>
      </c>
      <c r="B86">
        <v>0</v>
      </c>
      <c r="C86">
        <v>0</v>
      </c>
      <c r="D86">
        <v>19337226013.322685</v>
      </c>
      <c r="E86">
        <v>15116052668.109373</v>
      </c>
      <c r="F86">
        <v>19337226013.322685</v>
      </c>
      <c r="G86">
        <v>15116052668.109373</v>
      </c>
      <c r="I86" t="s">
        <v>588</v>
      </c>
      <c r="J86" s="219">
        <v>0</v>
      </c>
      <c r="K86" s="219">
        <v>0</v>
      </c>
      <c r="L86" s="219">
        <v>19795507.702981386</v>
      </c>
      <c r="M86" s="219">
        <v>15491241.215056954</v>
      </c>
      <c r="N86" s="219">
        <v>19795507.702981386</v>
      </c>
      <c r="O86" s="219">
        <v>15491241.215056954</v>
      </c>
    </row>
    <row r="87" spans="1:15" x14ac:dyDescent="0.25">
      <c r="A87" t="s">
        <v>587</v>
      </c>
      <c r="B87">
        <v>0</v>
      </c>
      <c r="C87">
        <v>0</v>
      </c>
      <c r="D87">
        <v>19615995290.222252</v>
      </c>
      <c r="E87">
        <v>15334641090.347298</v>
      </c>
      <c r="F87">
        <v>19615995290.222252</v>
      </c>
      <c r="G87">
        <v>15334641090.347298</v>
      </c>
      <c r="I87" t="s">
        <v>589</v>
      </c>
      <c r="J87" s="219">
        <v>0</v>
      </c>
      <c r="K87" s="219">
        <v>0</v>
      </c>
      <c r="L87" s="219">
        <v>19903687.043913327</v>
      </c>
      <c r="M87" s="219">
        <v>15583475.340434209</v>
      </c>
      <c r="N87" s="219">
        <v>19903687.043913327</v>
      </c>
      <c r="O87" s="219">
        <v>15583475.340434209</v>
      </c>
    </row>
    <row r="88" spans="1:15" x14ac:dyDescent="0.25">
      <c r="A88" t="s">
        <v>588</v>
      </c>
      <c r="B88">
        <v>0</v>
      </c>
      <c r="C88">
        <v>0</v>
      </c>
      <c r="D88">
        <v>19795507702.981388</v>
      </c>
      <c r="E88">
        <v>15491241215.056953</v>
      </c>
      <c r="F88">
        <v>19795507702.981388</v>
      </c>
      <c r="G88">
        <v>15491241215.056953</v>
      </c>
      <c r="I88" t="s">
        <v>590</v>
      </c>
      <c r="J88" s="219">
        <v>0</v>
      </c>
      <c r="K88" s="219">
        <v>0</v>
      </c>
      <c r="L88" s="219">
        <v>20075788.768466525</v>
      </c>
      <c r="M88" s="219">
        <v>15749774.388480952</v>
      </c>
      <c r="N88" s="219">
        <v>20075788.768466525</v>
      </c>
      <c r="O88" s="219">
        <v>15749774.388480952</v>
      </c>
    </row>
    <row r="89" spans="1:15" x14ac:dyDescent="0.25">
      <c r="A89" t="s">
        <v>589</v>
      </c>
      <c r="B89">
        <v>0</v>
      </c>
      <c r="C89">
        <v>0</v>
      </c>
      <c r="D89">
        <v>19903687043.913326</v>
      </c>
      <c r="E89">
        <v>15583475340.434208</v>
      </c>
      <c r="F89">
        <v>19903687043.913326</v>
      </c>
      <c r="G89">
        <v>15583475340.434208</v>
      </c>
      <c r="I89" t="s">
        <v>591</v>
      </c>
      <c r="J89" s="219">
        <v>0</v>
      </c>
      <c r="K89" s="219">
        <v>0</v>
      </c>
      <c r="L89" s="219">
        <v>20153837.159000002</v>
      </c>
      <c r="M89" s="219">
        <v>15816186.175000001</v>
      </c>
      <c r="N89" s="219">
        <v>20153837.159000002</v>
      </c>
      <c r="O89" s="219">
        <v>15816186.175000001</v>
      </c>
    </row>
    <row r="90" spans="1:15" x14ac:dyDescent="0.25">
      <c r="A90" t="s">
        <v>590</v>
      </c>
      <c r="B90">
        <v>0</v>
      </c>
      <c r="C90">
        <v>0</v>
      </c>
      <c r="D90">
        <v>20075788768.466526</v>
      </c>
      <c r="E90">
        <v>15749774388.480951</v>
      </c>
      <c r="F90">
        <v>20075788768.466526</v>
      </c>
      <c r="G90">
        <v>15749774388.480951</v>
      </c>
    </row>
    <row r="91" spans="1:15" x14ac:dyDescent="0.25">
      <c r="A91" t="s">
        <v>591</v>
      </c>
      <c r="B91">
        <v>0</v>
      </c>
      <c r="C91">
        <v>0</v>
      </c>
      <c r="D91">
        <v>20153837159</v>
      </c>
      <c r="E91">
        <v>15816186175</v>
      </c>
      <c r="F91">
        <v>20153837159</v>
      </c>
      <c r="G91">
        <v>15816186175</v>
      </c>
    </row>
    <row r="92" spans="1:15" x14ac:dyDescent="0.25">
      <c r="A92" t="s">
        <v>549</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37"/>
  <sheetViews>
    <sheetView showGridLines="0" zoomScaleNormal="100" workbookViewId="0"/>
    <sheetView workbookViewId="1"/>
  </sheetViews>
  <sheetFormatPr baseColWidth="10" defaultRowHeight="15" outlineLevelRow="1" x14ac:dyDescent="0.25"/>
  <cols>
    <col min="2" max="2" width="19.7109375" customWidth="1"/>
    <col min="3" max="3" width="23.28515625" customWidth="1"/>
    <col min="4" max="4" width="14.5703125" customWidth="1"/>
    <col min="5" max="5" width="16.2851562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3.7109375" customWidth="1"/>
    <col min="32" max="32" width="15" customWidth="1"/>
    <col min="37" max="37" width="14" customWidth="1"/>
    <col min="42" max="42" width="14.85546875" customWidth="1"/>
  </cols>
  <sheetData>
    <row r="2" spans="2:12" ht="23.25" x14ac:dyDescent="0.25">
      <c r="B2" s="1" t="s">
        <v>0</v>
      </c>
    </row>
    <row r="4" spans="2:12" ht="18.75" x14ac:dyDescent="0.3">
      <c r="B4" s="2" t="s">
        <v>815</v>
      </c>
      <c r="C4" s="2"/>
      <c r="D4" s="2"/>
      <c r="E4" s="2"/>
      <c r="F4" s="2"/>
    </row>
    <row r="5" spans="2:12" x14ac:dyDescent="0.25">
      <c r="B5" s="3" t="s">
        <v>857</v>
      </c>
    </row>
    <row r="7" spans="2:12" x14ac:dyDescent="0.25">
      <c r="D7" s="403" t="s">
        <v>76</v>
      </c>
      <c r="E7" s="404"/>
      <c r="F7" s="405"/>
      <c r="G7" s="406" t="s">
        <v>77</v>
      </c>
      <c r="H7" s="406"/>
      <c r="I7" s="406"/>
      <c r="J7" s="406" t="s">
        <v>28</v>
      </c>
      <c r="K7" s="406"/>
      <c r="L7" s="406"/>
    </row>
    <row r="8" spans="2:12" ht="30" x14ac:dyDescent="0.25">
      <c r="B8" s="138" t="s">
        <v>476</v>
      </c>
      <c r="C8" s="138" t="s">
        <v>481</v>
      </c>
      <c r="D8" s="138" t="s">
        <v>2</v>
      </c>
      <c r="E8" s="161" t="s">
        <v>595</v>
      </c>
      <c r="F8" s="161" t="s">
        <v>596</v>
      </c>
      <c r="G8" s="138" t="s">
        <v>2</v>
      </c>
      <c r="H8" s="161" t="s">
        <v>595</v>
      </c>
      <c r="I8" s="161" t="s">
        <v>596</v>
      </c>
      <c r="J8" s="138" t="s">
        <v>2</v>
      </c>
      <c r="K8" s="161" t="s">
        <v>595</v>
      </c>
      <c r="L8" s="161" t="s">
        <v>596</v>
      </c>
    </row>
    <row r="9" spans="2:12" x14ac:dyDescent="0.25">
      <c r="B9" s="407">
        <v>45108</v>
      </c>
      <c r="C9" s="152" t="s">
        <v>658</v>
      </c>
      <c r="D9" s="253">
        <v>340958</v>
      </c>
      <c r="E9" s="253">
        <v>69854324.103</v>
      </c>
      <c r="F9" s="272">
        <v>70402475.899711043</v>
      </c>
      <c r="G9" s="272">
        <v>136319</v>
      </c>
      <c r="H9" s="272">
        <v>28019331.607000001</v>
      </c>
      <c r="I9" s="272">
        <v>28239201.273770705</v>
      </c>
      <c r="J9" s="272">
        <v>477277</v>
      </c>
      <c r="K9" s="272">
        <v>97873655.709999993</v>
      </c>
      <c r="L9" s="272">
        <v>98641677.173481748</v>
      </c>
    </row>
    <row r="10" spans="2:12" x14ac:dyDescent="0.25">
      <c r="B10" s="408"/>
      <c r="C10" s="152" t="s">
        <v>490</v>
      </c>
      <c r="D10" s="253">
        <v>785041</v>
      </c>
      <c r="E10" s="253">
        <v>159460336.03400001</v>
      </c>
      <c r="F10" s="272">
        <v>160711632.51168549</v>
      </c>
      <c r="G10" s="272">
        <v>656925</v>
      </c>
      <c r="H10" s="272">
        <v>132250784.104</v>
      </c>
      <c r="I10" s="272">
        <v>133288565.31302238</v>
      </c>
      <c r="J10" s="272">
        <v>1441966</v>
      </c>
      <c r="K10" s="272">
        <v>291711120.13800001</v>
      </c>
      <c r="L10" s="272">
        <v>294000197.82470781</v>
      </c>
    </row>
    <row r="11" spans="2:12" x14ac:dyDescent="0.25">
      <c r="B11" s="408"/>
      <c r="C11" s="307" t="s">
        <v>4</v>
      </c>
      <c r="D11" s="253">
        <v>106121</v>
      </c>
      <c r="E11" s="253">
        <v>21866468.298</v>
      </c>
      <c r="F11" s="272">
        <v>22038056.013423316</v>
      </c>
      <c r="G11" s="272">
        <v>83495</v>
      </c>
      <c r="H11" s="272">
        <v>17204836.741</v>
      </c>
      <c r="I11" s="272">
        <v>17339844.305568136</v>
      </c>
      <c r="J11" s="272">
        <v>189616</v>
      </c>
      <c r="K11" s="272">
        <v>39071305.038999997</v>
      </c>
      <c r="L11" s="272">
        <v>39377900.318991452</v>
      </c>
    </row>
    <row r="12" spans="2:12" x14ac:dyDescent="0.25">
      <c r="B12" s="408"/>
      <c r="C12" s="152" t="s">
        <v>5</v>
      </c>
      <c r="D12" s="253">
        <v>107603</v>
      </c>
      <c r="E12" s="253">
        <v>25329299.515999999</v>
      </c>
      <c r="F12" s="272">
        <v>25528060.311661769</v>
      </c>
      <c r="G12" s="272">
        <v>61709</v>
      </c>
      <c r="H12" s="272">
        <v>14707932.743000001</v>
      </c>
      <c r="I12" s="272">
        <v>14823346.926194916</v>
      </c>
      <c r="J12" s="272">
        <v>169312</v>
      </c>
      <c r="K12" s="272">
        <v>40037232.259000003</v>
      </c>
      <c r="L12" s="272">
        <v>40351407.237856686</v>
      </c>
    </row>
    <row r="13" spans="2:12" x14ac:dyDescent="0.25">
      <c r="B13" s="408"/>
      <c r="C13" s="152" t="s">
        <v>6</v>
      </c>
      <c r="D13" s="253">
        <v>47071</v>
      </c>
      <c r="E13" s="253">
        <v>8333096.4539999999</v>
      </c>
      <c r="F13" s="272">
        <v>8398486.848253781</v>
      </c>
      <c r="G13" s="272">
        <v>49165</v>
      </c>
      <c r="H13" s="272">
        <v>8270074.8600000003</v>
      </c>
      <c r="I13" s="272">
        <v>8334970.7193709901</v>
      </c>
      <c r="J13" s="272">
        <v>96236</v>
      </c>
      <c r="K13" s="272">
        <v>16603171.313999999</v>
      </c>
      <c r="L13" s="272">
        <v>16733457.56762477</v>
      </c>
    </row>
    <row r="14" spans="2:12" x14ac:dyDescent="0.25">
      <c r="B14" s="409"/>
      <c r="C14" s="341" t="s">
        <v>480</v>
      </c>
      <c r="D14" s="323">
        <v>1386794</v>
      </c>
      <c r="E14" s="323">
        <v>284843524.40500003</v>
      </c>
      <c r="F14" s="323">
        <v>287078711.58473539</v>
      </c>
      <c r="G14" s="323">
        <v>987613</v>
      </c>
      <c r="H14" s="323">
        <v>200452960.05500001</v>
      </c>
      <c r="I14" s="323">
        <v>202025928.53792709</v>
      </c>
      <c r="J14" s="323">
        <v>2374407</v>
      </c>
      <c r="K14" s="323">
        <v>485296484.45999998</v>
      </c>
      <c r="L14" s="323">
        <v>489104640.12266243</v>
      </c>
    </row>
    <row r="15" spans="2:12" x14ac:dyDescent="0.25">
      <c r="B15" s="407">
        <v>45139</v>
      </c>
      <c r="C15" s="152" t="s">
        <v>658</v>
      </c>
      <c r="D15" s="253">
        <v>342010</v>
      </c>
      <c r="E15" s="253">
        <v>70033843.935000002</v>
      </c>
      <c r="F15" s="272">
        <v>70504823.733742729</v>
      </c>
      <c r="G15" s="272">
        <v>136198</v>
      </c>
      <c r="H15" s="272">
        <v>27976921.280999999</v>
      </c>
      <c r="I15" s="272">
        <v>28165066.954777326</v>
      </c>
      <c r="J15" s="272">
        <v>478208</v>
      </c>
      <c r="K15" s="272">
        <v>98010765.216000006</v>
      </c>
      <c r="L15" s="272">
        <v>98669890.688520044</v>
      </c>
    </row>
    <row r="16" spans="2:12" x14ac:dyDescent="0.25">
      <c r="B16" s="408"/>
      <c r="C16" s="152" t="s">
        <v>490</v>
      </c>
      <c r="D16" s="253">
        <v>789396</v>
      </c>
      <c r="E16" s="253">
        <v>160322398.75600001</v>
      </c>
      <c r="F16" s="272">
        <v>161400571.9199653</v>
      </c>
      <c r="G16" s="272">
        <v>661702</v>
      </c>
      <c r="H16" s="272">
        <v>133185979.65899999</v>
      </c>
      <c r="I16" s="272">
        <v>134081659.55275777</v>
      </c>
      <c r="J16" s="272">
        <v>1451098</v>
      </c>
      <c r="K16" s="272">
        <v>293508378.41500002</v>
      </c>
      <c r="L16" s="272">
        <v>295482231.47272307</v>
      </c>
    </row>
    <row r="17" spans="2:13" x14ac:dyDescent="0.25">
      <c r="B17" s="408"/>
      <c r="C17" s="307" t="s">
        <v>4</v>
      </c>
      <c r="D17" s="253">
        <v>106570</v>
      </c>
      <c r="E17" s="253">
        <v>21958709.622000001</v>
      </c>
      <c r="F17" s="272">
        <v>22106382.633465972</v>
      </c>
      <c r="G17" s="272">
        <v>83812</v>
      </c>
      <c r="H17" s="272">
        <v>17270378.579</v>
      </c>
      <c r="I17" s="272">
        <v>17386522.417040613</v>
      </c>
      <c r="J17" s="272">
        <v>190382</v>
      </c>
      <c r="K17" s="272">
        <v>39229088.200999998</v>
      </c>
      <c r="L17" s="272">
        <v>39492905.050506584</v>
      </c>
    </row>
    <row r="18" spans="2:13" x14ac:dyDescent="0.25">
      <c r="B18" s="408"/>
      <c r="C18" s="152" t="s">
        <v>5</v>
      </c>
      <c r="D18" s="253">
        <v>107495</v>
      </c>
      <c r="E18" s="253">
        <v>25328349.484999999</v>
      </c>
      <c r="F18" s="272">
        <v>25498683.430313677</v>
      </c>
      <c r="G18" s="272">
        <v>61425</v>
      </c>
      <c r="H18" s="272">
        <v>14670726.693</v>
      </c>
      <c r="I18" s="272">
        <v>14769387.790507251</v>
      </c>
      <c r="J18" s="272">
        <v>168920</v>
      </c>
      <c r="K18" s="272">
        <v>39999076.178000003</v>
      </c>
      <c r="L18" s="272">
        <v>40268071.220820926</v>
      </c>
    </row>
    <row r="19" spans="2:13" x14ac:dyDescent="0.25">
      <c r="B19" s="408"/>
      <c r="C19" s="152" t="s">
        <v>6</v>
      </c>
      <c r="D19" s="253">
        <v>47164</v>
      </c>
      <c r="E19" s="253">
        <v>8347020.5659999996</v>
      </c>
      <c r="F19" s="272">
        <v>8403154.5413094908</v>
      </c>
      <c r="G19" s="272">
        <v>49448</v>
      </c>
      <c r="H19" s="272">
        <v>8312011.5609999998</v>
      </c>
      <c r="I19" s="272">
        <v>8367910.0996519746</v>
      </c>
      <c r="J19" s="272">
        <v>96612</v>
      </c>
      <c r="K19" s="272">
        <v>16659032.127</v>
      </c>
      <c r="L19" s="272">
        <v>16771064.640961466</v>
      </c>
    </row>
    <row r="20" spans="2:13" x14ac:dyDescent="0.25">
      <c r="B20" s="409"/>
      <c r="C20" s="341" t="s">
        <v>480</v>
      </c>
      <c r="D20" s="323">
        <v>1392635</v>
      </c>
      <c r="E20" s="323">
        <v>285990322.36400002</v>
      </c>
      <c r="F20" s="323">
        <v>287913616.25879717</v>
      </c>
      <c r="G20" s="323">
        <v>992585</v>
      </c>
      <c r="H20" s="323">
        <v>201416017.77299997</v>
      </c>
      <c r="I20" s="323">
        <v>202770546.81473494</v>
      </c>
      <c r="J20" s="323">
        <v>2385220</v>
      </c>
      <c r="K20" s="323">
        <v>487406340.13699996</v>
      </c>
      <c r="L20" s="323">
        <v>490684163.07353204</v>
      </c>
    </row>
    <row r="21" spans="2:13" x14ac:dyDescent="0.25">
      <c r="B21" s="407">
        <v>45170</v>
      </c>
      <c r="C21" s="152" t="s">
        <v>658</v>
      </c>
      <c r="D21" s="253">
        <v>343880</v>
      </c>
      <c r="E21" s="253">
        <v>70389110.717999995</v>
      </c>
      <c r="F21" s="272">
        <v>70389110.717999995</v>
      </c>
      <c r="G21" s="272">
        <v>138475</v>
      </c>
      <c r="H21" s="272">
        <v>28428701.614</v>
      </c>
      <c r="I21" s="272">
        <v>28428701.614</v>
      </c>
      <c r="J21" s="272">
        <v>482355</v>
      </c>
      <c r="K21" s="272">
        <v>98817812.332000002</v>
      </c>
      <c r="L21" s="272">
        <v>98817812.332000002</v>
      </c>
    </row>
    <row r="22" spans="2:13" x14ac:dyDescent="0.25">
      <c r="B22" s="408"/>
      <c r="C22" s="152" t="s">
        <v>490</v>
      </c>
      <c r="D22" s="253">
        <v>795862</v>
      </c>
      <c r="E22" s="272">
        <v>161602425.697</v>
      </c>
      <c r="F22" s="272">
        <v>161602425.697</v>
      </c>
      <c r="G22" s="272">
        <v>666557</v>
      </c>
      <c r="H22" s="272">
        <v>134108511.395</v>
      </c>
      <c r="I22" s="272">
        <v>134108511.395</v>
      </c>
      <c r="J22" s="272">
        <v>1462419</v>
      </c>
      <c r="K22" s="272">
        <v>295710937.09200001</v>
      </c>
      <c r="L22" s="272">
        <v>295710937.09200001</v>
      </c>
    </row>
    <row r="23" spans="2:13" x14ac:dyDescent="0.25">
      <c r="B23" s="408"/>
      <c r="C23" s="307" t="s">
        <v>4</v>
      </c>
      <c r="D23" s="253">
        <v>106868</v>
      </c>
      <c r="E23" s="272">
        <v>22021397.412</v>
      </c>
      <c r="F23" s="272">
        <v>22021397.412</v>
      </c>
      <c r="G23" s="272">
        <v>84043</v>
      </c>
      <c r="H23" s="272">
        <v>17319291.464000002</v>
      </c>
      <c r="I23" s="272">
        <v>17319291.464000002</v>
      </c>
      <c r="J23" s="272">
        <v>190911</v>
      </c>
      <c r="K23" s="272">
        <v>39340688.876000002</v>
      </c>
      <c r="L23" s="272">
        <v>39340688.876000002</v>
      </c>
    </row>
    <row r="24" spans="2:13" x14ac:dyDescent="0.25">
      <c r="B24" s="408"/>
      <c r="C24" s="152" t="s">
        <v>5</v>
      </c>
      <c r="D24" s="253">
        <v>107346</v>
      </c>
      <c r="E24" s="253">
        <v>25293121.418000001</v>
      </c>
      <c r="F24" s="272">
        <v>25293121.418000001</v>
      </c>
      <c r="G24" s="272">
        <v>61168</v>
      </c>
      <c r="H24" s="272">
        <v>14619374.314999999</v>
      </c>
      <c r="I24" s="272">
        <v>14619374.314999999</v>
      </c>
      <c r="J24" s="272">
        <v>168514</v>
      </c>
      <c r="K24" s="272">
        <v>39912495.733000003</v>
      </c>
      <c r="L24" s="272">
        <v>39912495.733000003</v>
      </c>
    </row>
    <row r="25" spans="2:13" x14ac:dyDescent="0.25">
      <c r="B25" s="408"/>
      <c r="C25" s="152" t="s">
        <v>6</v>
      </c>
      <c r="D25" s="253">
        <v>47248</v>
      </c>
      <c r="E25" s="253">
        <v>8349348.3439999996</v>
      </c>
      <c r="F25" s="272">
        <v>8349348.3439999996</v>
      </c>
      <c r="G25" s="272">
        <v>49763</v>
      </c>
      <c r="H25" s="272">
        <v>8344374.7850000001</v>
      </c>
      <c r="I25" s="272">
        <v>8344374.7850000001</v>
      </c>
      <c r="J25" s="272">
        <v>97011</v>
      </c>
      <c r="K25" s="272">
        <v>16693723.129000001</v>
      </c>
      <c r="L25" s="272">
        <v>16693723.129000001</v>
      </c>
    </row>
    <row r="26" spans="2:13" x14ac:dyDescent="0.25">
      <c r="B26" s="409"/>
      <c r="C26" s="341" t="s">
        <v>480</v>
      </c>
      <c r="D26" s="323">
        <v>1401204</v>
      </c>
      <c r="E26" s="323">
        <v>287655403.58899999</v>
      </c>
      <c r="F26" s="323">
        <v>287655403.58899999</v>
      </c>
      <c r="G26" s="323">
        <v>1000006</v>
      </c>
      <c r="H26" s="323">
        <v>202820253.57299998</v>
      </c>
      <c r="I26" s="323">
        <v>202820253.57299998</v>
      </c>
      <c r="J26" s="323">
        <v>2401210</v>
      </c>
      <c r="K26" s="323">
        <v>490475657.162</v>
      </c>
      <c r="L26" s="323">
        <v>490475657.162</v>
      </c>
    </row>
    <row r="27" spans="2:13" x14ac:dyDescent="0.25">
      <c r="B27" s="4" t="s">
        <v>812</v>
      </c>
    </row>
    <row r="28" spans="2:13" ht="66.75" customHeight="1" x14ac:dyDescent="0.25">
      <c r="B28" s="410" t="s">
        <v>858</v>
      </c>
      <c r="C28" s="410"/>
      <c r="D28" s="410"/>
      <c r="E28" s="410"/>
      <c r="F28" s="410"/>
      <c r="G28" s="410"/>
      <c r="H28" s="410"/>
      <c r="I28" s="410"/>
      <c r="J28" s="410"/>
      <c r="K28" s="410"/>
      <c r="L28" s="410"/>
      <c r="M28" s="246"/>
    </row>
    <row r="29" spans="2:13" ht="15" customHeight="1" x14ac:dyDescent="0.25">
      <c r="B29" s="258" t="s">
        <v>859</v>
      </c>
      <c r="C29" s="246"/>
      <c r="D29" s="246"/>
      <c r="E29" s="246"/>
      <c r="F29" s="246"/>
      <c r="G29" s="246"/>
      <c r="H29" s="246"/>
      <c r="I29" s="246"/>
      <c r="J29" s="246"/>
      <c r="K29" s="246"/>
      <c r="L29" s="246"/>
      <c r="M29" s="246"/>
    </row>
    <row r="30" spans="2:13" x14ac:dyDescent="0.25">
      <c r="B30" s="257"/>
    </row>
    <row r="31" spans="2:13" ht="18.75" x14ac:dyDescent="0.3">
      <c r="B31" s="2" t="s">
        <v>816</v>
      </c>
      <c r="C31" s="2"/>
      <c r="D31" s="2"/>
      <c r="E31" s="2"/>
      <c r="F31" s="2"/>
      <c r="G31" s="245"/>
    </row>
    <row r="32" spans="2:13" x14ac:dyDescent="0.25">
      <c r="B32" s="3" t="s">
        <v>860</v>
      </c>
    </row>
    <row r="34" spans="2:42" x14ac:dyDescent="0.25">
      <c r="C34" s="403" t="s">
        <v>658</v>
      </c>
      <c r="D34" s="404"/>
      <c r="E34" s="404"/>
      <c r="F34" s="404"/>
      <c r="G34" s="405"/>
      <c r="H34" s="403" t="s">
        <v>490</v>
      </c>
      <c r="I34" s="404"/>
      <c r="J34" s="404"/>
      <c r="K34" s="404"/>
      <c r="L34" s="405"/>
      <c r="M34" s="403" t="s">
        <v>3</v>
      </c>
      <c r="N34" s="404"/>
      <c r="O34" s="404"/>
      <c r="P34" s="404"/>
      <c r="Q34" s="405"/>
      <c r="R34" s="403" t="s">
        <v>4</v>
      </c>
      <c r="S34" s="404"/>
      <c r="T34" s="404"/>
      <c r="U34" s="404"/>
      <c r="V34" s="405"/>
      <c r="W34" s="403" t="s">
        <v>5</v>
      </c>
      <c r="X34" s="404"/>
      <c r="Y34" s="404"/>
      <c r="Z34" s="404"/>
      <c r="AA34" s="405"/>
      <c r="AB34" s="403" t="s">
        <v>6</v>
      </c>
      <c r="AC34" s="404"/>
      <c r="AD34" s="404"/>
      <c r="AE34" s="404"/>
      <c r="AF34" s="405"/>
      <c r="AG34" s="403" t="s">
        <v>698</v>
      </c>
      <c r="AH34" s="404"/>
      <c r="AI34" s="404"/>
      <c r="AJ34" s="404"/>
      <c r="AK34" s="405"/>
      <c r="AL34" s="403" t="s">
        <v>480</v>
      </c>
      <c r="AM34" s="404"/>
      <c r="AN34" s="404"/>
      <c r="AO34" s="404"/>
      <c r="AP34" s="405"/>
    </row>
    <row r="35" spans="2:42" ht="31.5" customHeight="1" x14ac:dyDescent="0.25">
      <c r="C35" s="411" t="s">
        <v>835</v>
      </c>
      <c r="D35" s="412"/>
      <c r="E35" s="411" t="s">
        <v>836</v>
      </c>
      <c r="F35" s="412"/>
      <c r="G35" s="161" t="s">
        <v>845</v>
      </c>
      <c r="H35" s="411" t="s">
        <v>835</v>
      </c>
      <c r="I35" s="412"/>
      <c r="J35" s="411" t="s">
        <v>836</v>
      </c>
      <c r="K35" s="412"/>
      <c r="L35" s="161" t="s">
        <v>845</v>
      </c>
      <c r="M35" s="411" t="s">
        <v>835</v>
      </c>
      <c r="N35" s="412"/>
      <c r="O35" s="411" t="s">
        <v>836</v>
      </c>
      <c r="P35" s="412"/>
      <c r="Q35" s="161" t="s">
        <v>845</v>
      </c>
      <c r="R35" s="411" t="s">
        <v>835</v>
      </c>
      <c r="S35" s="412"/>
      <c r="T35" s="411" t="s">
        <v>836</v>
      </c>
      <c r="U35" s="412"/>
      <c r="V35" s="161" t="s">
        <v>845</v>
      </c>
      <c r="W35" s="411" t="s">
        <v>835</v>
      </c>
      <c r="X35" s="412"/>
      <c r="Y35" s="411" t="s">
        <v>836</v>
      </c>
      <c r="Z35" s="412"/>
      <c r="AA35" s="161" t="s">
        <v>845</v>
      </c>
      <c r="AB35" s="411" t="s">
        <v>835</v>
      </c>
      <c r="AC35" s="412"/>
      <c r="AD35" s="411" t="s">
        <v>836</v>
      </c>
      <c r="AE35" s="412"/>
      <c r="AF35" s="161" t="s">
        <v>845</v>
      </c>
      <c r="AG35" s="411" t="s">
        <v>835</v>
      </c>
      <c r="AH35" s="412"/>
      <c r="AI35" s="411" t="s">
        <v>836</v>
      </c>
      <c r="AJ35" s="412"/>
      <c r="AK35" s="161" t="s">
        <v>845</v>
      </c>
      <c r="AL35" s="411" t="s">
        <v>835</v>
      </c>
      <c r="AM35" s="412"/>
      <c r="AN35" s="411" t="s">
        <v>836</v>
      </c>
      <c r="AO35" s="412"/>
      <c r="AP35" s="161" t="s">
        <v>845</v>
      </c>
    </row>
    <row r="36" spans="2:42" x14ac:dyDescent="0.25">
      <c r="B36" s="352" t="s">
        <v>476</v>
      </c>
      <c r="C36" s="214" t="s">
        <v>2</v>
      </c>
      <c r="D36" s="161" t="s">
        <v>875</v>
      </c>
      <c r="E36" s="214" t="s">
        <v>2</v>
      </c>
      <c r="F36" s="161" t="s">
        <v>875</v>
      </c>
      <c r="G36" s="214" t="s">
        <v>2</v>
      </c>
      <c r="H36" s="214" t="s">
        <v>2</v>
      </c>
      <c r="I36" s="161" t="s">
        <v>875</v>
      </c>
      <c r="J36" s="214" t="s">
        <v>2</v>
      </c>
      <c r="K36" s="161" t="s">
        <v>875</v>
      </c>
      <c r="L36" s="214" t="s">
        <v>2</v>
      </c>
      <c r="M36" s="214" t="s">
        <v>2</v>
      </c>
      <c r="N36" s="161" t="s">
        <v>875</v>
      </c>
      <c r="O36" s="214" t="s">
        <v>2</v>
      </c>
      <c r="P36" s="161" t="s">
        <v>875</v>
      </c>
      <c r="Q36" s="214" t="s">
        <v>2</v>
      </c>
      <c r="R36" s="214" t="s">
        <v>2</v>
      </c>
      <c r="S36" s="161" t="s">
        <v>875</v>
      </c>
      <c r="T36" s="214" t="s">
        <v>2</v>
      </c>
      <c r="U36" s="161" t="s">
        <v>875</v>
      </c>
      <c r="V36" s="214" t="s">
        <v>2</v>
      </c>
      <c r="W36" s="214" t="s">
        <v>2</v>
      </c>
      <c r="X36" s="161" t="s">
        <v>875</v>
      </c>
      <c r="Y36" s="214" t="s">
        <v>2</v>
      </c>
      <c r="Z36" s="161" t="s">
        <v>875</v>
      </c>
      <c r="AA36" s="214" t="s">
        <v>2</v>
      </c>
      <c r="AB36" s="214" t="s">
        <v>2</v>
      </c>
      <c r="AC36" s="161" t="s">
        <v>875</v>
      </c>
      <c r="AD36" s="214" t="s">
        <v>2</v>
      </c>
      <c r="AE36" s="161" t="s">
        <v>875</v>
      </c>
      <c r="AF36" s="214" t="s">
        <v>2</v>
      </c>
      <c r="AG36" s="214" t="s">
        <v>2</v>
      </c>
      <c r="AH36" s="161" t="s">
        <v>875</v>
      </c>
      <c r="AI36" s="214" t="s">
        <v>2</v>
      </c>
      <c r="AJ36" s="161" t="s">
        <v>875</v>
      </c>
      <c r="AK36" s="214" t="s">
        <v>2</v>
      </c>
      <c r="AL36" s="214" t="s">
        <v>2</v>
      </c>
      <c r="AM36" s="161" t="s">
        <v>875</v>
      </c>
      <c r="AN36" s="214" t="s">
        <v>2</v>
      </c>
      <c r="AO36" s="161" t="s">
        <v>875</v>
      </c>
      <c r="AP36" s="214" t="s">
        <v>2</v>
      </c>
    </row>
    <row r="37" spans="2:42" hidden="1" outlineLevel="1" x14ac:dyDescent="0.25">
      <c r="B37" s="352">
        <v>39630</v>
      </c>
      <c r="C37" s="353"/>
      <c r="D37" s="354"/>
      <c r="E37" s="353"/>
      <c r="F37" s="354"/>
      <c r="G37" s="353"/>
      <c r="H37" s="353"/>
      <c r="I37" s="354"/>
      <c r="J37" s="353"/>
      <c r="K37" s="354"/>
      <c r="L37" s="353"/>
      <c r="M37" s="353">
        <v>290570</v>
      </c>
      <c r="N37" s="354">
        <v>0.60124441060169964</v>
      </c>
      <c r="O37" s="353">
        <v>30589053.711386859</v>
      </c>
      <c r="P37" s="354">
        <v>0.60124441060169964</v>
      </c>
      <c r="Q37" s="353">
        <v>17434200</v>
      </c>
      <c r="R37" s="353">
        <v>192711</v>
      </c>
      <c r="S37" s="354">
        <v>0.39875558939830036</v>
      </c>
      <c r="T37" s="353">
        <v>20287184.257752255</v>
      </c>
      <c r="U37" s="354">
        <v>0.39875558939830036</v>
      </c>
      <c r="V37" s="353">
        <v>11562660</v>
      </c>
      <c r="W37" s="353"/>
      <c r="X37" s="354"/>
      <c r="Y37" s="353"/>
      <c r="Z37" s="354"/>
      <c r="AA37" s="353"/>
      <c r="AB37" s="353"/>
      <c r="AC37" s="354"/>
      <c r="AD37" s="353"/>
      <c r="AE37" s="354"/>
      <c r="AF37" s="353"/>
      <c r="AG37" s="353"/>
      <c r="AH37" s="354"/>
      <c r="AI37" s="353"/>
      <c r="AJ37" s="354"/>
      <c r="AK37" s="353"/>
      <c r="AL37" s="353">
        <v>483281</v>
      </c>
      <c r="AM37" s="354">
        <v>1</v>
      </c>
      <c r="AN37" s="353">
        <v>50876237.969139114</v>
      </c>
      <c r="AO37" s="354">
        <v>1</v>
      </c>
      <c r="AP37" s="353">
        <v>28996860</v>
      </c>
    </row>
    <row r="38" spans="2:42" hidden="1" outlineLevel="1" x14ac:dyDescent="0.25">
      <c r="B38" s="352">
        <v>39661</v>
      </c>
      <c r="C38" s="353"/>
      <c r="D38" s="354"/>
      <c r="E38" s="353"/>
      <c r="F38" s="354"/>
      <c r="G38" s="353"/>
      <c r="H38" s="353"/>
      <c r="I38" s="354"/>
      <c r="J38" s="353"/>
      <c r="K38" s="354"/>
      <c r="L38" s="353"/>
      <c r="M38" s="353">
        <v>292137</v>
      </c>
      <c r="N38" s="354">
        <v>0.60055998569199553</v>
      </c>
      <c r="O38" s="353">
        <v>30469937.876167327</v>
      </c>
      <c r="P38" s="354">
        <v>0.60055998569199553</v>
      </c>
      <c r="Q38" s="353">
        <v>17528220</v>
      </c>
      <c r="R38" s="353">
        <v>194304</v>
      </c>
      <c r="S38" s="354">
        <v>0.39944001430800447</v>
      </c>
      <c r="T38" s="353">
        <v>20265939.641643532</v>
      </c>
      <c r="U38" s="354">
        <v>0.39944001430800447</v>
      </c>
      <c r="V38" s="353">
        <v>11658240</v>
      </c>
      <c r="W38" s="353"/>
      <c r="X38" s="354"/>
      <c r="Y38" s="353"/>
      <c r="Z38" s="354"/>
      <c r="AA38" s="353"/>
      <c r="AB38" s="353"/>
      <c r="AC38" s="354"/>
      <c r="AD38" s="353"/>
      <c r="AE38" s="354"/>
      <c r="AF38" s="353"/>
      <c r="AG38" s="353"/>
      <c r="AH38" s="354"/>
      <c r="AI38" s="353"/>
      <c r="AJ38" s="354"/>
      <c r="AK38" s="353"/>
      <c r="AL38" s="353">
        <v>486441</v>
      </c>
      <c r="AM38" s="354">
        <v>1</v>
      </c>
      <c r="AN38" s="353">
        <v>50735877.517810859</v>
      </c>
      <c r="AO38" s="354">
        <v>1</v>
      </c>
      <c r="AP38" s="353">
        <v>29186460</v>
      </c>
    </row>
    <row r="39" spans="2:42" hidden="1" outlineLevel="1" x14ac:dyDescent="0.25">
      <c r="B39" s="352">
        <v>39692</v>
      </c>
      <c r="C39" s="353"/>
      <c r="D39" s="354"/>
      <c r="E39" s="353"/>
      <c r="F39" s="354"/>
      <c r="G39" s="353"/>
      <c r="H39" s="353"/>
      <c r="I39" s="354"/>
      <c r="J39" s="353"/>
      <c r="K39" s="354"/>
      <c r="L39" s="353"/>
      <c r="M39" s="353">
        <v>329546</v>
      </c>
      <c r="N39" s="354">
        <v>0.63002997721120169</v>
      </c>
      <c r="O39" s="353">
        <v>34002855.566698335</v>
      </c>
      <c r="P39" s="354">
        <v>0.62997893774254099</v>
      </c>
      <c r="Q39" s="353">
        <v>19768431.017999999</v>
      </c>
      <c r="R39" s="353">
        <v>193518</v>
      </c>
      <c r="S39" s="354">
        <v>0.36997002278879831</v>
      </c>
      <c r="T39" s="353">
        <v>19971735.533987924</v>
      </c>
      <c r="U39" s="354">
        <v>0.37002106225745901</v>
      </c>
      <c r="V39" s="353">
        <v>11611080</v>
      </c>
      <c r="W39" s="353"/>
      <c r="X39" s="354"/>
      <c r="Y39" s="353"/>
      <c r="Z39" s="354"/>
      <c r="AA39" s="353"/>
      <c r="AB39" s="353"/>
      <c r="AC39" s="354"/>
      <c r="AD39" s="353"/>
      <c r="AE39" s="354"/>
      <c r="AF39" s="353"/>
      <c r="AG39" s="353"/>
      <c r="AH39" s="354"/>
      <c r="AI39" s="353"/>
      <c r="AJ39" s="354"/>
      <c r="AK39" s="353"/>
      <c r="AL39" s="353">
        <v>523064</v>
      </c>
      <c r="AM39" s="354">
        <v>1</v>
      </c>
      <c r="AN39" s="353">
        <v>53974591.10068626</v>
      </c>
      <c r="AO39" s="354">
        <v>1</v>
      </c>
      <c r="AP39" s="353">
        <v>31379511.017999999</v>
      </c>
    </row>
    <row r="40" spans="2:42" hidden="1" outlineLevel="1" x14ac:dyDescent="0.25">
      <c r="B40" s="352">
        <v>39722</v>
      </c>
      <c r="C40" s="353"/>
      <c r="D40" s="354"/>
      <c r="E40" s="353"/>
      <c r="F40" s="354"/>
      <c r="G40" s="353"/>
      <c r="H40" s="353"/>
      <c r="I40" s="354"/>
      <c r="J40" s="353"/>
      <c r="K40" s="354"/>
      <c r="L40" s="353"/>
      <c r="M40" s="353">
        <v>340883</v>
      </c>
      <c r="N40" s="354">
        <v>0.63388369355615515</v>
      </c>
      <c r="O40" s="353">
        <v>37752733.111693397</v>
      </c>
      <c r="P40" s="354">
        <v>0.64317181792667077</v>
      </c>
      <c r="Q40" s="353">
        <v>22142510.096000001</v>
      </c>
      <c r="R40" s="353">
        <v>193041</v>
      </c>
      <c r="S40" s="354">
        <v>0.35896639635233718</v>
      </c>
      <c r="T40" s="353">
        <v>19839322.30539082</v>
      </c>
      <c r="U40" s="354">
        <v>0.33799123776919604</v>
      </c>
      <c r="V40" s="353">
        <v>11636042.168</v>
      </c>
      <c r="W40" s="353">
        <v>3399</v>
      </c>
      <c r="X40" s="354">
        <v>6.3205577115824823E-3</v>
      </c>
      <c r="Y40" s="353">
        <v>984203.48954824533</v>
      </c>
      <c r="Z40" s="354">
        <v>1.6767314454021638E-2</v>
      </c>
      <c r="AA40" s="353">
        <v>577249.21900000004</v>
      </c>
      <c r="AB40" s="353">
        <v>446</v>
      </c>
      <c r="AC40" s="354">
        <v>8.2935237992520956E-4</v>
      </c>
      <c r="AD40" s="353">
        <v>121482.59795202139</v>
      </c>
      <c r="AE40" s="354">
        <v>2.0696298501115787E-3</v>
      </c>
      <c r="AF40" s="353">
        <v>71251.255999999994</v>
      </c>
      <c r="AG40" s="353"/>
      <c r="AH40" s="354"/>
      <c r="AI40" s="353"/>
      <c r="AJ40" s="354"/>
      <c r="AK40" s="353"/>
      <c r="AL40" s="353">
        <v>537769</v>
      </c>
      <c r="AM40" s="354">
        <v>1</v>
      </c>
      <c r="AN40" s="353">
        <v>58697741.504584484</v>
      </c>
      <c r="AO40" s="354">
        <v>1</v>
      </c>
      <c r="AP40" s="353">
        <v>34427052.738999993</v>
      </c>
    </row>
    <row r="41" spans="2:42" hidden="1" outlineLevel="1" x14ac:dyDescent="0.25">
      <c r="B41" s="352">
        <v>39753</v>
      </c>
      <c r="C41" s="353"/>
      <c r="D41" s="354"/>
      <c r="E41" s="353"/>
      <c r="F41" s="354"/>
      <c r="G41" s="353"/>
      <c r="H41" s="353"/>
      <c r="I41" s="354"/>
      <c r="J41" s="353"/>
      <c r="K41" s="354"/>
      <c r="L41" s="353"/>
      <c r="M41" s="353">
        <v>347314</v>
      </c>
      <c r="N41" s="354">
        <v>0.63749096021761553</v>
      </c>
      <c r="O41" s="353">
        <v>37631184.690838441</v>
      </c>
      <c r="P41" s="354">
        <v>0.64785948050032593</v>
      </c>
      <c r="Q41" s="353">
        <v>22044175.416999999</v>
      </c>
      <c r="R41" s="353">
        <v>192690</v>
      </c>
      <c r="S41" s="354">
        <v>0.35368033861097548</v>
      </c>
      <c r="T41" s="353">
        <v>19910045.41406339</v>
      </c>
      <c r="U41" s="354">
        <v>0.34277187350504351</v>
      </c>
      <c r="V41" s="353">
        <v>11663213.297</v>
      </c>
      <c r="W41" s="353">
        <v>4226</v>
      </c>
      <c r="X41" s="354">
        <v>7.7567757069385151E-3</v>
      </c>
      <c r="Y41" s="353">
        <v>475630.3144740265</v>
      </c>
      <c r="Z41" s="354">
        <v>8.1884641947073365E-3</v>
      </c>
      <c r="AA41" s="353">
        <v>278622.05699999997</v>
      </c>
      <c r="AB41" s="353">
        <v>584</v>
      </c>
      <c r="AC41" s="354">
        <v>1.0719254644704431E-3</v>
      </c>
      <c r="AD41" s="353">
        <v>68551.34580631429</v>
      </c>
      <c r="AE41" s="354">
        <v>1.1801817999232236E-3</v>
      </c>
      <c r="AF41" s="353">
        <v>40157.063999999998</v>
      </c>
      <c r="AG41" s="353"/>
      <c r="AH41" s="354"/>
      <c r="AI41" s="353"/>
      <c r="AJ41" s="354"/>
      <c r="AK41" s="353"/>
      <c r="AL41" s="353">
        <v>544814</v>
      </c>
      <c r="AM41" s="354">
        <v>1</v>
      </c>
      <c r="AN41" s="353">
        <v>58085411.765182175</v>
      </c>
      <c r="AO41" s="354">
        <v>1</v>
      </c>
      <c r="AP41" s="353">
        <v>34026167.835000001</v>
      </c>
    </row>
    <row r="42" spans="2:42" hidden="1" outlineLevel="1" x14ac:dyDescent="0.25">
      <c r="B42" s="352">
        <v>39783</v>
      </c>
      <c r="C42" s="353"/>
      <c r="D42" s="354"/>
      <c r="E42" s="353"/>
      <c r="F42" s="354"/>
      <c r="G42" s="353"/>
      <c r="H42" s="353"/>
      <c r="I42" s="354"/>
      <c r="J42" s="353"/>
      <c r="K42" s="354"/>
      <c r="L42" s="353"/>
      <c r="M42" s="353">
        <v>358445</v>
      </c>
      <c r="N42" s="354">
        <v>0.64228131758651519</v>
      </c>
      <c r="O42" s="353">
        <v>40538460.283656813</v>
      </c>
      <c r="P42" s="354">
        <v>0.64842421999130029</v>
      </c>
      <c r="Q42" s="353">
        <v>23467261.041000001</v>
      </c>
      <c r="R42" s="353">
        <v>194451</v>
      </c>
      <c r="S42" s="354">
        <v>0.34842791637773013</v>
      </c>
      <c r="T42" s="353">
        <v>21379467.67134029</v>
      </c>
      <c r="U42" s="354">
        <v>0.34197067554159033</v>
      </c>
      <c r="V42" s="353">
        <v>12376334.603</v>
      </c>
      <c r="W42" s="353">
        <v>4485</v>
      </c>
      <c r="X42" s="354">
        <v>8.0364678245631004E-3</v>
      </c>
      <c r="Y42" s="353">
        <v>529037.25482876145</v>
      </c>
      <c r="Z42" s="354">
        <v>8.4621015921262348E-3</v>
      </c>
      <c r="AA42" s="353">
        <v>306253.74699999997</v>
      </c>
      <c r="AB42" s="353">
        <v>700</v>
      </c>
      <c r="AC42" s="354">
        <v>1.2542982111915654E-3</v>
      </c>
      <c r="AD42" s="353">
        <v>71458.738312134854</v>
      </c>
      <c r="AE42" s="354">
        <v>1.1430028749831133E-3</v>
      </c>
      <c r="AF42" s="353">
        <v>41366.663999999997</v>
      </c>
      <c r="AG42" s="353"/>
      <c r="AH42" s="354"/>
      <c r="AI42" s="353"/>
      <c r="AJ42" s="354"/>
      <c r="AK42" s="353"/>
      <c r="AL42" s="353">
        <v>558081</v>
      </c>
      <c r="AM42" s="354">
        <v>1</v>
      </c>
      <c r="AN42" s="353">
        <v>62518423.948137999</v>
      </c>
      <c r="AO42" s="354">
        <v>1</v>
      </c>
      <c r="AP42" s="353">
        <v>36191216.055</v>
      </c>
    </row>
    <row r="43" spans="2:42" collapsed="1" x14ac:dyDescent="0.25">
      <c r="B43" s="355" t="s">
        <v>699</v>
      </c>
      <c r="C43" s="356"/>
      <c r="D43" s="343"/>
      <c r="E43" s="356"/>
      <c r="F43" s="343"/>
      <c r="G43" s="356"/>
      <c r="H43" s="356"/>
      <c r="I43" s="343"/>
      <c r="J43" s="356"/>
      <c r="K43" s="343"/>
      <c r="L43" s="356"/>
      <c r="M43" s="356">
        <v>326482.5</v>
      </c>
      <c r="N43" s="343">
        <v>0.62240689609155808</v>
      </c>
      <c r="O43" s="356">
        <v>35164037.540073529</v>
      </c>
      <c r="P43" s="343">
        <v>0.62580848198770989</v>
      </c>
      <c r="Q43" s="356"/>
      <c r="R43" s="356">
        <v>193452.5</v>
      </c>
      <c r="S43" s="343">
        <v>0.36879823594266808</v>
      </c>
      <c r="T43" s="356">
        <v>20275615.804029703</v>
      </c>
      <c r="U43" s="343">
        <v>0.36084173591344981</v>
      </c>
      <c r="V43" s="356"/>
      <c r="W43" s="356">
        <v>4036.6666666666665</v>
      </c>
      <c r="X43" s="343">
        <v>7.6955094700520118E-3</v>
      </c>
      <c r="Y43" s="356">
        <v>662957.01961701119</v>
      </c>
      <c r="Z43" s="343">
        <v>1.1798534954833023E-2</v>
      </c>
      <c r="AA43" s="356"/>
      <c r="AB43" s="356">
        <v>576.66666666666663</v>
      </c>
      <c r="AC43" s="343">
        <v>1.099358495721716E-3</v>
      </c>
      <c r="AD43" s="356">
        <v>87164.22735682351</v>
      </c>
      <c r="AE43" s="343">
        <v>1.5512471440073223E-3</v>
      </c>
      <c r="AF43" s="356"/>
      <c r="AG43" s="356"/>
      <c r="AH43" s="343"/>
      <c r="AI43" s="356"/>
      <c r="AJ43" s="343"/>
      <c r="AK43" s="356"/>
      <c r="AL43" s="356">
        <v>524548.33333333337</v>
      </c>
      <c r="AM43" s="343">
        <v>0.99999999999999989</v>
      </c>
      <c r="AN43" s="356">
        <v>56189774.591077067</v>
      </c>
      <c r="AO43" s="343">
        <v>1</v>
      </c>
      <c r="AP43" s="356"/>
    </row>
    <row r="44" spans="2:42" hidden="1" outlineLevel="1" x14ac:dyDescent="0.25">
      <c r="B44" s="352">
        <v>39814</v>
      </c>
      <c r="C44" s="353"/>
      <c r="D44" s="354"/>
      <c r="E44" s="353"/>
      <c r="F44" s="354"/>
      <c r="G44" s="353"/>
      <c r="H44" s="353"/>
      <c r="I44" s="354"/>
      <c r="J44" s="353"/>
      <c r="K44" s="354"/>
      <c r="L44" s="353"/>
      <c r="M44" s="353">
        <v>364131</v>
      </c>
      <c r="N44" s="354">
        <v>0.64167331898898794</v>
      </c>
      <c r="O44" s="353">
        <v>39565944.444608569</v>
      </c>
      <c r="P44" s="354">
        <v>0.63183868401096943</v>
      </c>
      <c r="Q44" s="353">
        <v>22729603.677000001</v>
      </c>
      <c r="R44" s="353">
        <v>196192</v>
      </c>
      <c r="S44" s="354">
        <v>0.34573044261292646</v>
      </c>
      <c r="T44" s="353">
        <v>21899993.4217523</v>
      </c>
      <c r="U44" s="354">
        <v>0.34972659487051339</v>
      </c>
      <c r="V44" s="353">
        <v>12580975.331</v>
      </c>
      <c r="W44" s="353">
        <v>6199</v>
      </c>
      <c r="X44" s="354">
        <v>1.0923906243667077E-2</v>
      </c>
      <c r="Y44" s="353">
        <v>1012124.9070628011</v>
      </c>
      <c r="Z44" s="354">
        <v>1.6162881445394791E-2</v>
      </c>
      <c r="AA44" s="353">
        <v>581439.375</v>
      </c>
      <c r="AB44" s="353">
        <v>949</v>
      </c>
      <c r="AC44" s="354">
        <v>1.6723321544184636E-3</v>
      </c>
      <c r="AD44" s="353">
        <v>142263.34121108582</v>
      </c>
      <c r="AE44" s="354">
        <v>2.2718396731223347E-3</v>
      </c>
      <c r="AF44" s="353">
        <v>81726.581000000006</v>
      </c>
      <c r="AG44" s="353"/>
      <c r="AH44" s="354"/>
      <c r="AI44" s="353"/>
      <c r="AJ44" s="354"/>
      <c r="AK44" s="353"/>
      <c r="AL44" s="353">
        <v>567471</v>
      </c>
      <c r="AM44" s="354">
        <v>1</v>
      </c>
      <c r="AN44" s="353">
        <v>62620326.11463476</v>
      </c>
      <c r="AO44" s="354">
        <v>1</v>
      </c>
      <c r="AP44" s="353">
        <v>35973744.964000002</v>
      </c>
    </row>
    <row r="45" spans="2:42" hidden="1" outlineLevel="1" x14ac:dyDescent="0.25">
      <c r="B45" s="352">
        <v>39845</v>
      </c>
      <c r="C45" s="353"/>
      <c r="D45" s="354"/>
      <c r="E45" s="353"/>
      <c r="F45" s="354"/>
      <c r="G45" s="353"/>
      <c r="H45" s="353"/>
      <c r="I45" s="354"/>
      <c r="J45" s="353"/>
      <c r="K45" s="354"/>
      <c r="L45" s="353"/>
      <c r="M45" s="353">
        <v>366991</v>
      </c>
      <c r="N45" s="354">
        <v>0.64091252813884569</v>
      </c>
      <c r="O45" s="353">
        <v>39601948.701424278</v>
      </c>
      <c r="P45" s="354">
        <v>0.63378798428923566</v>
      </c>
      <c r="Q45" s="353">
        <v>22667397.420000002</v>
      </c>
      <c r="R45" s="353">
        <v>197256</v>
      </c>
      <c r="S45" s="354">
        <v>0.3444875804871404</v>
      </c>
      <c r="T45" s="353">
        <v>21930413.575677384</v>
      </c>
      <c r="U45" s="354">
        <v>0.35097345132054003</v>
      </c>
      <c r="V45" s="353">
        <v>12552548.963</v>
      </c>
      <c r="W45" s="353">
        <v>7180</v>
      </c>
      <c r="X45" s="354">
        <v>1.2539141156150728E-2</v>
      </c>
      <c r="Y45" s="353">
        <v>793357.5079871132</v>
      </c>
      <c r="Z45" s="354">
        <v>1.2696861449896272E-2</v>
      </c>
      <c r="AA45" s="353">
        <v>454102.652</v>
      </c>
      <c r="AB45" s="353">
        <v>1180</v>
      </c>
      <c r="AC45" s="354">
        <v>2.0607502178632115E-3</v>
      </c>
      <c r="AD45" s="353">
        <v>158817.13120518098</v>
      </c>
      <c r="AE45" s="354">
        <v>2.5417029403280505E-3</v>
      </c>
      <c r="AF45" s="353">
        <v>90903.885999999999</v>
      </c>
      <c r="AG45" s="353"/>
      <c r="AH45" s="354"/>
      <c r="AI45" s="353"/>
      <c r="AJ45" s="354"/>
      <c r="AK45" s="353"/>
      <c r="AL45" s="353">
        <v>572607</v>
      </c>
      <c r="AM45" s="354">
        <v>1</v>
      </c>
      <c r="AN45" s="353">
        <v>62484536.916293956</v>
      </c>
      <c r="AO45" s="354">
        <v>1</v>
      </c>
      <c r="AP45" s="353">
        <v>35764952.921000004</v>
      </c>
    </row>
    <row r="46" spans="2:42" hidden="1" outlineLevel="1" x14ac:dyDescent="0.25">
      <c r="B46" s="352">
        <v>39873</v>
      </c>
      <c r="C46" s="353"/>
      <c r="D46" s="354"/>
      <c r="E46" s="353"/>
      <c r="F46" s="354"/>
      <c r="G46" s="353"/>
      <c r="H46" s="353"/>
      <c r="I46" s="354"/>
      <c r="J46" s="353"/>
      <c r="K46" s="354"/>
      <c r="L46" s="353"/>
      <c r="M46" s="353">
        <v>369833</v>
      </c>
      <c r="N46" s="354">
        <v>0.64020613559803208</v>
      </c>
      <c r="O46" s="353">
        <v>39594986.061068498</v>
      </c>
      <c r="P46" s="354">
        <v>0.63318479098493707</v>
      </c>
      <c r="Q46" s="353">
        <v>22752284.488000002</v>
      </c>
      <c r="R46" s="353">
        <v>198068</v>
      </c>
      <c r="S46" s="354">
        <v>0.34286921087526268</v>
      </c>
      <c r="T46" s="353">
        <v>21820626.242193077</v>
      </c>
      <c r="U46" s="354">
        <v>0.34894541053793743</v>
      </c>
      <c r="V46" s="353">
        <v>12538685.964</v>
      </c>
      <c r="W46" s="353">
        <v>8287</v>
      </c>
      <c r="X46" s="354">
        <v>1.4345361949044278E-2</v>
      </c>
      <c r="Y46" s="353">
        <v>927042.12003452214</v>
      </c>
      <c r="Z46" s="354">
        <v>1.4824830853658129E-2</v>
      </c>
      <c r="AA46" s="353">
        <v>532701.94400000002</v>
      </c>
      <c r="AB46" s="353">
        <v>1490</v>
      </c>
      <c r="AC46" s="354">
        <v>2.5792915776609113E-3</v>
      </c>
      <c r="AD46" s="353">
        <v>190411.16009759446</v>
      </c>
      <c r="AE46" s="354">
        <v>3.0449676234673537E-3</v>
      </c>
      <c r="AF46" s="353">
        <v>109415.088</v>
      </c>
      <c r="AG46" s="353"/>
      <c r="AH46" s="354"/>
      <c r="AI46" s="353"/>
      <c r="AJ46" s="354"/>
      <c r="AK46" s="353"/>
      <c r="AL46" s="353">
        <v>577678</v>
      </c>
      <c r="AM46" s="354">
        <v>0.99999999999999989</v>
      </c>
      <c r="AN46" s="353">
        <v>62533065.583393693</v>
      </c>
      <c r="AO46" s="354">
        <v>1</v>
      </c>
      <c r="AP46" s="353">
        <v>35933087.483999997</v>
      </c>
    </row>
    <row r="47" spans="2:42" hidden="1" outlineLevel="1" x14ac:dyDescent="0.25">
      <c r="B47" s="352">
        <v>39904</v>
      </c>
      <c r="C47" s="353"/>
      <c r="D47" s="354"/>
      <c r="E47" s="353"/>
      <c r="F47" s="354"/>
      <c r="G47" s="353"/>
      <c r="H47" s="353"/>
      <c r="I47" s="354"/>
      <c r="J47" s="353"/>
      <c r="K47" s="354"/>
      <c r="L47" s="353"/>
      <c r="M47" s="353">
        <v>371972</v>
      </c>
      <c r="N47" s="354">
        <v>0.63854126969412939</v>
      </c>
      <c r="O47" s="353">
        <v>39638328.326252341</v>
      </c>
      <c r="P47" s="354">
        <v>0.62590062620837128</v>
      </c>
      <c r="Q47" s="353">
        <v>22741680.691</v>
      </c>
      <c r="R47" s="353">
        <v>198891</v>
      </c>
      <c r="S47" s="354">
        <v>0.34142384822173472</v>
      </c>
      <c r="T47" s="353">
        <v>22045020.785028443</v>
      </c>
      <c r="U47" s="354">
        <v>0.34809723055317382</v>
      </c>
      <c r="V47" s="353">
        <v>12647880.086999999</v>
      </c>
      <c r="W47" s="353">
        <v>9630</v>
      </c>
      <c r="X47" s="354">
        <v>1.6531223928560393E-2</v>
      </c>
      <c r="Y47" s="353">
        <v>1317324.4904689852</v>
      </c>
      <c r="Z47" s="354">
        <v>2.0800933296626644E-2</v>
      </c>
      <c r="AA47" s="353">
        <v>755788.00100000005</v>
      </c>
      <c r="AB47" s="353">
        <v>2041</v>
      </c>
      <c r="AC47" s="354">
        <v>3.5036581555754685E-3</v>
      </c>
      <c r="AD47" s="353">
        <v>329392.97187940881</v>
      </c>
      <c r="AE47" s="354">
        <v>5.2012099418283098E-3</v>
      </c>
      <c r="AF47" s="353">
        <v>188982.48499999999</v>
      </c>
      <c r="AG47" s="353"/>
      <c r="AH47" s="354"/>
      <c r="AI47" s="353"/>
      <c r="AJ47" s="354"/>
      <c r="AK47" s="353"/>
      <c r="AL47" s="353">
        <v>582534</v>
      </c>
      <c r="AM47" s="354">
        <v>1</v>
      </c>
      <c r="AN47" s="353">
        <v>63330066.573629178</v>
      </c>
      <c r="AO47" s="354">
        <v>1</v>
      </c>
      <c r="AP47" s="353">
        <v>36334331.263999999</v>
      </c>
    </row>
    <row r="48" spans="2:42" hidden="1" outlineLevel="1" x14ac:dyDescent="0.25">
      <c r="B48" s="352">
        <v>39934</v>
      </c>
      <c r="C48" s="353"/>
      <c r="D48" s="354"/>
      <c r="E48" s="353"/>
      <c r="F48" s="354"/>
      <c r="G48" s="353"/>
      <c r="H48" s="353"/>
      <c r="I48" s="354"/>
      <c r="J48" s="353"/>
      <c r="K48" s="354"/>
      <c r="L48" s="353"/>
      <c r="M48" s="353">
        <v>374732</v>
      </c>
      <c r="N48" s="354">
        <v>0.63690179768749777</v>
      </c>
      <c r="O48" s="353">
        <v>40095708.360008515</v>
      </c>
      <c r="P48" s="354">
        <v>0.62392416817607554</v>
      </c>
      <c r="Q48" s="353">
        <v>22946564.344999999</v>
      </c>
      <c r="R48" s="353">
        <v>200088</v>
      </c>
      <c r="S48" s="354">
        <v>0.3400734575528539</v>
      </c>
      <c r="T48" s="353">
        <v>22502459.70653829</v>
      </c>
      <c r="U48" s="354">
        <v>0.35015788543396559</v>
      </c>
      <c r="V48" s="353">
        <v>12878040.086999999</v>
      </c>
      <c r="W48" s="353">
        <v>11050</v>
      </c>
      <c r="X48" s="354">
        <v>1.8780794980003977E-2</v>
      </c>
      <c r="Y48" s="353">
        <v>1339088.6272697151</v>
      </c>
      <c r="Z48" s="354">
        <v>2.0837386145710741E-2</v>
      </c>
      <c r="AA48" s="353">
        <v>766353.42299999995</v>
      </c>
      <c r="AB48" s="353">
        <v>2497</v>
      </c>
      <c r="AC48" s="354">
        <v>4.2439497796443373E-3</v>
      </c>
      <c r="AD48" s="353">
        <v>326495.86640365055</v>
      </c>
      <c r="AE48" s="354">
        <v>5.0805602442480823E-3</v>
      </c>
      <c r="AF48" s="353">
        <v>186851.878</v>
      </c>
      <c r="AG48" s="353"/>
      <c r="AH48" s="354"/>
      <c r="AI48" s="353"/>
      <c r="AJ48" s="354"/>
      <c r="AK48" s="353"/>
      <c r="AL48" s="353">
        <v>588367</v>
      </c>
      <c r="AM48" s="354">
        <v>1</v>
      </c>
      <c r="AN48" s="353">
        <v>64263752.560220174</v>
      </c>
      <c r="AO48" s="354">
        <v>1</v>
      </c>
      <c r="AP48" s="353">
        <v>36777809.732999995</v>
      </c>
    </row>
    <row r="49" spans="2:42" hidden="1" outlineLevel="1" x14ac:dyDescent="0.25">
      <c r="B49" s="352">
        <v>39965</v>
      </c>
      <c r="C49" s="353"/>
      <c r="D49" s="354"/>
      <c r="E49" s="353"/>
      <c r="F49" s="354"/>
      <c r="G49" s="353"/>
      <c r="H49" s="353"/>
      <c r="I49" s="354"/>
      <c r="J49" s="353"/>
      <c r="K49" s="354"/>
      <c r="L49" s="353"/>
      <c r="M49" s="353">
        <v>377068</v>
      </c>
      <c r="N49" s="354">
        <v>0.63511323862813329</v>
      </c>
      <c r="O49" s="353">
        <v>40265235.945666112</v>
      </c>
      <c r="P49" s="354">
        <v>0.62146721977402331</v>
      </c>
      <c r="Q49" s="353">
        <v>23123443.857999999</v>
      </c>
      <c r="R49" s="353">
        <v>201424</v>
      </c>
      <c r="S49" s="354">
        <v>0.33926784817972655</v>
      </c>
      <c r="T49" s="353">
        <v>22848438.437303141</v>
      </c>
      <c r="U49" s="354">
        <v>0.35265049808647803</v>
      </c>
      <c r="V49" s="353">
        <v>13121358.189999999</v>
      </c>
      <c r="W49" s="353">
        <v>12190</v>
      </c>
      <c r="X49" s="354">
        <v>2.0532186180945995E-2</v>
      </c>
      <c r="Y49" s="353">
        <v>1298351.8657933872</v>
      </c>
      <c r="Z49" s="354">
        <v>2.0039200202672098E-2</v>
      </c>
      <c r="AA49" s="353">
        <v>745615.06400000001</v>
      </c>
      <c r="AB49" s="353">
        <v>3020</v>
      </c>
      <c r="AC49" s="354">
        <v>5.0867270111941681E-3</v>
      </c>
      <c r="AD49" s="353">
        <v>378576.80236414145</v>
      </c>
      <c r="AE49" s="354">
        <v>5.8430819368266024E-3</v>
      </c>
      <c r="AF49" s="353">
        <v>217408.37299999999</v>
      </c>
      <c r="AG49" s="353"/>
      <c r="AH49" s="354"/>
      <c r="AI49" s="353"/>
      <c r="AJ49" s="354"/>
      <c r="AK49" s="353"/>
      <c r="AL49" s="353">
        <v>593702</v>
      </c>
      <c r="AM49" s="354">
        <v>1</v>
      </c>
      <c r="AN49" s="353">
        <v>64790603.051126778</v>
      </c>
      <c r="AO49" s="354">
        <v>1.0000000000000002</v>
      </c>
      <c r="AP49" s="353">
        <v>37207825.485000007</v>
      </c>
    </row>
    <row r="50" spans="2:42" hidden="1" outlineLevel="1" x14ac:dyDescent="0.25">
      <c r="B50" s="352">
        <v>39995</v>
      </c>
      <c r="C50" s="353"/>
      <c r="D50" s="354"/>
      <c r="E50" s="353"/>
      <c r="F50" s="354"/>
      <c r="G50" s="353"/>
      <c r="H50" s="353"/>
      <c r="I50" s="354"/>
      <c r="J50" s="353"/>
      <c r="K50" s="354"/>
      <c r="L50" s="353"/>
      <c r="M50" s="353">
        <v>378458</v>
      </c>
      <c r="N50" s="354">
        <v>0.63259680975360255</v>
      </c>
      <c r="O50" s="353">
        <v>50399944.338983931</v>
      </c>
      <c r="P50" s="354">
        <v>0.61863068875215688</v>
      </c>
      <c r="Q50" s="353">
        <v>28816125.442000002</v>
      </c>
      <c r="R50" s="353">
        <v>202738</v>
      </c>
      <c r="S50" s="354">
        <v>0.33887885053513433</v>
      </c>
      <c r="T50" s="353">
        <v>28525889.719165385</v>
      </c>
      <c r="U50" s="354">
        <v>0.35013909312168734</v>
      </c>
      <c r="V50" s="353">
        <v>16309653.26</v>
      </c>
      <c r="W50" s="353">
        <v>13277</v>
      </c>
      <c r="X50" s="354">
        <v>2.2192655045206022E-2</v>
      </c>
      <c r="Y50" s="353">
        <v>1852810.6654782353</v>
      </c>
      <c r="Z50" s="354">
        <v>2.2742198491389257E-2</v>
      </c>
      <c r="AA50" s="353">
        <v>1059342.9269999999</v>
      </c>
      <c r="AB50" s="353">
        <v>3788</v>
      </c>
      <c r="AC50" s="354">
        <v>6.3316846660571224E-3</v>
      </c>
      <c r="AD50" s="353">
        <v>691520.36088502861</v>
      </c>
      <c r="AE50" s="354">
        <v>8.4880196347667195E-3</v>
      </c>
      <c r="AF50" s="353">
        <v>395376.18</v>
      </c>
      <c r="AG50" s="353"/>
      <c r="AH50" s="354"/>
      <c r="AI50" s="353"/>
      <c r="AJ50" s="354"/>
      <c r="AK50" s="353"/>
      <c r="AL50" s="353">
        <v>598261</v>
      </c>
      <c r="AM50" s="354">
        <v>1</v>
      </c>
      <c r="AN50" s="353">
        <v>81470165.084512562</v>
      </c>
      <c r="AO50" s="354">
        <v>1.0000000000000002</v>
      </c>
      <c r="AP50" s="353">
        <v>46580497.809</v>
      </c>
    </row>
    <row r="51" spans="2:42" hidden="1" outlineLevel="1" x14ac:dyDescent="0.25">
      <c r="B51" s="352">
        <v>40026</v>
      </c>
      <c r="C51" s="353"/>
      <c r="D51" s="354"/>
      <c r="E51" s="353"/>
      <c r="F51" s="354"/>
      <c r="G51" s="353"/>
      <c r="H51" s="353"/>
      <c r="I51" s="354"/>
      <c r="J51" s="353"/>
      <c r="K51" s="354"/>
      <c r="L51" s="353"/>
      <c r="M51" s="353">
        <v>379265</v>
      </c>
      <c r="N51" s="354">
        <v>0.62885818461584375</v>
      </c>
      <c r="O51" s="353">
        <v>50849983.945227377</v>
      </c>
      <c r="P51" s="354">
        <v>0.60958882151824956</v>
      </c>
      <c r="Q51" s="353">
        <v>28968742.634</v>
      </c>
      <c r="R51" s="353">
        <v>204743</v>
      </c>
      <c r="S51" s="354">
        <v>0.33948376805874969</v>
      </c>
      <c r="T51" s="353">
        <v>29536029.743414372</v>
      </c>
      <c r="U51" s="354">
        <v>0.35407746800883327</v>
      </c>
      <c r="V51" s="353">
        <v>16826389.66</v>
      </c>
      <c r="W51" s="353">
        <v>14655</v>
      </c>
      <c r="X51" s="354">
        <v>2.4299412536208695E-2</v>
      </c>
      <c r="Y51" s="353">
        <v>2310570.4061535653</v>
      </c>
      <c r="Z51" s="354">
        <v>2.7699082313167422E-2</v>
      </c>
      <c r="AA51" s="353">
        <v>1316309.5490000001</v>
      </c>
      <c r="AB51" s="353">
        <v>4438</v>
      </c>
      <c r="AC51" s="354">
        <v>7.3586347891978288E-3</v>
      </c>
      <c r="AD51" s="353">
        <v>720273.54800032056</v>
      </c>
      <c r="AE51" s="354">
        <v>8.6346281597497639E-3</v>
      </c>
      <c r="AF51" s="353">
        <v>410332.85399999999</v>
      </c>
      <c r="AG51" s="353"/>
      <c r="AH51" s="354"/>
      <c r="AI51" s="353"/>
      <c r="AJ51" s="354"/>
      <c r="AK51" s="353"/>
      <c r="AL51" s="353">
        <v>603101</v>
      </c>
      <c r="AM51" s="354">
        <v>1</v>
      </c>
      <c r="AN51" s="353">
        <v>83416857.642795637</v>
      </c>
      <c r="AO51" s="354">
        <v>1</v>
      </c>
      <c r="AP51" s="353">
        <v>47521774.697000004</v>
      </c>
    </row>
    <row r="52" spans="2:42" hidden="1" outlineLevel="1" x14ac:dyDescent="0.25">
      <c r="B52" s="352">
        <v>40057</v>
      </c>
      <c r="C52" s="353"/>
      <c r="D52" s="354"/>
      <c r="E52" s="353"/>
      <c r="F52" s="354"/>
      <c r="G52" s="353"/>
      <c r="H52" s="353"/>
      <c r="I52" s="354"/>
      <c r="J52" s="353"/>
      <c r="K52" s="354"/>
      <c r="L52" s="353"/>
      <c r="M52" s="353">
        <v>384674</v>
      </c>
      <c r="N52" s="354">
        <v>0.61716102782626558</v>
      </c>
      <c r="O52" s="353">
        <v>52201713.10720738</v>
      </c>
      <c r="P52" s="354">
        <v>0.60982284356029293</v>
      </c>
      <c r="Q52" s="353">
        <v>30030908.395</v>
      </c>
      <c r="R52" s="353">
        <v>206439</v>
      </c>
      <c r="S52" s="354">
        <v>0.33120539839819285</v>
      </c>
      <c r="T52" s="353">
        <v>29271834.097139828</v>
      </c>
      <c r="U52" s="354">
        <v>0.34195492911665287</v>
      </c>
      <c r="V52" s="353">
        <v>16839672.800000001</v>
      </c>
      <c r="W52" s="353">
        <v>27203</v>
      </c>
      <c r="X52" s="354">
        <v>4.3643790430228979E-2</v>
      </c>
      <c r="Y52" s="353">
        <v>3385218.9738604194</v>
      </c>
      <c r="Z52" s="354">
        <v>3.95462857028114E-2</v>
      </c>
      <c r="AA52" s="353">
        <v>1947468.672</v>
      </c>
      <c r="AB52" s="353">
        <v>4980</v>
      </c>
      <c r="AC52" s="354">
        <v>7.9897833453126607E-3</v>
      </c>
      <c r="AD52" s="353">
        <v>742673.08969710628</v>
      </c>
      <c r="AE52" s="354">
        <v>8.6759416202428618E-3</v>
      </c>
      <c r="AF52" s="353">
        <v>427249.34100000001</v>
      </c>
      <c r="AG52" s="353"/>
      <c r="AH52" s="354"/>
      <c r="AI52" s="353"/>
      <c r="AJ52" s="354"/>
      <c r="AK52" s="353"/>
      <c r="AL52" s="353">
        <v>623296</v>
      </c>
      <c r="AM52" s="354">
        <v>1</v>
      </c>
      <c r="AN52" s="353">
        <v>85601439.267904729</v>
      </c>
      <c r="AO52" s="354">
        <v>1</v>
      </c>
      <c r="AP52" s="353">
        <v>49245299.207999997</v>
      </c>
    </row>
    <row r="53" spans="2:42" hidden="1" outlineLevel="1" x14ac:dyDescent="0.25">
      <c r="B53" s="352">
        <v>40087</v>
      </c>
      <c r="C53" s="353"/>
      <c r="D53" s="354"/>
      <c r="E53" s="353"/>
      <c r="F53" s="354"/>
      <c r="G53" s="353"/>
      <c r="H53" s="353"/>
      <c r="I53" s="354"/>
      <c r="J53" s="353"/>
      <c r="K53" s="354"/>
      <c r="L53" s="353"/>
      <c r="M53" s="353">
        <v>391967</v>
      </c>
      <c r="N53" s="354">
        <v>0.5049435819745729</v>
      </c>
      <c r="O53" s="353">
        <v>53307122.405636303</v>
      </c>
      <c r="P53" s="354">
        <v>0.54420682515871088</v>
      </c>
      <c r="Q53" s="353">
        <v>30666096.493999999</v>
      </c>
      <c r="R53" s="353">
        <v>208340</v>
      </c>
      <c r="S53" s="354">
        <v>0.26838980288795361</v>
      </c>
      <c r="T53" s="353">
        <v>29968098.357702978</v>
      </c>
      <c r="U53" s="354">
        <v>0.30594117497449341</v>
      </c>
      <c r="V53" s="353">
        <v>17239808.763</v>
      </c>
      <c r="W53" s="353">
        <v>169034</v>
      </c>
      <c r="X53" s="354">
        <v>0.21775464117002186</v>
      </c>
      <c r="Y53" s="353">
        <v>13362893.849462252</v>
      </c>
      <c r="Z53" s="354">
        <v>0.13642038265377854</v>
      </c>
      <c r="AA53" s="353">
        <v>7687299.0650000004</v>
      </c>
      <c r="AB53" s="353">
        <v>6918</v>
      </c>
      <c r="AC53" s="354">
        <v>8.9119739674515842E-3</v>
      </c>
      <c r="AD53" s="353">
        <v>1315677.8448545646</v>
      </c>
      <c r="AE53" s="354">
        <v>1.3431617213017165E-2</v>
      </c>
      <c r="AF53" s="353">
        <v>756872.66399999999</v>
      </c>
      <c r="AG53" s="353"/>
      <c r="AH53" s="354"/>
      <c r="AI53" s="353"/>
      <c r="AJ53" s="354"/>
      <c r="AK53" s="353"/>
      <c r="AL53" s="353">
        <v>776259</v>
      </c>
      <c r="AM53" s="354">
        <v>1</v>
      </c>
      <c r="AN53" s="353">
        <v>97953792.4576561</v>
      </c>
      <c r="AO53" s="354">
        <v>0.99999999999999989</v>
      </c>
      <c r="AP53" s="353">
        <v>56350076.985999994</v>
      </c>
    </row>
    <row r="54" spans="2:42" hidden="1" outlineLevel="1" x14ac:dyDescent="0.25">
      <c r="B54" s="352">
        <v>40118</v>
      </c>
      <c r="C54" s="353"/>
      <c r="D54" s="354"/>
      <c r="E54" s="353"/>
      <c r="F54" s="354"/>
      <c r="G54" s="353"/>
      <c r="H54" s="353"/>
      <c r="I54" s="354"/>
      <c r="J54" s="353"/>
      <c r="K54" s="354"/>
      <c r="L54" s="353"/>
      <c r="M54" s="353">
        <v>393607</v>
      </c>
      <c r="N54" s="354">
        <v>0.48307962694544709</v>
      </c>
      <c r="O54" s="353">
        <v>52375172.429104179</v>
      </c>
      <c r="P54" s="354">
        <v>0.56902663823230815</v>
      </c>
      <c r="Q54" s="353">
        <v>29992656.368999999</v>
      </c>
      <c r="R54" s="353">
        <v>209889</v>
      </c>
      <c r="S54" s="354">
        <v>0.25759983897632144</v>
      </c>
      <c r="T54" s="353">
        <v>29839845.489479315</v>
      </c>
      <c r="U54" s="354">
        <v>0.32419305133999987</v>
      </c>
      <c r="V54" s="353">
        <v>17087795.425999999</v>
      </c>
      <c r="W54" s="353">
        <v>203555</v>
      </c>
      <c r="X54" s="354">
        <v>0.24982602815214283</v>
      </c>
      <c r="Y54" s="353">
        <v>8660880.1557474062</v>
      </c>
      <c r="Z54" s="354">
        <v>9.4095566479114476E-2</v>
      </c>
      <c r="AA54" s="353">
        <v>4959655.3159999996</v>
      </c>
      <c r="AB54" s="353">
        <v>7736</v>
      </c>
      <c r="AC54" s="354">
        <v>9.4945059260886592E-3</v>
      </c>
      <c r="AD54" s="353">
        <v>1167547.5397595547</v>
      </c>
      <c r="AE54" s="354">
        <v>1.2684743948577484E-2</v>
      </c>
      <c r="AF54" s="353">
        <v>668596.40800000005</v>
      </c>
      <c r="AG54" s="353"/>
      <c r="AH54" s="354"/>
      <c r="AI54" s="353"/>
      <c r="AJ54" s="354"/>
      <c r="AK54" s="353"/>
      <c r="AL54" s="353">
        <v>814787</v>
      </c>
      <c r="AM54" s="354">
        <v>1</v>
      </c>
      <c r="AN54" s="353">
        <v>92043445.614090458</v>
      </c>
      <c r="AO54" s="354">
        <v>0.99999999999999989</v>
      </c>
      <c r="AP54" s="353">
        <v>52708703.519000001</v>
      </c>
    </row>
    <row r="55" spans="2:42" hidden="1" outlineLevel="1" x14ac:dyDescent="0.25">
      <c r="B55" s="352">
        <v>40148</v>
      </c>
      <c r="C55" s="353"/>
      <c r="D55" s="354"/>
      <c r="E55" s="353"/>
      <c r="F55" s="354"/>
      <c r="G55" s="353"/>
      <c r="H55" s="353"/>
      <c r="I55" s="354"/>
      <c r="J55" s="353"/>
      <c r="K55" s="354"/>
      <c r="L55" s="353"/>
      <c r="M55" s="353">
        <v>398828</v>
      </c>
      <c r="N55" s="354">
        <v>0.46495534387142579</v>
      </c>
      <c r="O55" s="353">
        <v>54471993.698441066</v>
      </c>
      <c r="P55" s="354">
        <v>0.55645501643659967</v>
      </c>
      <c r="Q55" s="353">
        <v>31098135.497000001</v>
      </c>
      <c r="R55" s="353">
        <v>212205</v>
      </c>
      <c r="S55" s="354">
        <v>0.2473894730215429</v>
      </c>
      <c r="T55" s="353">
        <v>31383145.821348216</v>
      </c>
      <c r="U55" s="354">
        <v>0.32059243178298263</v>
      </c>
      <c r="V55" s="353">
        <v>17916680.752999999</v>
      </c>
      <c r="W55" s="353">
        <v>237978</v>
      </c>
      <c r="X55" s="354">
        <v>0.27743574378888686</v>
      </c>
      <c r="Y55" s="353">
        <v>10620549.391473411</v>
      </c>
      <c r="Z55" s="354">
        <v>0.10849351354597454</v>
      </c>
      <c r="AA55" s="353">
        <v>6063286.1330000004</v>
      </c>
      <c r="AB55" s="353">
        <v>8766</v>
      </c>
      <c r="AC55" s="354">
        <v>1.0219439318144459E-2</v>
      </c>
      <c r="AD55" s="353">
        <v>1415411.1587236316</v>
      </c>
      <c r="AE55" s="354">
        <v>1.4459038234443137E-2</v>
      </c>
      <c r="AF55" s="353">
        <v>808060.16099999996</v>
      </c>
      <c r="AG55" s="353"/>
      <c r="AH55" s="354"/>
      <c r="AI55" s="353"/>
      <c r="AJ55" s="354"/>
      <c r="AK55" s="353"/>
      <c r="AL55" s="353">
        <v>857777</v>
      </c>
      <c r="AM55" s="354">
        <v>1</v>
      </c>
      <c r="AN55" s="353">
        <v>97891100.069986328</v>
      </c>
      <c r="AO55" s="354">
        <v>1</v>
      </c>
      <c r="AP55" s="353">
        <v>55886162.544</v>
      </c>
    </row>
    <row r="56" spans="2:42" collapsed="1" x14ac:dyDescent="0.25">
      <c r="B56" s="355" t="s">
        <v>700</v>
      </c>
      <c r="C56" s="356"/>
      <c r="D56" s="343"/>
      <c r="E56" s="356"/>
      <c r="F56" s="343"/>
      <c r="G56" s="356"/>
      <c r="H56" s="356"/>
      <c r="I56" s="343"/>
      <c r="J56" s="356"/>
      <c r="K56" s="343"/>
      <c r="L56" s="356"/>
      <c r="M56" s="356">
        <v>379293.83333333331</v>
      </c>
      <c r="N56" s="343">
        <v>0.58685145645088088</v>
      </c>
      <c r="O56" s="356">
        <v>46030673.480302371</v>
      </c>
      <c r="P56" s="343">
        <v>0.60144663809905263</v>
      </c>
      <c r="Q56" s="356"/>
      <c r="R56" s="356">
        <v>203022.75</v>
      </c>
      <c r="S56" s="343">
        <v>0.31412110100259932</v>
      </c>
      <c r="T56" s="356">
        <v>25964316.283061892</v>
      </c>
      <c r="U56" s="343">
        <v>0.33925531734117664</v>
      </c>
      <c r="V56" s="356"/>
      <c r="W56" s="356">
        <v>60019.833333333336</v>
      </c>
      <c r="X56" s="343">
        <v>9.2863957998102084E-2</v>
      </c>
      <c r="Y56" s="356">
        <v>3906684.4133993178</v>
      </c>
      <c r="Z56" s="343">
        <v>5.1045575241441252E-2</v>
      </c>
      <c r="AA56" s="356"/>
      <c r="AB56" s="356">
        <v>3983.5833333333335</v>
      </c>
      <c r="AC56" s="343">
        <v>6.1634845484177083E-3</v>
      </c>
      <c r="AD56" s="356">
        <v>631588.40125677246</v>
      </c>
      <c r="AE56" s="343">
        <v>8.2524693183295555E-3</v>
      </c>
      <c r="AF56" s="356"/>
      <c r="AG56" s="356"/>
      <c r="AH56" s="343"/>
      <c r="AI56" s="356"/>
      <c r="AJ56" s="343"/>
      <c r="AK56" s="356"/>
      <c r="AL56" s="356">
        <v>646320</v>
      </c>
      <c r="AM56" s="343">
        <v>1</v>
      </c>
      <c r="AN56" s="356">
        <v>76533262.578020349</v>
      </c>
      <c r="AO56" s="343">
        <v>1</v>
      </c>
      <c r="AP56" s="356"/>
    </row>
    <row r="57" spans="2:42" hidden="1" outlineLevel="1" x14ac:dyDescent="0.25">
      <c r="B57" s="352">
        <v>40179</v>
      </c>
      <c r="C57" s="353"/>
      <c r="D57" s="354"/>
      <c r="E57" s="353"/>
      <c r="F57" s="354"/>
      <c r="G57" s="353"/>
      <c r="H57" s="353"/>
      <c r="I57" s="354"/>
      <c r="J57" s="353"/>
      <c r="K57" s="354"/>
      <c r="L57" s="353"/>
      <c r="M57" s="353">
        <v>401503</v>
      </c>
      <c r="N57" s="354">
        <v>0.45844561265688655</v>
      </c>
      <c r="O57" s="353">
        <v>53010977.584079653</v>
      </c>
      <c r="P57" s="354">
        <v>0.56428748389835748</v>
      </c>
      <c r="Q57" s="353">
        <v>30420882.973000001</v>
      </c>
      <c r="R57" s="353">
        <v>213689</v>
      </c>
      <c r="S57" s="354">
        <v>0.24399514953322249</v>
      </c>
      <c r="T57" s="353">
        <v>29718092.080070436</v>
      </c>
      <c r="U57" s="354">
        <v>0.31634103294029631</v>
      </c>
      <c r="V57" s="353">
        <v>17054026.214000002</v>
      </c>
      <c r="W57" s="353">
        <v>250933</v>
      </c>
      <c r="X57" s="354">
        <v>0.28652122878491698</v>
      </c>
      <c r="Y57" s="353">
        <v>9779222.7949330136</v>
      </c>
      <c r="Z57" s="354">
        <v>0.10409717528188871</v>
      </c>
      <c r="AA57" s="353">
        <v>5611905.4160000002</v>
      </c>
      <c r="AB57" s="353">
        <v>9667</v>
      </c>
      <c r="AC57" s="354">
        <v>1.1038009024973967E-2</v>
      </c>
      <c r="AD57" s="353">
        <v>1434917.5122872253</v>
      </c>
      <c r="AE57" s="354">
        <v>1.5274307879457426E-2</v>
      </c>
      <c r="AF57" s="353">
        <v>823441.85499999998</v>
      </c>
      <c r="AG57" s="353"/>
      <c r="AH57" s="354"/>
      <c r="AI57" s="353"/>
      <c r="AJ57" s="354"/>
      <c r="AK57" s="353"/>
      <c r="AL57" s="353">
        <v>875792</v>
      </c>
      <c r="AM57" s="354">
        <v>1</v>
      </c>
      <c r="AN57" s="353">
        <v>93943209.971370339</v>
      </c>
      <c r="AO57" s="354">
        <v>0.99999999999999989</v>
      </c>
      <c r="AP57" s="353">
        <v>53910256.458000004</v>
      </c>
    </row>
    <row r="58" spans="2:42" hidden="1" outlineLevel="1" x14ac:dyDescent="0.25">
      <c r="B58" s="352">
        <v>40210</v>
      </c>
      <c r="C58" s="353"/>
      <c r="D58" s="354"/>
      <c r="E58" s="353"/>
      <c r="F58" s="354"/>
      <c r="G58" s="353"/>
      <c r="H58" s="353"/>
      <c r="I58" s="354"/>
      <c r="J58" s="353"/>
      <c r="K58" s="354"/>
      <c r="L58" s="353"/>
      <c r="M58" s="353">
        <v>399656</v>
      </c>
      <c r="N58" s="354">
        <v>0.4499100531125676</v>
      </c>
      <c r="O58" s="353">
        <v>52066830.633952133</v>
      </c>
      <c r="P58" s="354">
        <v>0.56799650996090323</v>
      </c>
      <c r="Q58" s="353">
        <v>29963034.173999999</v>
      </c>
      <c r="R58" s="353">
        <v>212721</v>
      </c>
      <c r="S58" s="354">
        <v>0.23946923456211963</v>
      </c>
      <c r="T58" s="353">
        <v>27724296.097914256</v>
      </c>
      <c r="U58" s="354">
        <v>0.30244405570692379</v>
      </c>
      <c r="V58" s="353">
        <v>15954572.639</v>
      </c>
      <c r="W58" s="353">
        <v>265352</v>
      </c>
      <c r="X58" s="354">
        <v>0.29871822871050613</v>
      </c>
      <c r="Y58" s="353">
        <v>10411317.087776506</v>
      </c>
      <c r="Z58" s="354">
        <v>0.11357694904704245</v>
      </c>
      <c r="AA58" s="353">
        <v>5991427.6689999998</v>
      </c>
      <c r="AB58" s="353">
        <v>10573</v>
      </c>
      <c r="AC58" s="354">
        <v>1.1902483614806676E-2</v>
      </c>
      <c r="AD58" s="353">
        <v>1465074.7669343892</v>
      </c>
      <c r="AE58" s="354">
        <v>1.5982485285130403E-2</v>
      </c>
      <c r="AF58" s="353">
        <v>843110.37899999996</v>
      </c>
      <c r="AG58" s="353"/>
      <c r="AH58" s="354"/>
      <c r="AI58" s="353"/>
      <c r="AJ58" s="354"/>
      <c r="AK58" s="353"/>
      <c r="AL58" s="353">
        <v>888302</v>
      </c>
      <c r="AM58" s="354">
        <v>1</v>
      </c>
      <c r="AN58" s="353">
        <v>91667518.586577296</v>
      </c>
      <c r="AO58" s="354">
        <v>0.99999999999999978</v>
      </c>
      <c r="AP58" s="353">
        <v>52752144.861000001</v>
      </c>
    </row>
    <row r="59" spans="2:42" hidden="1" outlineLevel="1" x14ac:dyDescent="0.25">
      <c r="B59" s="352">
        <v>40238</v>
      </c>
      <c r="C59" s="353"/>
      <c r="D59" s="354"/>
      <c r="E59" s="353"/>
      <c r="F59" s="354"/>
      <c r="G59" s="353"/>
      <c r="H59" s="353"/>
      <c r="I59" s="354"/>
      <c r="J59" s="353"/>
      <c r="K59" s="354"/>
      <c r="L59" s="353"/>
      <c r="M59" s="353">
        <v>402294</v>
      </c>
      <c r="N59" s="354">
        <v>0.44120182405622199</v>
      </c>
      <c r="O59" s="353">
        <v>53960924.718896635</v>
      </c>
      <c r="P59" s="354">
        <v>0.5510775973216091</v>
      </c>
      <c r="Q59" s="353">
        <v>31079143.866999999</v>
      </c>
      <c r="R59" s="353">
        <v>214407</v>
      </c>
      <c r="S59" s="354">
        <v>0.23514335160460356</v>
      </c>
      <c r="T59" s="353">
        <v>30011992.285984457</v>
      </c>
      <c r="U59" s="354">
        <v>0.30649839093664</v>
      </c>
      <c r="V59" s="353">
        <v>17285601.217</v>
      </c>
      <c r="W59" s="353">
        <v>283774</v>
      </c>
      <c r="X59" s="354">
        <v>0.31121917408594296</v>
      </c>
      <c r="Y59" s="353">
        <v>12289694.346692391</v>
      </c>
      <c r="Z59" s="354">
        <v>0.12550888013267328</v>
      </c>
      <c r="AA59" s="353">
        <v>7078329.0070000002</v>
      </c>
      <c r="AB59" s="353">
        <v>11339</v>
      </c>
      <c r="AC59" s="354">
        <v>1.243565025323147E-2</v>
      </c>
      <c r="AD59" s="353">
        <v>1656311.4664866214</v>
      </c>
      <c r="AE59" s="354">
        <v>1.691513160907784E-2</v>
      </c>
      <c r="AF59" s="353">
        <v>953963.31</v>
      </c>
      <c r="AG59" s="353"/>
      <c r="AH59" s="354"/>
      <c r="AI59" s="353"/>
      <c r="AJ59" s="354"/>
      <c r="AK59" s="353"/>
      <c r="AL59" s="353">
        <v>911814</v>
      </c>
      <c r="AM59" s="354">
        <v>1</v>
      </c>
      <c r="AN59" s="353">
        <v>97918922.818060085</v>
      </c>
      <c r="AO59" s="354">
        <v>1.0000000000000002</v>
      </c>
      <c r="AP59" s="353">
        <v>56397037.401000001</v>
      </c>
    </row>
    <row r="60" spans="2:42" hidden="1" outlineLevel="1" x14ac:dyDescent="0.25">
      <c r="B60" s="352">
        <v>40269</v>
      </c>
      <c r="C60" s="353"/>
      <c r="D60" s="354"/>
      <c r="E60" s="353"/>
      <c r="F60" s="354"/>
      <c r="G60" s="353"/>
      <c r="H60" s="353"/>
      <c r="I60" s="354"/>
      <c r="J60" s="353"/>
      <c r="K60" s="354"/>
      <c r="L60" s="353"/>
      <c r="M60" s="353">
        <v>403577</v>
      </c>
      <c r="N60" s="354">
        <v>0.43827049215933278</v>
      </c>
      <c r="O60" s="353">
        <v>53052318.50451155</v>
      </c>
      <c r="P60" s="354">
        <v>0.56380649761620705</v>
      </c>
      <c r="Q60" s="353">
        <v>30697055.164999999</v>
      </c>
      <c r="R60" s="353">
        <v>214665</v>
      </c>
      <c r="S60" s="354">
        <v>0.23311867425394206</v>
      </c>
      <c r="T60" s="353">
        <v>28812854.780010276</v>
      </c>
      <c r="U60" s="354">
        <v>0.30620480306549702</v>
      </c>
      <c r="V60" s="353">
        <v>16671652.014</v>
      </c>
      <c r="W60" s="353">
        <v>290581</v>
      </c>
      <c r="X60" s="354">
        <v>0.31556079232005563</v>
      </c>
      <c r="Y60" s="353">
        <v>10581885.800594393</v>
      </c>
      <c r="Z60" s="354">
        <v>0.11245759166775038</v>
      </c>
      <c r="AA60" s="353">
        <v>6122875.3300000001</v>
      </c>
      <c r="AB60" s="353">
        <v>12017</v>
      </c>
      <c r="AC60" s="354">
        <v>1.3050041266669563E-2</v>
      </c>
      <c r="AD60" s="353">
        <v>1649618.9929452338</v>
      </c>
      <c r="AE60" s="354">
        <v>1.7531107650545646E-2</v>
      </c>
      <c r="AF60" s="353">
        <v>954500.13600000006</v>
      </c>
      <c r="AG60" s="353"/>
      <c r="AH60" s="354"/>
      <c r="AI60" s="353"/>
      <c r="AJ60" s="354"/>
      <c r="AK60" s="353"/>
      <c r="AL60" s="353">
        <v>920840</v>
      </c>
      <c r="AM60" s="354">
        <v>1</v>
      </c>
      <c r="AN60" s="353">
        <v>94096678.078061447</v>
      </c>
      <c r="AO60" s="354">
        <v>1</v>
      </c>
      <c r="AP60" s="353">
        <v>54446082.644999996</v>
      </c>
    </row>
    <row r="61" spans="2:42" hidden="1" outlineLevel="1" x14ac:dyDescent="0.25">
      <c r="B61" s="352">
        <v>40299</v>
      </c>
      <c r="C61" s="353"/>
      <c r="D61" s="354"/>
      <c r="E61" s="353"/>
      <c r="F61" s="354"/>
      <c r="G61" s="353"/>
      <c r="H61" s="353"/>
      <c r="I61" s="354"/>
      <c r="J61" s="353"/>
      <c r="K61" s="354"/>
      <c r="L61" s="353"/>
      <c r="M61" s="353">
        <v>404226</v>
      </c>
      <c r="N61" s="354">
        <v>0.43466376479342433</v>
      </c>
      <c r="O61" s="353">
        <v>53093625.383889988</v>
      </c>
      <c r="P61" s="354">
        <v>0.56029958168225025</v>
      </c>
      <c r="Q61" s="353">
        <v>30831499.243999999</v>
      </c>
      <c r="R61" s="353">
        <v>214850</v>
      </c>
      <c r="S61" s="354">
        <v>0.23102796422265567</v>
      </c>
      <c r="T61" s="353">
        <v>28751717.598600645</v>
      </c>
      <c r="U61" s="354">
        <v>0.30341825834387653</v>
      </c>
      <c r="V61" s="353">
        <v>16696139.187999999</v>
      </c>
      <c r="W61" s="353">
        <v>297968</v>
      </c>
      <c r="X61" s="354">
        <v>0.32040465647426702</v>
      </c>
      <c r="Y61" s="353">
        <v>11113923.608239217</v>
      </c>
      <c r="Z61" s="354">
        <v>0.11728577025057312</v>
      </c>
      <c r="AA61" s="353">
        <v>6453861.9249999998</v>
      </c>
      <c r="AB61" s="353">
        <v>12930</v>
      </c>
      <c r="AC61" s="354">
        <v>1.3903614509652959E-2</v>
      </c>
      <c r="AD61" s="353">
        <v>1800085.5838354982</v>
      </c>
      <c r="AE61" s="354">
        <v>1.8996389723300207E-2</v>
      </c>
      <c r="AF61" s="353">
        <v>1045310.749</v>
      </c>
      <c r="AG61" s="353"/>
      <c r="AH61" s="354"/>
      <c r="AI61" s="353"/>
      <c r="AJ61" s="354"/>
      <c r="AK61" s="353"/>
      <c r="AL61" s="353">
        <v>929974</v>
      </c>
      <c r="AM61" s="354">
        <v>1</v>
      </c>
      <c r="AN61" s="353">
        <v>94759352.174565345</v>
      </c>
      <c r="AO61" s="354">
        <v>1</v>
      </c>
      <c r="AP61" s="353">
        <v>55026811.105999991</v>
      </c>
    </row>
    <row r="62" spans="2:42" hidden="1" outlineLevel="1" x14ac:dyDescent="0.25">
      <c r="B62" s="352">
        <v>40330</v>
      </c>
      <c r="C62" s="353"/>
      <c r="D62" s="354"/>
      <c r="E62" s="353"/>
      <c r="F62" s="354"/>
      <c r="G62" s="353"/>
      <c r="H62" s="353"/>
      <c r="I62" s="354"/>
      <c r="J62" s="353"/>
      <c r="K62" s="354"/>
      <c r="L62" s="353"/>
      <c r="M62" s="353">
        <v>405141</v>
      </c>
      <c r="N62" s="354">
        <v>0.42909933210897239</v>
      </c>
      <c r="O62" s="353">
        <v>53050048.686818004</v>
      </c>
      <c r="P62" s="354">
        <v>0.55333693815810059</v>
      </c>
      <c r="Q62" s="353">
        <v>30806306.613000002</v>
      </c>
      <c r="R62" s="353">
        <v>215430</v>
      </c>
      <c r="S62" s="354">
        <v>0.22816962271464974</v>
      </c>
      <c r="T62" s="353">
        <v>29093221.645394824</v>
      </c>
      <c r="U62" s="354">
        <v>0.30345597383811457</v>
      </c>
      <c r="V62" s="353">
        <v>16894512.419</v>
      </c>
      <c r="W62" s="353">
        <v>309440</v>
      </c>
      <c r="X62" s="354">
        <v>0.32773897810342673</v>
      </c>
      <c r="Y62" s="353">
        <v>11565020.050733905</v>
      </c>
      <c r="Z62" s="354">
        <v>0.12062859399788385</v>
      </c>
      <c r="AA62" s="353">
        <v>6715838.392</v>
      </c>
      <c r="AB62" s="353">
        <v>14155</v>
      </c>
      <c r="AC62" s="354">
        <v>1.4992067072951155E-2</v>
      </c>
      <c r="AD62" s="353">
        <v>2164666.9934509913</v>
      </c>
      <c r="AE62" s="354">
        <v>2.257849400590093E-2</v>
      </c>
      <c r="AF62" s="353">
        <v>1257027.9720000001</v>
      </c>
      <c r="AG62" s="353"/>
      <c r="AH62" s="354"/>
      <c r="AI62" s="353"/>
      <c r="AJ62" s="354"/>
      <c r="AK62" s="353"/>
      <c r="AL62" s="353">
        <v>944166</v>
      </c>
      <c r="AM62" s="354">
        <v>1</v>
      </c>
      <c r="AN62" s="353">
        <v>95872957.376397729</v>
      </c>
      <c r="AO62" s="354">
        <v>1</v>
      </c>
      <c r="AP62" s="353">
        <v>55673685.396000005</v>
      </c>
    </row>
    <row r="63" spans="2:42" hidden="1" outlineLevel="1" x14ac:dyDescent="0.25">
      <c r="B63" s="352">
        <v>40360</v>
      </c>
      <c r="C63" s="353"/>
      <c r="D63" s="354"/>
      <c r="E63" s="353"/>
      <c r="F63" s="354"/>
      <c r="G63" s="353"/>
      <c r="H63" s="353"/>
      <c r="I63" s="354"/>
      <c r="J63" s="353"/>
      <c r="K63" s="354"/>
      <c r="L63" s="353"/>
      <c r="M63" s="353">
        <v>405859</v>
      </c>
      <c r="N63" s="354">
        <v>0.42549963778030092</v>
      </c>
      <c r="O63" s="353">
        <v>53468391.929365486</v>
      </c>
      <c r="P63" s="354">
        <v>0.50727639370041155</v>
      </c>
      <c r="Q63" s="353">
        <v>31248696.783</v>
      </c>
      <c r="R63" s="353">
        <v>215653</v>
      </c>
      <c r="S63" s="354">
        <v>0.22608904419080328</v>
      </c>
      <c r="T63" s="353">
        <v>29261743.583504241</v>
      </c>
      <c r="U63" s="354">
        <v>0.27761806971931396</v>
      </c>
      <c r="V63" s="353">
        <v>17101530.822000001</v>
      </c>
      <c r="W63" s="353">
        <v>317232</v>
      </c>
      <c r="X63" s="354">
        <v>0.33258373250887724</v>
      </c>
      <c r="Y63" s="353">
        <v>20523026.201424897</v>
      </c>
      <c r="Z63" s="354">
        <v>0.19471030161204672</v>
      </c>
      <c r="AA63" s="353">
        <v>11994335.339</v>
      </c>
      <c r="AB63" s="353">
        <v>15097</v>
      </c>
      <c r="AC63" s="354">
        <v>1.5827585520018537E-2</v>
      </c>
      <c r="AD63" s="353">
        <v>2149716.4668315495</v>
      </c>
      <c r="AE63" s="354">
        <v>2.0395234968227705E-2</v>
      </c>
      <c r="AF63" s="353">
        <v>1256365.4080000001</v>
      </c>
      <c r="AG63" s="353"/>
      <c r="AH63" s="354"/>
      <c r="AI63" s="353"/>
      <c r="AJ63" s="354"/>
      <c r="AK63" s="353"/>
      <c r="AL63" s="353">
        <v>953841</v>
      </c>
      <c r="AM63" s="354">
        <v>1</v>
      </c>
      <c r="AN63" s="353">
        <v>105402878.18112618</v>
      </c>
      <c r="AO63" s="354">
        <v>0.99999999999999989</v>
      </c>
      <c r="AP63" s="353">
        <v>61600928.352000006</v>
      </c>
    </row>
    <row r="64" spans="2:42" hidden="1" outlineLevel="1" x14ac:dyDescent="0.25">
      <c r="B64" s="352">
        <v>40391</v>
      </c>
      <c r="C64" s="353"/>
      <c r="D64" s="354"/>
      <c r="E64" s="353"/>
      <c r="F64" s="354"/>
      <c r="G64" s="353"/>
      <c r="H64" s="353"/>
      <c r="I64" s="354"/>
      <c r="J64" s="353"/>
      <c r="K64" s="354"/>
      <c r="L64" s="353"/>
      <c r="M64" s="353">
        <v>407004</v>
      </c>
      <c r="N64" s="354">
        <v>0.42148364928762716</v>
      </c>
      <c r="O64" s="353">
        <v>53739558.545183375</v>
      </c>
      <c r="P64" s="354">
        <v>0.5033315246396296</v>
      </c>
      <c r="Q64" s="353">
        <v>31376299.859999999</v>
      </c>
      <c r="R64" s="353">
        <v>215989</v>
      </c>
      <c r="S64" s="354">
        <v>0.22367306445633287</v>
      </c>
      <c r="T64" s="353">
        <v>29120346.673596233</v>
      </c>
      <c r="U64" s="354">
        <v>0.27274486218438554</v>
      </c>
      <c r="V64" s="353">
        <v>17002162.912999999</v>
      </c>
      <c r="W64" s="353">
        <v>326831</v>
      </c>
      <c r="X64" s="354">
        <v>0.33845839986910314</v>
      </c>
      <c r="Y64" s="353">
        <v>21704785.923430644</v>
      </c>
      <c r="Z64" s="354">
        <v>0.20328977919741933</v>
      </c>
      <c r="AA64" s="353">
        <v>12672524.486</v>
      </c>
      <c r="AB64" s="353">
        <v>15822</v>
      </c>
      <c r="AC64" s="354">
        <v>1.6384886386936828E-2</v>
      </c>
      <c r="AD64" s="353">
        <v>2203027.3782208012</v>
      </c>
      <c r="AE64" s="354">
        <v>2.0633833978565632E-2</v>
      </c>
      <c r="AF64" s="353">
        <v>1286256.335</v>
      </c>
      <c r="AG64" s="353"/>
      <c r="AH64" s="354"/>
      <c r="AI64" s="353"/>
      <c r="AJ64" s="354"/>
      <c r="AK64" s="353"/>
      <c r="AL64" s="353">
        <v>965646</v>
      </c>
      <c r="AM64" s="354">
        <v>0.99999999999999989</v>
      </c>
      <c r="AN64" s="353">
        <v>106767718.52043104</v>
      </c>
      <c r="AO64" s="354">
        <v>1</v>
      </c>
      <c r="AP64" s="353">
        <v>62337243.594000004</v>
      </c>
    </row>
    <row r="65" spans="2:42" hidden="1" outlineLevel="1" x14ac:dyDescent="0.25">
      <c r="B65" s="352">
        <v>40422</v>
      </c>
      <c r="C65" s="353"/>
      <c r="D65" s="354"/>
      <c r="E65" s="353"/>
      <c r="F65" s="354"/>
      <c r="G65" s="353"/>
      <c r="H65" s="353"/>
      <c r="I65" s="354"/>
      <c r="J65" s="353"/>
      <c r="K65" s="354"/>
      <c r="L65" s="353"/>
      <c r="M65" s="353">
        <v>405711</v>
      </c>
      <c r="N65" s="354">
        <v>0.41614713792488012</v>
      </c>
      <c r="O65" s="353">
        <v>52658150.963714309</v>
      </c>
      <c r="P65" s="354">
        <v>0.50140057751931022</v>
      </c>
      <c r="Q65" s="353">
        <v>30867869.701000001</v>
      </c>
      <c r="R65" s="353">
        <v>216293</v>
      </c>
      <c r="S65" s="354">
        <v>0.22185672289680611</v>
      </c>
      <c r="T65" s="353">
        <v>29118964.431015573</v>
      </c>
      <c r="U65" s="354">
        <v>0.27726506372273146</v>
      </c>
      <c r="V65" s="353">
        <v>17069349.824000001</v>
      </c>
      <c r="W65" s="353">
        <v>337133</v>
      </c>
      <c r="X65" s="354">
        <v>0.34580510030546036</v>
      </c>
      <c r="Y65" s="353">
        <v>21202282.485433549</v>
      </c>
      <c r="Z65" s="354">
        <v>0.20188397215560108</v>
      </c>
      <c r="AA65" s="353">
        <v>12428641.742000001</v>
      </c>
      <c r="AB65" s="353">
        <v>15785</v>
      </c>
      <c r="AC65" s="354">
        <v>1.6191038872853419E-2</v>
      </c>
      <c r="AD65" s="353">
        <v>2042720.8103287194</v>
      </c>
      <c r="AE65" s="354">
        <v>1.945038660235723E-2</v>
      </c>
      <c r="AF65" s="353">
        <v>1197429.8119999999</v>
      </c>
      <c r="AG65" s="353"/>
      <c r="AH65" s="354"/>
      <c r="AI65" s="353"/>
      <c r="AJ65" s="354"/>
      <c r="AK65" s="353"/>
      <c r="AL65" s="353">
        <v>974922</v>
      </c>
      <c r="AM65" s="354">
        <v>1</v>
      </c>
      <c r="AN65" s="353">
        <v>105022118.69049215</v>
      </c>
      <c r="AO65" s="354">
        <v>0.99999999999999989</v>
      </c>
      <c r="AP65" s="353">
        <v>61563291.079000004</v>
      </c>
    </row>
    <row r="66" spans="2:42" hidden="1" outlineLevel="1" x14ac:dyDescent="0.25">
      <c r="B66" s="352">
        <v>40452</v>
      </c>
      <c r="C66" s="353"/>
      <c r="D66" s="354"/>
      <c r="E66" s="353"/>
      <c r="F66" s="354"/>
      <c r="G66" s="353"/>
      <c r="H66" s="353"/>
      <c r="I66" s="354"/>
      <c r="J66" s="353"/>
      <c r="K66" s="354"/>
      <c r="L66" s="353"/>
      <c r="M66" s="353">
        <v>405916</v>
      </c>
      <c r="N66" s="354">
        <v>0.41141747446859406</v>
      </c>
      <c r="O66" s="353">
        <v>53228502.420674577</v>
      </c>
      <c r="P66" s="354">
        <v>0.49481363331721662</v>
      </c>
      <c r="Q66" s="353">
        <v>31232799.296999998</v>
      </c>
      <c r="R66" s="353">
        <v>216539</v>
      </c>
      <c r="S66" s="354">
        <v>0.21947380370311809</v>
      </c>
      <c r="T66" s="353">
        <v>29061796.817695957</v>
      </c>
      <c r="U66" s="354">
        <v>0.2701592684393358</v>
      </c>
      <c r="V66" s="353">
        <v>17052541.888999999</v>
      </c>
      <c r="W66" s="353">
        <v>348007</v>
      </c>
      <c r="X66" s="354">
        <v>0.35272362024998277</v>
      </c>
      <c r="Y66" s="353">
        <v>23132978.616668418</v>
      </c>
      <c r="Z66" s="354">
        <v>0.2150448101714246</v>
      </c>
      <c r="AA66" s="353">
        <v>13573699.153999999</v>
      </c>
      <c r="AB66" s="353">
        <v>16166</v>
      </c>
      <c r="AC66" s="354">
        <v>1.6385101578305097E-2</v>
      </c>
      <c r="AD66" s="353">
        <v>2149551.2601012327</v>
      </c>
      <c r="AE66" s="354">
        <v>1.9982288072022986E-2</v>
      </c>
      <c r="AF66" s="353">
        <v>1261288.5959999999</v>
      </c>
      <c r="AG66" s="353"/>
      <c r="AH66" s="354"/>
      <c r="AI66" s="353"/>
      <c r="AJ66" s="354"/>
      <c r="AK66" s="353"/>
      <c r="AL66" s="353">
        <v>986628</v>
      </c>
      <c r="AM66" s="354">
        <v>1.0000000000000002</v>
      </c>
      <c r="AN66" s="353">
        <v>107572829.11514018</v>
      </c>
      <c r="AO66" s="354">
        <v>1</v>
      </c>
      <c r="AP66" s="353">
        <v>63120328.935999997</v>
      </c>
    </row>
    <row r="67" spans="2:42" hidden="1" outlineLevel="1" x14ac:dyDescent="0.25">
      <c r="B67" s="352">
        <v>40483</v>
      </c>
      <c r="C67" s="353"/>
      <c r="D67" s="354"/>
      <c r="E67" s="353"/>
      <c r="F67" s="354"/>
      <c r="G67" s="353"/>
      <c r="H67" s="353"/>
      <c r="I67" s="354"/>
      <c r="J67" s="353"/>
      <c r="K67" s="354"/>
      <c r="L67" s="353"/>
      <c r="M67" s="353">
        <v>406466</v>
      </c>
      <c r="N67" s="354">
        <v>0.40554460266275022</v>
      </c>
      <c r="O67" s="353">
        <v>53516620.321687669</v>
      </c>
      <c r="P67" s="354">
        <v>0.48876839213209133</v>
      </c>
      <c r="Q67" s="353">
        <v>31423959.846999999</v>
      </c>
      <c r="R67" s="353">
        <v>216508</v>
      </c>
      <c r="S67" s="354">
        <v>0.21601720890137607</v>
      </c>
      <c r="T67" s="353">
        <v>29035200.936084803</v>
      </c>
      <c r="U67" s="354">
        <v>0.26517908626250164</v>
      </c>
      <c r="V67" s="353">
        <v>17048927.658</v>
      </c>
      <c r="W67" s="353">
        <v>362534</v>
      </c>
      <c r="X67" s="354">
        <v>0.36171218990453691</v>
      </c>
      <c r="Y67" s="353">
        <v>24618203.431770813</v>
      </c>
      <c r="Z67" s="354">
        <v>0.22483855737151492</v>
      </c>
      <c r="AA67" s="353">
        <v>14455349.226</v>
      </c>
      <c r="AB67" s="353">
        <v>16764</v>
      </c>
      <c r="AC67" s="354">
        <v>1.6725998531336803E-2</v>
      </c>
      <c r="AD67" s="353">
        <v>2322776.3654492679</v>
      </c>
      <c r="AE67" s="354">
        <v>2.1213964233892033E-2</v>
      </c>
      <c r="AF67" s="353">
        <v>1363890.8959999999</v>
      </c>
      <c r="AG67" s="353"/>
      <c r="AH67" s="354"/>
      <c r="AI67" s="353"/>
      <c r="AJ67" s="354"/>
      <c r="AK67" s="353"/>
      <c r="AL67" s="353">
        <v>1002272</v>
      </c>
      <c r="AM67" s="354">
        <v>1</v>
      </c>
      <c r="AN67" s="353">
        <v>109492801.05499256</v>
      </c>
      <c r="AO67" s="354">
        <v>0.99999999999999989</v>
      </c>
      <c r="AP67" s="353">
        <v>64292127.626999989</v>
      </c>
    </row>
    <row r="68" spans="2:42" hidden="1" outlineLevel="1" x14ac:dyDescent="0.25">
      <c r="B68" s="352">
        <v>40513</v>
      </c>
      <c r="C68" s="353"/>
      <c r="D68" s="354"/>
      <c r="E68" s="353"/>
      <c r="F68" s="354"/>
      <c r="G68" s="353"/>
      <c r="H68" s="353"/>
      <c r="I68" s="354"/>
      <c r="J68" s="353"/>
      <c r="K68" s="354"/>
      <c r="L68" s="353"/>
      <c r="M68" s="353">
        <v>407118</v>
      </c>
      <c r="N68" s="354">
        <v>0.40265059168525213</v>
      </c>
      <c r="O68" s="353">
        <v>53536340.262448125</v>
      </c>
      <c r="P68" s="354">
        <v>0.49036701508285668</v>
      </c>
      <c r="Q68" s="353">
        <v>31472596.182999998</v>
      </c>
      <c r="R68" s="353">
        <v>216390</v>
      </c>
      <c r="S68" s="354">
        <v>0.21401549804914474</v>
      </c>
      <c r="T68" s="353">
        <v>28883134.271462638</v>
      </c>
      <c r="U68" s="354">
        <v>0.26455555739339642</v>
      </c>
      <c r="V68" s="353">
        <v>16979629.480999999</v>
      </c>
      <c r="W68" s="353">
        <v>370216</v>
      </c>
      <c r="X68" s="354">
        <v>0.36615352662212752</v>
      </c>
      <c r="Y68" s="353">
        <v>24358348.14573469</v>
      </c>
      <c r="Z68" s="354">
        <v>0.22311070226350871</v>
      </c>
      <c r="AA68" s="353">
        <v>14319627.585999999</v>
      </c>
      <c r="AB68" s="353">
        <v>17371</v>
      </c>
      <c r="AC68" s="354">
        <v>1.7180383643475638E-2</v>
      </c>
      <c r="AD68" s="353">
        <v>2398240.5867676875</v>
      </c>
      <c r="AE68" s="354">
        <v>2.1966725260238257E-2</v>
      </c>
      <c r="AF68" s="353">
        <v>1409862.108</v>
      </c>
      <c r="AG68" s="353"/>
      <c r="AH68" s="354"/>
      <c r="AI68" s="353"/>
      <c r="AJ68" s="354"/>
      <c r="AK68" s="353"/>
      <c r="AL68" s="353">
        <v>1011095</v>
      </c>
      <c r="AM68" s="354">
        <v>1</v>
      </c>
      <c r="AN68" s="353">
        <v>109176063.26641314</v>
      </c>
      <c r="AO68" s="354">
        <v>1.0000000000000002</v>
      </c>
      <c r="AP68" s="353">
        <v>64181715.358000003</v>
      </c>
    </row>
    <row r="69" spans="2:42" collapsed="1" x14ac:dyDescent="0.25">
      <c r="B69" s="355" t="s">
        <v>701</v>
      </c>
      <c r="C69" s="356"/>
      <c r="D69" s="343"/>
      <c r="E69" s="356"/>
      <c r="F69" s="343"/>
      <c r="G69" s="356"/>
      <c r="H69" s="356"/>
      <c r="I69" s="343"/>
      <c r="J69" s="356"/>
      <c r="K69" s="343"/>
      <c r="L69" s="356"/>
      <c r="M69" s="356">
        <v>404539.25</v>
      </c>
      <c r="N69" s="343">
        <v>0.42713121669025311</v>
      </c>
      <c r="O69" s="356">
        <v>53198524.162935115</v>
      </c>
      <c r="P69" s="343">
        <v>0.52685149188284774</v>
      </c>
      <c r="Q69" s="356"/>
      <c r="R69" s="356">
        <v>215261.16666666666</v>
      </c>
      <c r="S69" s="343">
        <v>0.2272826778229719</v>
      </c>
      <c r="T69" s="356">
        <v>29049446.766777862</v>
      </c>
      <c r="U69" s="343">
        <v>0.28769114572752608</v>
      </c>
      <c r="V69" s="356"/>
      <c r="W69" s="356">
        <v>313333.41666666669</v>
      </c>
      <c r="X69" s="343">
        <v>0.3308318871173746</v>
      </c>
      <c r="Y69" s="356">
        <v>16773390.707786037</v>
      </c>
      <c r="Z69" s="343">
        <v>0.16611524581518392</v>
      </c>
      <c r="AA69" s="356"/>
      <c r="AB69" s="356">
        <v>13973.833333333334</v>
      </c>
      <c r="AC69" s="343">
        <v>1.4754218369400452E-2</v>
      </c>
      <c r="AD69" s="356">
        <v>1953059.0153032681</v>
      </c>
      <c r="AE69" s="343">
        <v>1.9342116574442222E-2</v>
      </c>
      <c r="AF69" s="356"/>
      <c r="AG69" s="356"/>
      <c r="AH69" s="343"/>
      <c r="AI69" s="356"/>
      <c r="AJ69" s="343"/>
      <c r="AK69" s="356"/>
      <c r="AL69" s="356">
        <v>947107.66666666663</v>
      </c>
      <c r="AM69" s="343">
        <v>1</v>
      </c>
      <c r="AN69" s="356">
        <v>100974420.65280229</v>
      </c>
      <c r="AO69" s="343">
        <v>0.99999999999999989</v>
      </c>
      <c r="AP69" s="356"/>
    </row>
    <row r="70" spans="2:42" hidden="1" outlineLevel="1" x14ac:dyDescent="0.25">
      <c r="B70" s="352">
        <v>40544</v>
      </c>
      <c r="C70" s="353"/>
      <c r="D70" s="354"/>
      <c r="E70" s="353"/>
      <c r="F70" s="354"/>
      <c r="G70" s="353"/>
      <c r="H70" s="353"/>
      <c r="I70" s="354"/>
      <c r="J70" s="353"/>
      <c r="K70" s="354"/>
      <c r="L70" s="353"/>
      <c r="M70" s="353">
        <v>408161</v>
      </c>
      <c r="N70" s="354">
        <v>0.4019207780007602</v>
      </c>
      <c r="O70" s="353">
        <v>54052480.264270552</v>
      </c>
      <c r="P70" s="354">
        <v>0.4931994920469075</v>
      </c>
      <c r="Q70" s="353">
        <v>31862037.416999999</v>
      </c>
      <c r="R70" s="353">
        <v>216183</v>
      </c>
      <c r="S70" s="354">
        <v>0.2128778583709329</v>
      </c>
      <c r="T70" s="353">
        <v>28547744.097263008</v>
      </c>
      <c r="U70" s="354">
        <v>0.26048264240636743</v>
      </c>
      <c r="V70" s="353">
        <v>16827891.822000001</v>
      </c>
      <c r="W70" s="353">
        <v>372853</v>
      </c>
      <c r="X70" s="354">
        <v>0.36715258890466618</v>
      </c>
      <c r="Y70" s="353">
        <v>24246300.573646609</v>
      </c>
      <c r="Z70" s="354">
        <v>0.22123430910983985</v>
      </c>
      <c r="AA70" s="353">
        <v>14292342.040999999</v>
      </c>
      <c r="AB70" s="353">
        <v>18329</v>
      </c>
      <c r="AC70" s="354">
        <v>1.8048774723640755E-2</v>
      </c>
      <c r="AD70" s="353">
        <v>2749046.7065069708</v>
      </c>
      <c r="AE70" s="354">
        <v>2.5083556436885351E-2</v>
      </c>
      <c r="AF70" s="353">
        <v>1620466.4169999999</v>
      </c>
      <c r="AG70" s="353"/>
      <c r="AH70" s="354"/>
      <c r="AI70" s="353"/>
      <c r="AJ70" s="354"/>
      <c r="AK70" s="353"/>
      <c r="AL70" s="353">
        <v>1015526</v>
      </c>
      <c r="AM70" s="354">
        <v>1</v>
      </c>
      <c r="AN70" s="353">
        <v>109595571.64168712</v>
      </c>
      <c r="AO70" s="354">
        <v>1.0000000000000002</v>
      </c>
      <c r="AP70" s="353">
        <v>64602737.697000004</v>
      </c>
    </row>
    <row r="71" spans="2:42" hidden="1" outlineLevel="1" x14ac:dyDescent="0.25">
      <c r="B71" s="352">
        <v>40575</v>
      </c>
      <c r="C71" s="353"/>
      <c r="D71" s="354"/>
      <c r="E71" s="353"/>
      <c r="F71" s="354"/>
      <c r="G71" s="353"/>
      <c r="H71" s="353"/>
      <c r="I71" s="354"/>
      <c r="J71" s="353"/>
      <c r="K71" s="354"/>
      <c r="L71" s="353"/>
      <c r="M71" s="353">
        <v>407627</v>
      </c>
      <c r="N71" s="354">
        <v>0.39832102587253987</v>
      </c>
      <c r="O71" s="353">
        <v>52943633.419911616</v>
      </c>
      <c r="P71" s="354">
        <v>0.48441660651244034</v>
      </c>
      <c r="Q71" s="353">
        <v>31280217.890999999</v>
      </c>
      <c r="R71" s="353">
        <v>215873</v>
      </c>
      <c r="S71" s="354">
        <v>0.21094469899732549</v>
      </c>
      <c r="T71" s="353">
        <v>28337000.669279858</v>
      </c>
      <c r="U71" s="354">
        <v>0.25927411505895498</v>
      </c>
      <c r="V71" s="353">
        <v>16742099.060000001</v>
      </c>
      <c r="W71" s="353">
        <v>381231</v>
      </c>
      <c r="X71" s="354">
        <v>0.37252763682095208</v>
      </c>
      <c r="Y71" s="353">
        <v>25576621.743073456</v>
      </c>
      <c r="Z71" s="354">
        <v>0.23401756756218911</v>
      </c>
      <c r="AA71" s="353">
        <v>15111208.834000001</v>
      </c>
      <c r="AB71" s="353">
        <v>18632</v>
      </c>
      <c r="AC71" s="354">
        <v>1.8206638309182569E-2</v>
      </c>
      <c r="AD71" s="353">
        <v>2436341.2660665195</v>
      </c>
      <c r="AE71" s="354">
        <v>2.2291710866415564E-2</v>
      </c>
      <c r="AF71" s="353">
        <v>1439441.926</v>
      </c>
      <c r="AG71" s="353"/>
      <c r="AH71" s="354"/>
      <c r="AI71" s="353"/>
      <c r="AJ71" s="354"/>
      <c r="AK71" s="353"/>
      <c r="AL71" s="353">
        <v>1023363</v>
      </c>
      <c r="AM71" s="354">
        <v>1</v>
      </c>
      <c r="AN71" s="353">
        <v>109293597.09833145</v>
      </c>
      <c r="AO71" s="354">
        <v>1</v>
      </c>
      <c r="AP71" s="353">
        <v>64572967.710999995</v>
      </c>
    </row>
    <row r="72" spans="2:42" hidden="1" outlineLevel="1" x14ac:dyDescent="0.25">
      <c r="B72" s="352">
        <v>40603</v>
      </c>
      <c r="C72" s="353"/>
      <c r="D72" s="354"/>
      <c r="E72" s="353"/>
      <c r="F72" s="354"/>
      <c r="G72" s="353"/>
      <c r="H72" s="353"/>
      <c r="I72" s="354"/>
      <c r="J72" s="353"/>
      <c r="K72" s="354"/>
      <c r="L72" s="353"/>
      <c r="M72" s="353">
        <v>408158</v>
      </c>
      <c r="N72" s="354">
        <v>0.39701768379277474</v>
      </c>
      <c r="O72" s="353">
        <v>52925075.466887906</v>
      </c>
      <c r="P72" s="354">
        <v>0.48977940697454192</v>
      </c>
      <c r="Q72" s="353">
        <v>31508366.419</v>
      </c>
      <c r="R72" s="353">
        <v>215968</v>
      </c>
      <c r="S72" s="354">
        <v>0.21007334202283914</v>
      </c>
      <c r="T72" s="353">
        <v>28394124.088607218</v>
      </c>
      <c r="U72" s="354">
        <v>0.26276499627062977</v>
      </c>
      <c r="V72" s="353">
        <v>16904132.078000002</v>
      </c>
      <c r="W72" s="353">
        <v>384417</v>
      </c>
      <c r="X72" s="354">
        <v>0.37392467365717952</v>
      </c>
      <c r="Y72" s="353">
        <v>23907964.852725081</v>
      </c>
      <c r="Z72" s="354">
        <v>0.22124916675578299</v>
      </c>
      <c r="AA72" s="353">
        <v>14233346.107999999</v>
      </c>
      <c r="AB72" s="353">
        <v>19517</v>
      </c>
      <c r="AC72" s="354">
        <v>1.8984300527206583E-2</v>
      </c>
      <c r="AD72" s="353">
        <v>2831840.7545650122</v>
      </c>
      <c r="AE72" s="354">
        <v>2.6206429999045364E-2</v>
      </c>
      <c r="AF72" s="353">
        <v>1685905.5060000001</v>
      </c>
      <c r="AG72" s="353"/>
      <c r="AH72" s="354"/>
      <c r="AI72" s="353"/>
      <c r="AJ72" s="354"/>
      <c r="AK72" s="353"/>
      <c r="AL72" s="353">
        <v>1028060</v>
      </c>
      <c r="AM72" s="354">
        <v>1</v>
      </c>
      <c r="AN72" s="353">
        <v>108059005.16278522</v>
      </c>
      <c r="AO72" s="354">
        <v>1</v>
      </c>
      <c r="AP72" s="353">
        <v>64331750.111000001</v>
      </c>
    </row>
    <row r="73" spans="2:42" hidden="1" outlineLevel="1" x14ac:dyDescent="0.25">
      <c r="B73" s="352">
        <v>40634</v>
      </c>
      <c r="C73" s="353"/>
      <c r="D73" s="354"/>
      <c r="E73" s="353"/>
      <c r="F73" s="354"/>
      <c r="G73" s="353"/>
      <c r="H73" s="353"/>
      <c r="I73" s="354"/>
      <c r="J73" s="353"/>
      <c r="K73" s="354"/>
      <c r="L73" s="353"/>
      <c r="M73" s="353">
        <v>403355</v>
      </c>
      <c r="N73" s="354">
        <v>0.39436004180643697</v>
      </c>
      <c r="O73" s="353">
        <v>51190519.777010426</v>
      </c>
      <c r="P73" s="354">
        <v>0.48945379262799221</v>
      </c>
      <c r="Q73" s="353">
        <v>30572922.061000001</v>
      </c>
      <c r="R73" s="353">
        <v>215453</v>
      </c>
      <c r="S73" s="354">
        <v>0.21064832241405776</v>
      </c>
      <c r="T73" s="353">
        <v>28318212.240923963</v>
      </c>
      <c r="U73" s="354">
        <v>0.2707621731942127</v>
      </c>
      <c r="V73" s="353">
        <v>16912711.563000001</v>
      </c>
      <c r="W73" s="353">
        <v>383911</v>
      </c>
      <c r="X73" s="354">
        <v>0.3753496498368708</v>
      </c>
      <c r="Y73" s="353">
        <v>22657095.058509961</v>
      </c>
      <c r="Z73" s="354">
        <v>0.21663388366884609</v>
      </c>
      <c r="AA73" s="353">
        <v>13531677.435000001</v>
      </c>
      <c r="AB73" s="353">
        <v>20090</v>
      </c>
      <c r="AC73" s="354">
        <v>1.964198594263445E-2</v>
      </c>
      <c r="AD73" s="353">
        <v>2421205.5465056528</v>
      </c>
      <c r="AE73" s="354">
        <v>2.3150150508949013E-2</v>
      </c>
      <c r="AF73" s="353">
        <v>1446035.8829999999</v>
      </c>
      <c r="AG73" s="353"/>
      <c r="AH73" s="354"/>
      <c r="AI73" s="353"/>
      <c r="AJ73" s="354"/>
      <c r="AK73" s="353"/>
      <c r="AL73" s="353">
        <v>1022809</v>
      </c>
      <c r="AM73" s="354">
        <v>1</v>
      </c>
      <c r="AN73" s="353">
        <v>104587032.62295</v>
      </c>
      <c r="AO73" s="354">
        <v>1</v>
      </c>
      <c r="AP73" s="353">
        <v>62463346.942000002</v>
      </c>
    </row>
    <row r="74" spans="2:42" hidden="1" outlineLevel="1" x14ac:dyDescent="0.25">
      <c r="B74" s="352">
        <v>40664</v>
      </c>
      <c r="C74" s="353"/>
      <c r="D74" s="354"/>
      <c r="E74" s="353"/>
      <c r="F74" s="354"/>
      <c r="G74" s="353"/>
      <c r="H74" s="353"/>
      <c r="I74" s="354"/>
      <c r="J74" s="353"/>
      <c r="K74" s="354"/>
      <c r="L74" s="353"/>
      <c r="M74" s="353">
        <v>406131</v>
      </c>
      <c r="N74" s="354">
        <v>0.3934630632166759</v>
      </c>
      <c r="O74" s="353">
        <v>53274560.9034523</v>
      </c>
      <c r="P74" s="354">
        <v>0.48762634671125832</v>
      </c>
      <c r="Q74" s="353">
        <v>31944810.620999999</v>
      </c>
      <c r="R74" s="353">
        <v>215354</v>
      </c>
      <c r="S74" s="354">
        <v>0.20863673178349848</v>
      </c>
      <c r="T74" s="353">
        <v>27962919.905715816</v>
      </c>
      <c r="U74" s="354">
        <v>0.25594685804571543</v>
      </c>
      <c r="V74" s="353">
        <v>16767293.163000001</v>
      </c>
      <c r="W74" s="353">
        <v>389170</v>
      </c>
      <c r="X74" s="354">
        <v>0.37703110649527805</v>
      </c>
      <c r="Y74" s="353">
        <v>24729322.556737605</v>
      </c>
      <c r="Z74" s="354">
        <v>0.22634948107483785</v>
      </c>
      <c r="AA74" s="353">
        <v>14828344.194</v>
      </c>
      <c r="AB74" s="353">
        <v>21541</v>
      </c>
      <c r="AC74" s="354">
        <v>2.0869098504547587E-2</v>
      </c>
      <c r="AD74" s="353">
        <v>3286031.8485092749</v>
      </c>
      <c r="AE74" s="354">
        <v>3.0077314168188384E-2</v>
      </c>
      <c r="AF74" s="353">
        <v>1970390.057</v>
      </c>
      <c r="AG74" s="353"/>
      <c r="AH74" s="354"/>
      <c r="AI74" s="353"/>
      <c r="AJ74" s="354"/>
      <c r="AK74" s="353"/>
      <c r="AL74" s="353">
        <v>1032196</v>
      </c>
      <c r="AM74" s="354">
        <v>1</v>
      </c>
      <c r="AN74" s="353">
        <v>109252835.214415</v>
      </c>
      <c r="AO74" s="354">
        <v>1</v>
      </c>
      <c r="AP74" s="353">
        <v>65510838.034999996</v>
      </c>
    </row>
    <row r="75" spans="2:42" hidden="1" outlineLevel="1" x14ac:dyDescent="0.25">
      <c r="B75" s="352">
        <v>40695</v>
      </c>
      <c r="C75" s="353"/>
      <c r="D75" s="354"/>
      <c r="E75" s="353"/>
      <c r="F75" s="354"/>
      <c r="G75" s="353"/>
      <c r="H75" s="353"/>
      <c r="I75" s="354"/>
      <c r="J75" s="353"/>
      <c r="K75" s="354"/>
      <c r="L75" s="353"/>
      <c r="M75" s="353">
        <v>406612</v>
      </c>
      <c r="N75" s="354">
        <v>0.39025410877652328</v>
      </c>
      <c r="O75" s="353">
        <v>52201140.732389599</v>
      </c>
      <c r="P75" s="354">
        <v>0.47884412502391199</v>
      </c>
      <c r="Q75" s="353">
        <v>31354279.932999998</v>
      </c>
      <c r="R75" s="353">
        <v>215443</v>
      </c>
      <c r="S75" s="354">
        <v>0.20677578614782766</v>
      </c>
      <c r="T75" s="353">
        <v>28022582.704681188</v>
      </c>
      <c r="U75" s="354">
        <v>0.25705279440009315</v>
      </c>
      <c r="V75" s="353">
        <v>16831584.333999999</v>
      </c>
      <c r="W75" s="353">
        <v>397492</v>
      </c>
      <c r="X75" s="354">
        <v>0.38150100391970176</v>
      </c>
      <c r="Y75" s="353">
        <v>25708468.07755347</v>
      </c>
      <c r="Z75" s="354">
        <v>0.23582528522528967</v>
      </c>
      <c r="AA75" s="353">
        <v>15441626.244999999</v>
      </c>
      <c r="AB75" s="353">
        <v>22369</v>
      </c>
      <c r="AC75" s="354">
        <v>2.1469101155947311E-2</v>
      </c>
      <c r="AD75" s="353">
        <v>3082700.8154901462</v>
      </c>
      <c r="AE75" s="354">
        <v>2.8277795350705286E-2</v>
      </c>
      <c r="AF75" s="353">
        <v>1851604.4469999999</v>
      </c>
      <c r="AG75" s="353"/>
      <c r="AH75" s="354"/>
      <c r="AI75" s="353"/>
      <c r="AJ75" s="354"/>
      <c r="AK75" s="353"/>
      <c r="AL75" s="353">
        <v>1041916</v>
      </c>
      <c r="AM75" s="354">
        <v>1</v>
      </c>
      <c r="AN75" s="353">
        <v>109014892.33011439</v>
      </c>
      <c r="AO75" s="354">
        <v>1</v>
      </c>
      <c r="AP75" s="353">
        <v>65479094.958999991</v>
      </c>
    </row>
    <row r="76" spans="2:42" hidden="1" outlineLevel="1" x14ac:dyDescent="0.25">
      <c r="B76" s="352">
        <v>40725</v>
      </c>
      <c r="C76" s="353"/>
      <c r="D76" s="354"/>
      <c r="E76" s="353"/>
      <c r="F76" s="354"/>
      <c r="G76" s="353"/>
      <c r="H76" s="353"/>
      <c r="I76" s="354"/>
      <c r="J76" s="353"/>
      <c r="K76" s="354"/>
      <c r="L76" s="353"/>
      <c r="M76" s="353">
        <v>405603</v>
      </c>
      <c r="N76" s="354">
        <v>0.38809004847262435</v>
      </c>
      <c r="O76" s="353">
        <v>53674846.195127852</v>
      </c>
      <c r="P76" s="354">
        <v>0.45769448394037165</v>
      </c>
      <c r="Q76" s="353">
        <v>32280384.068</v>
      </c>
      <c r="R76" s="353">
        <v>214230</v>
      </c>
      <c r="S76" s="354">
        <v>0.2049800693887627</v>
      </c>
      <c r="T76" s="353">
        <v>28556116.68601447</v>
      </c>
      <c r="U76" s="354">
        <v>0.24350283263844377</v>
      </c>
      <c r="V76" s="353">
        <v>17173824.975000001</v>
      </c>
      <c r="W76" s="353">
        <v>402342</v>
      </c>
      <c r="X76" s="354">
        <v>0.38496985052519983</v>
      </c>
      <c r="Y76" s="353">
        <v>31936200.928060357</v>
      </c>
      <c r="Z76" s="354">
        <v>0.27232538216590946</v>
      </c>
      <c r="AA76" s="353">
        <v>19206628.517999999</v>
      </c>
      <c r="AB76" s="353">
        <v>22951</v>
      </c>
      <c r="AC76" s="354">
        <v>2.196003161341312E-2</v>
      </c>
      <c r="AD76" s="353">
        <v>3105051.7810568833</v>
      </c>
      <c r="AE76" s="354">
        <v>2.6477301255275202E-2</v>
      </c>
      <c r="AF76" s="353">
        <v>1867397.3219999999</v>
      </c>
      <c r="AG76" s="353"/>
      <c r="AH76" s="354"/>
      <c r="AI76" s="353"/>
      <c r="AJ76" s="354"/>
      <c r="AK76" s="353"/>
      <c r="AL76" s="353">
        <v>1045126</v>
      </c>
      <c r="AM76" s="354">
        <v>1</v>
      </c>
      <c r="AN76" s="353">
        <v>117272215.59025955</v>
      </c>
      <c r="AO76" s="354">
        <v>1.0000000000000002</v>
      </c>
      <c r="AP76" s="353">
        <v>70528234.882999986</v>
      </c>
    </row>
    <row r="77" spans="2:42" hidden="1" outlineLevel="1" x14ac:dyDescent="0.25">
      <c r="B77" s="352">
        <v>40756</v>
      </c>
      <c r="C77" s="353"/>
      <c r="D77" s="354"/>
      <c r="E77" s="353"/>
      <c r="F77" s="354"/>
      <c r="G77" s="353"/>
      <c r="H77" s="353"/>
      <c r="I77" s="354"/>
      <c r="J77" s="353"/>
      <c r="K77" s="354"/>
      <c r="L77" s="353"/>
      <c r="M77" s="353">
        <v>405997</v>
      </c>
      <c r="N77" s="354">
        <v>0.38525524297354719</v>
      </c>
      <c r="O77" s="353">
        <v>53678402.584365562</v>
      </c>
      <c r="P77" s="354">
        <v>0.45146023061924573</v>
      </c>
      <c r="Q77" s="353">
        <v>32334868.84</v>
      </c>
      <c r="R77" s="353">
        <v>214543</v>
      </c>
      <c r="S77" s="354">
        <v>0.20358233088735567</v>
      </c>
      <c r="T77" s="353">
        <v>28651322.619297598</v>
      </c>
      <c r="U77" s="354">
        <v>0.24097089508065855</v>
      </c>
      <c r="V77" s="353">
        <v>17259022.519000001</v>
      </c>
      <c r="W77" s="353">
        <v>409747</v>
      </c>
      <c r="X77" s="354">
        <v>0.38881366128981754</v>
      </c>
      <c r="Y77" s="353">
        <v>33346263.962164119</v>
      </c>
      <c r="Z77" s="354">
        <v>0.28045752656271578</v>
      </c>
      <c r="AA77" s="353">
        <v>20087167.642999999</v>
      </c>
      <c r="AB77" s="353">
        <v>23552</v>
      </c>
      <c r="AC77" s="354">
        <v>2.2348764849279633E-2</v>
      </c>
      <c r="AD77" s="353">
        <v>3223526.104294179</v>
      </c>
      <c r="AE77" s="354">
        <v>2.7111347737379939E-2</v>
      </c>
      <c r="AF77" s="353">
        <v>1941792.02</v>
      </c>
      <c r="AG77" s="353"/>
      <c r="AH77" s="354"/>
      <c r="AI77" s="353"/>
      <c r="AJ77" s="354"/>
      <c r="AK77" s="353"/>
      <c r="AL77" s="353">
        <v>1053839</v>
      </c>
      <c r="AM77" s="354">
        <v>1</v>
      </c>
      <c r="AN77" s="353">
        <v>118899515.27012146</v>
      </c>
      <c r="AO77" s="354">
        <v>1</v>
      </c>
      <c r="AP77" s="353">
        <v>71622851.022</v>
      </c>
    </row>
    <row r="78" spans="2:42" hidden="1" outlineLevel="1" x14ac:dyDescent="0.25">
      <c r="B78" s="352">
        <v>40787</v>
      </c>
      <c r="C78" s="353"/>
      <c r="D78" s="354"/>
      <c r="E78" s="353"/>
      <c r="F78" s="354"/>
      <c r="G78" s="353"/>
      <c r="H78" s="353"/>
      <c r="I78" s="354"/>
      <c r="J78" s="353"/>
      <c r="K78" s="354"/>
      <c r="L78" s="353"/>
      <c r="M78" s="353">
        <v>405744</v>
      </c>
      <c r="N78" s="354">
        <v>0.38511420240554001</v>
      </c>
      <c r="O78" s="353">
        <v>53451129.615584612</v>
      </c>
      <c r="P78" s="354">
        <v>0.45972646739031831</v>
      </c>
      <c r="Q78" s="353">
        <v>32357993.809</v>
      </c>
      <c r="R78" s="353">
        <v>214849</v>
      </c>
      <c r="S78" s="354">
        <v>0.2039251381970599</v>
      </c>
      <c r="T78" s="353">
        <v>29047958.999568995</v>
      </c>
      <c r="U78" s="354">
        <v>0.24983785509889453</v>
      </c>
      <c r="V78" s="353">
        <v>17584916.993000001</v>
      </c>
      <c r="W78" s="353">
        <v>409464</v>
      </c>
      <c r="X78" s="354">
        <v>0.38864506135341997</v>
      </c>
      <c r="Y78" s="353">
        <v>30849371.068817794</v>
      </c>
      <c r="Z78" s="354">
        <v>0.26533157455564049</v>
      </c>
      <c r="AA78" s="353">
        <v>18675447.370999999</v>
      </c>
      <c r="AB78" s="353">
        <v>23511</v>
      </c>
      <c r="AC78" s="354">
        <v>2.2315598043980076E-2</v>
      </c>
      <c r="AD78" s="353">
        <v>2918784.877789665</v>
      </c>
      <c r="AE78" s="354">
        <v>2.5104102955146656E-2</v>
      </c>
      <c r="AF78" s="353">
        <v>1766960.281</v>
      </c>
      <c r="AG78" s="353"/>
      <c r="AH78" s="354"/>
      <c r="AI78" s="353"/>
      <c r="AJ78" s="354"/>
      <c r="AK78" s="353"/>
      <c r="AL78" s="353">
        <v>1053568</v>
      </c>
      <c r="AM78" s="354">
        <v>0.99999999999999989</v>
      </c>
      <c r="AN78" s="353">
        <v>116267244.56176107</v>
      </c>
      <c r="AO78" s="354">
        <v>1</v>
      </c>
      <c r="AP78" s="353">
        <v>70385318.454000011</v>
      </c>
    </row>
    <row r="79" spans="2:42" hidden="1" outlineLevel="1" x14ac:dyDescent="0.25">
      <c r="B79" s="352">
        <v>40817</v>
      </c>
      <c r="C79" s="353"/>
      <c r="D79" s="354"/>
      <c r="E79" s="353"/>
      <c r="F79" s="354"/>
      <c r="G79" s="353"/>
      <c r="H79" s="353"/>
      <c r="I79" s="354"/>
      <c r="J79" s="353"/>
      <c r="K79" s="354"/>
      <c r="L79" s="353"/>
      <c r="M79" s="353">
        <v>403625</v>
      </c>
      <c r="N79" s="354">
        <v>0.37899843940438205</v>
      </c>
      <c r="O79" s="353">
        <v>52608955.320060849</v>
      </c>
      <c r="P79" s="354">
        <v>0.43739465880348816</v>
      </c>
      <c r="Q79" s="353">
        <v>32002757.372000001</v>
      </c>
      <c r="R79" s="353">
        <v>214346</v>
      </c>
      <c r="S79" s="354">
        <v>0.20126800741423767</v>
      </c>
      <c r="T79" s="353">
        <v>28448245.705780942</v>
      </c>
      <c r="U79" s="354">
        <v>0.2365207719548281</v>
      </c>
      <c r="V79" s="353">
        <v>17305462.528999999</v>
      </c>
      <c r="W79" s="353">
        <v>422164</v>
      </c>
      <c r="X79" s="354">
        <v>0.39640631074069138</v>
      </c>
      <c r="Y79" s="353">
        <v>35576454.850014485</v>
      </c>
      <c r="Z79" s="354">
        <v>0.29578521823690507</v>
      </c>
      <c r="AA79" s="353">
        <v>21641651.041999999</v>
      </c>
      <c r="AB79" s="353">
        <v>24843</v>
      </c>
      <c r="AC79" s="354">
        <v>2.3327242440688914E-2</v>
      </c>
      <c r="AD79" s="353">
        <v>3644345.3781482941</v>
      </c>
      <c r="AE79" s="354">
        <v>3.0299351004778676E-2</v>
      </c>
      <c r="AF79" s="353">
        <v>2216905.852</v>
      </c>
      <c r="AG79" s="353"/>
      <c r="AH79" s="354"/>
      <c r="AI79" s="353"/>
      <c r="AJ79" s="354"/>
      <c r="AK79" s="353"/>
      <c r="AL79" s="353">
        <v>1064978</v>
      </c>
      <c r="AM79" s="354">
        <v>1</v>
      </c>
      <c r="AN79" s="353">
        <v>120278001.25400457</v>
      </c>
      <c r="AO79" s="354">
        <v>1</v>
      </c>
      <c r="AP79" s="353">
        <v>73166776.795000002</v>
      </c>
    </row>
    <row r="80" spans="2:42" hidden="1" outlineLevel="1" x14ac:dyDescent="0.25">
      <c r="B80" s="352">
        <v>40848</v>
      </c>
      <c r="C80" s="353"/>
      <c r="D80" s="354"/>
      <c r="E80" s="353"/>
      <c r="F80" s="354"/>
      <c r="G80" s="353"/>
      <c r="H80" s="353"/>
      <c r="I80" s="354"/>
      <c r="J80" s="353"/>
      <c r="K80" s="354"/>
      <c r="L80" s="353"/>
      <c r="M80" s="353">
        <v>401693</v>
      </c>
      <c r="N80" s="354">
        <v>0.3778840382838855</v>
      </c>
      <c r="O80" s="353">
        <v>51611649.598877966</v>
      </c>
      <c r="P80" s="354">
        <v>0.44669860673176243</v>
      </c>
      <c r="Q80" s="353">
        <v>31495705.230999999</v>
      </c>
      <c r="R80" s="353">
        <v>213867</v>
      </c>
      <c r="S80" s="354">
        <v>0.20119077408782265</v>
      </c>
      <c r="T80" s="353">
        <v>28085924.497624371</v>
      </c>
      <c r="U80" s="354">
        <v>0.24308355651037028</v>
      </c>
      <c r="V80" s="353">
        <v>17139270.028999999</v>
      </c>
      <c r="W80" s="353">
        <v>422687</v>
      </c>
      <c r="X80" s="354">
        <v>0.39763369162544709</v>
      </c>
      <c r="Y80" s="353">
        <v>32775718.743930917</v>
      </c>
      <c r="Z80" s="354">
        <v>0.2836737056717587</v>
      </c>
      <c r="AA80" s="353">
        <v>20001189.350000001</v>
      </c>
      <c r="AB80" s="353">
        <v>24759</v>
      </c>
      <c r="AC80" s="354">
        <v>2.3291496002844764E-2</v>
      </c>
      <c r="AD80" s="353">
        <v>3066914.4068890861</v>
      </c>
      <c r="AE80" s="354">
        <v>2.654413108610866E-2</v>
      </c>
      <c r="AF80" s="353">
        <v>1871566.456</v>
      </c>
      <c r="AG80" s="353"/>
      <c r="AH80" s="354"/>
      <c r="AI80" s="353"/>
      <c r="AJ80" s="354"/>
      <c r="AK80" s="353"/>
      <c r="AL80" s="353">
        <v>1063006</v>
      </c>
      <c r="AM80" s="354">
        <v>1</v>
      </c>
      <c r="AN80" s="353">
        <v>115540207.24732234</v>
      </c>
      <c r="AO80" s="354">
        <v>1.0000000000000002</v>
      </c>
      <c r="AP80" s="353">
        <v>70507731.066</v>
      </c>
    </row>
    <row r="81" spans="2:42" hidden="1" outlineLevel="1" x14ac:dyDescent="0.25">
      <c r="B81" s="352">
        <v>40878</v>
      </c>
      <c r="C81" s="353"/>
      <c r="D81" s="354"/>
      <c r="E81" s="353"/>
      <c r="F81" s="354"/>
      <c r="G81" s="353"/>
      <c r="H81" s="353"/>
      <c r="I81" s="354"/>
      <c r="J81" s="353"/>
      <c r="K81" s="354"/>
      <c r="L81" s="353"/>
      <c r="M81" s="353">
        <v>405116</v>
      </c>
      <c r="N81" s="354">
        <v>0.37454835930074742</v>
      </c>
      <c r="O81" s="353">
        <v>53980259.351030536</v>
      </c>
      <c r="P81" s="354">
        <v>0.44180205287802493</v>
      </c>
      <c r="Q81" s="353">
        <v>33141815.25</v>
      </c>
      <c r="R81" s="353">
        <v>213801</v>
      </c>
      <c r="S81" s="354">
        <v>0.19766884982784955</v>
      </c>
      <c r="T81" s="353">
        <v>28165878.548454665</v>
      </c>
      <c r="U81" s="354">
        <v>0.23052395659864189</v>
      </c>
      <c r="V81" s="353">
        <v>17292772.477000002</v>
      </c>
      <c r="W81" s="353">
        <v>436791</v>
      </c>
      <c r="X81" s="354">
        <v>0.40383335244061641</v>
      </c>
      <c r="Y81" s="353">
        <v>36315842.900880888</v>
      </c>
      <c r="Z81" s="354">
        <v>0.29722743348210168</v>
      </c>
      <c r="AA81" s="353">
        <v>22296538.967</v>
      </c>
      <c r="AB81" s="353">
        <v>25904</v>
      </c>
      <c r="AC81" s="354">
        <v>2.3949438430786639E-2</v>
      </c>
      <c r="AD81" s="353">
        <v>3720021.2962463866</v>
      </c>
      <c r="AE81" s="354">
        <v>3.0446557041231569E-2</v>
      </c>
      <c r="AF81" s="353">
        <v>2283950.8369999998</v>
      </c>
      <c r="AG81" s="353"/>
      <c r="AH81" s="354"/>
      <c r="AI81" s="353"/>
      <c r="AJ81" s="354"/>
      <c r="AK81" s="353"/>
      <c r="AL81" s="353">
        <v>1081612</v>
      </c>
      <c r="AM81" s="354">
        <v>1</v>
      </c>
      <c r="AN81" s="353">
        <v>122182002.09661247</v>
      </c>
      <c r="AO81" s="354">
        <v>1</v>
      </c>
      <c r="AP81" s="353">
        <v>75015077.531000003</v>
      </c>
    </row>
    <row r="82" spans="2:42" collapsed="1" x14ac:dyDescent="0.25">
      <c r="B82" s="355" t="s">
        <v>702</v>
      </c>
      <c r="C82" s="356"/>
      <c r="D82" s="343"/>
      <c r="E82" s="356"/>
      <c r="F82" s="343"/>
      <c r="G82" s="356"/>
      <c r="H82" s="356"/>
      <c r="I82" s="343"/>
      <c r="J82" s="356"/>
      <c r="K82" s="343"/>
      <c r="L82" s="356"/>
      <c r="M82" s="356">
        <v>405651.83333333331</v>
      </c>
      <c r="N82" s="343">
        <v>0.38861746675853959</v>
      </c>
      <c r="O82" s="356">
        <v>52966054.435747482</v>
      </c>
      <c r="P82" s="343">
        <v>0.46726435231012081</v>
      </c>
      <c r="Q82" s="356"/>
      <c r="R82" s="356">
        <v>214992.5</v>
      </c>
      <c r="S82" s="343">
        <v>0.20596441050330597</v>
      </c>
      <c r="T82" s="356">
        <v>28378169.230267674</v>
      </c>
      <c r="U82" s="343">
        <v>0.25035104099010641</v>
      </c>
      <c r="V82" s="356"/>
      <c r="W82" s="356">
        <v>401022.41666666669</v>
      </c>
      <c r="X82" s="343">
        <v>0.38418245123602518</v>
      </c>
      <c r="Y82" s="356">
        <v>28968802.109676231</v>
      </c>
      <c r="Z82" s="343">
        <v>0.25556157994359202</v>
      </c>
      <c r="AA82" s="356"/>
      <c r="AB82" s="356">
        <v>22166.5</v>
      </c>
      <c r="AC82" s="343">
        <v>2.1235671502129291E-2</v>
      </c>
      <c r="AD82" s="356">
        <v>3040484.2318390063</v>
      </c>
      <c r="AE82" s="343">
        <v>2.6823026756180895E-2</v>
      </c>
      <c r="AF82" s="356"/>
      <c r="AG82" s="356"/>
      <c r="AH82" s="343"/>
      <c r="AI82" s="356"/>
      <c r="AJ82" s="343"/>
      <c r="AK82" s="356"/>
      <c r="AL82" s="356">
        <v>1043833.25</v>
      </c>
      <c r="AM82" s="343">
        <v>0.99999999999999989</v>
      </c>
      <c r="AN82" s="356">
        <v>113353510.00753038</v>
      </c>
      <c r="AO82" s="343">
        <v>1</v>
      </c>
      <c r="AP82" s="356"/>
    </row>
    <row r="83" spans="2:42" hidden="1" outlineLevel="1" x14ac:dyDescent="0.25">
      <c r="B83" s="352">
        <v>40909</v>
      </c>
      <c r="C83" s="353"/>
      <c r="D83" s="354"/>
      <c r="E83" s="353"/>
      <c r="F83" s="354"/>
      <c r="G83" s="353"/>
      <c r="H83" s="353"/>
      <c r="I83" s="354"/>
      <c r="J83" s="353"/>
      <c r="K83" s="354"/>
      <c r="L83" s="353"/>
      <c r="M83" s="353">
        <v>405147</v>
      </c>
      <c r="N83" s="354">
        <v>0.37581396815738016</v>
      </c>
      <c r="O83" s="353">
        <v>52493177.829893731</v>
      </c>
      <c r="P83" s="354">
        <v>0.45393341351649907</v>
      </c>
      <c r="Q83" s="353">
        <v>32257170.563000001</v>
      </c>
      <c r="R83" s="353">
        <v>212218</v>
      </c>
      <c r="S83" s="354">
        <v>0.19685321301755387</v>
      </c>
      <c r="T83" s="353">
        <v>27722639.305617154</v>
      </c>
      <c r="U83" s="354">
        <v>0.23973081478254521</v>
      </c>
      <c r="V83" s="353">
        <v>17035621.418000001</v>
      </c>
      <c r="W83" s="353">
        <v>434885</v>
      </c>
      <c r="X83" s="354">
        <v>0.40339890840145004</v>
      </c>
      <c r="Y83" s="353">
        <v>32266483.698005941</v>
      </c>
      <c r="Z83" s="354">
        <v>0.27902359302143931</v>
      </c>
      <c r="AA83" s="353">
        <v>19827823.559999999</v>
      </c>
      <c r="AB83" s="353">
        <v>25802</v>
      </c>
      <c r="AC83" s="354">
        <v>2.393391042361593E-2</v>
      </c>
      <c r="AD83" s="353">
        <v>3158399.4692947883</v>
      </c>
      <c r="AE83" s="354">
        <v>2.7312178679516321E-2</v>
      </c>
      <c r="AF83" s="353">
        <v>1940843.26</v>
      </c>
      <c r="AG83" s="353"/>
      <c r="AH83" s="354"/>
      <c r="AI83" s="353"/>
      <c r="AJ83" s="354"/>
      <c r="AK83" s="353"/>
      <c r="AL83" s="353">
        <v>1078052</v>
      </c>
      <c r="AM83" s="354">
        <v>0.99999999999999989</v>
      </c>
      <c r="AN83" s="353">
        <v>115640700.30281162</v>
      </c>
      <c r="AO83" s="354">
        <v>0.99999999999999989</v>
      </c>
      <c r="AP83" s="353">
        <v>71061458.801000014</v>
      </c>
    </row>
    <row r="84" spans="2:42" hidden="1" outlineLevel="1" x14ac:dyDescent="0.25">
      <c r="B84" s="352">
        <v>40940</v>
      </c>
      <c r="C84" s="353"/>
      <c r="D84" s="354"/>
      <c r="E84" s="353"/>
      <c r="F84" s="354"/>
      <c r="G84" s="353"/>
      <c r="H84" s="353"/>
      <c r="I84" s="354"/>
      <c r="J84" s="353"/>
      <c r="K84" s="354"/>
      <c r="L84" s="353"/>
      <c r="M84" s="353">
        <v>405788</v>
      </c>
      <c r="N84" s="354">
        <v>0.37228120263778847</v>
      </c>
      <c r="O84" s="353">
        <v>52576396.861084379</v>
      </c>
      <c r="P84" s="354">
        <v>0.43889155242458833</v>
      </c>
      <c r="Q84" s="353">
        <v>32433792.901000001</v>
      </c>
      <c r="R84" s="353">
        <v>211479</v>
      </c>
      <c r="S84" s="354">
        <v>0.19401671920470018</v>
      </c>
      <c r="T84" s="353">
        <v>27368287.466788489</v>
      </c>
      <c r="U84" s="354">
        <v>0.22846202651045389</v>
      </c>
      <c r="V84" s="353">
        <v>16883191.331999999</v>
      </c>
      <c r="W84" s="353">
        <v>445464</v>
      </c>
      <c r="X84" s="354">
        <v>0.40868106906029705</v>
      </c>
      <c r="Y84" s="353">
        <v>35846810.574225508</v>
      </c>
      <c r="Z84" s="354">
        <v>0.29923812360061169</v>
      </c>
      <c r="AA84" s="353">
        <v>22113497.686000001</v>
      </c>
      <c r="AB84" s="353">
        <v>27273</v>
      </c>
      <c r="AC84" s="354">
        <v>2.5021009097214324E-2</v>
      </c>
      <c r="AD84" s="353">
        <v>4002100.0546380277</v>
      </c>
      <c r="AE84" s="354">
        <v>3.3408297464345989E-2</v>
      </c>
      <c r="AF84" s="353">
        <v>2468850.8930000002</v>
      </c>
      <c r="AG84" s="353"/>
      <c r="AH84" s="354"/>
      <c r="AI84" s="353"/>
      <c r="AJ84" s="354"/>
      <c r="AK84" s="353"/>
      <c r="AL84" s="353">
        <v>1090004</v>
      </c>
      <c r="AM84" s="354">
        <v>1</v>
      </c>
      <c r="AN84" s="353">
        <v>119793594.95673642</v>
      </c>
      <c r="AO84" s="354">
        <v>0.99999999999999989</v>
      </c>
      <c r="AP84" s="353">
        <v>73899332.812000006</v>
      </c>
    </row>
    <row r="85" spans="2:42" hidden="1" outlineLevel="1" x14ac:dyDescent="0.25">
      <c r="B85" s="352">
        <v>40969</v>
      </c>
      <c r="C85" s="353"/>
      <c r="D85" s="354"/>
      <c r="E85" s="353"/>
      <c r="F85" s="354"/>
      <c r="G85" s="353"/>
      <c r="H85" s="353"/>
      <c r="I85" s="354"/>
      <c r="J85" s="353"/>
      <c r="K85" s="354"/>
      <c r="L85" s="353"/>
      <c r="M85" s="353">
        <v>405724</v>
      </c>
      <c r="N85" s="354">
        <v>0.36716306614154987</v>
      </c>
      <c r="O85" s="353">
        <v>52461190.678221144</v>
      </c>
      <c r="P85" s="354">
        <v>0.43558475508604416</v>
      </c>
      <c r="Q85" s="353">
        <v>32415538.609000001</v>
      </c>
      <c r="R85" s="353">
        <v>211975</v>
      </c>
      <c r="S85" s="354">
        <v>0.19182841277655507</v>
      </c>
      <c r="T85" s="353">
        <v>27720489.05336272</v>
      </c>
      <c r="U85" s="354">
        <v>0.2301629505368252</v>
      </c>
      <c r="V85" s="353">
        <v>17128368.067000002</v>
      </c>
      <c r="W85" s="353">
        <v>459460</v>
      </c>
      <c r="X85" s="354">
        <v>0.41579187420363722</v>
      </c>
      <c r="Y85" s="353">
        <v>36550318.036504723</v>
      </c>
      <c r="Z85" s="354">
        <v>0.30347693455721186</v>
      </c>
      <c r="AA85" s="353">
        <v>22584280.497000001</v>
      </c>
      <c r="AB85" s="353">
        <v>27865</v>
      </c>
      <c r="AC85" s="354">
        <v>2.5216646878257847E-2</v>
      </c>
      <c r="AD85" s="353">
        <v>3706539.3149140431</v>
      </c>
      <c r="AE85" s="354">
        <v>3.0775359819918829E-2</v>
      </c>
      <c r="AF85" s="353">
        <v>2290254.3139999998</v>
      </c>
      <c r="AG85" s="353"/>
      <c r="AH85" s="354"/>
      <c r="AI85" s="353"/>
      <c r="AJ85" s="354"/>
      <c r="AK85" s="353"/>
      <c r="AL85" s="353">
        <v>1105024</v>
      </c>
      <c r="AM85" s="354">
        <v>1</v>
      </c>
      <c r="AN85" s="353">
        <v>120438537.08300263</v>
      </c>
      <c r="AO85" s="354">
        <v>1</v>
      </c>
      <c r="AP85" s="353">
        <v>74418441.487000003</v>
      </c>
    </row>
    <row r="86" spans="2:42" hidden="1" outlineLevel="1" x14ac:dyDescent="0.25">
      <c r="B86" s="352">
        <v>41000</v>
      </c>
      <c r="C86" s="353"/>
      <c r="D86" s="354"/>
      <c r="E86" s="353"/>
      <c r="F86" s="354"/>
      <c r="G86" s="353"/>
      <c r="H86" s="353"/>
      <c r="I86" s="354"/>
      <c r="J86" s="353"/>
      <c r="K86" s="354"/>
      <c r="L86" s="353"/>
      <c r="M86" s="353">
        <v>405278</v>
      </c>
      <c r="N86" s="354">
        <v>0.3653901809018496</v>
      </c>
      <c r="O86" s="353">
        <v>52299518.1077701</v>
      </c>
      <c r="P86" s="354">
        <v>0.44139917627248504</v>
      </c>
      <c r="Q86" s="353">
        <v>32332027.182</v>
      </c>
      <c r="R86" s="353">
        <v>210835</v>
      </c>
      <c r="S86" s="354">
        <v>0.19008443288419666</v>
      </c>
      <c r="T86" s="353">
        <v>27630048.282488991</v>
      </c>
      <c r="U86" s="354">
        <v>0.23319298137945363</v>
      </c>
      <c r="V86" s="353">
        <v>17081141.556000002</v>
      </c>
      <c r="W86" s="353">
        <v>464267</v>
      </c>
      <c r="X86" s="354">
        <v>0.41857343136503589</v>
      </c>
      <c r="Y86" s="353">
        <v>34803084.013347715</v>
      </c>
      <c r="Z86" s="354">
        <v>0.29373220195983879</v>
      </c>
      <c r="AA86" s="353">
        <v>21515576.033</v>
      </c>
      <c r="AB86" s="353">
        <v>28785</v>
      </c>
      <c r="AC86" s="354">
        <v>2.595195484891788E-2</v>
      </c>
      <c r="AD86" s="353">
        <v>3753112.4141391446</v>
      </c>
      <c r="AE86" s="354">
        <v>3.1675640388222494E-2</v>
      </c>
      <c r="AF86" s="353">
        <v>2320207.4700000002</v>
      </c>
      <c r="AG86" s="353"/>
      <c r="AH86" s="354"/>
      <c r="AI86" s="353"/>
      <c r="AJ86" s="354"/>
      <c r="AK86" s="353"/>
      <c r="AL86" s="353">
        <v>1109165</v>
      </c>
      <c r="AM86" s="354">
        <v>1</v>
      </c>
      <c r="AN86" s="353">
        <v>118485762.81774595</v>
      </c>
      <c r="AO86" s="354">
        <v>0.99999999999999989</v>
      </c>
      <c r="AP86" s="353">
        <v>73248952.240999997</v>
      </c>
    </row>
    <row r="87" spans="2:42" hidden="1" outlineLevel="1" x14ac:dyDescent="0.25">
      <c r="B87" s="352">
        <v>41030</v>
      </c>
      <c r="C87" s="353"/>
      <c r="D87" s="354"/>
      <c r="E87" s="353"/>
      <c r="F87" s="354"/>
      <c r="G87" s="353"/>
      <c r="H87" s="353"/>
      <c r="I87" s="354"/>
      <c r="J87" s="353"/>
      <c r="K87" s="354"/>
      <c r="L87" s="353"/>
      <c r="M87" s="353">
        <v>405077</v>
      </c>
      <c r="N87" s="354">
        <v>0.36230928712874827</v>
      </c>
      <c r="O87" s="353">
        <v>52082578.834131539</v>
      </c>
      <c r="P87" s="354">
        <v>0.43297818513383673</v>
      </c>
      <c r="Q87" s="353">
        <v>32207790.521000002</v>
      </c>
      <c r="R87" s="353">
        <v>211171</v>
      </c>
      <c r="S87" s="354">
        <v>0.18887573096538413</v>
      </c>
      <c r="T87" s="353">
        <v>27735757.973967604</v>
      </c>
      <c r="U87" s="354">
        <v>0.23057572070547955</v>
      </c>
      <c r="V87" s="353">
        <v>17151752.136</v>
      </c>
      <c r="W87" s="353">
        <v>472382</v>
      </c>
      <c r="X87" s="354">
        <v>0.42250827786433781</v>
      </c>
      <c r="Y87" s="353">
        <v>36619976.273251265</v>
      </c>
      <c r="Z87" s="354">
        <v>0.30443290676777574</v>
      </c>
      <c r="AA87" s="353">
        <v>22645739.728999998</v>
      </c>
      <c r="AB87" s="353">
        <v>29412</v>
      </c>
      <c r="AC87" s="354">
        <v>2.6306704041529745E-2</v>
      </c>
      <c r="AD87" s="353">
        <v>3850839.1724344548</v>
      </c>
      <c r="AE87" s="354">
        <v>3.2013187392907982E-2</v>
      </c>
      <c r="AF87" s="353">
        <v>2381353.3080000002</v>
      </c>
      <c r="AG87" s="353"/>
      <c r="AH87" s="354"/>
      <c r="AI87" s="353"/>
      <c r="AJ87" s="354"/>
      <c r="AK87" s="353"/>
      <c r="AL87" s="353">
        <v>1118042</v>
      </c>
      <c r="AM87" s="354">
        <v>1</v>
      </c>
      <c r="AN87" s="353">
        <v>120289152.25378487</v>
      </c>
      <c r="AO87" s="354">
        <v>1</v>
      </c>
      <c r="AP87" s="353">
        <v>74386635.694000006</v>
      </c>
    </row>
    <row r="88" spans="2:42" hidden="1" outlineLevel="1" x14ac:dyDescent="0.25">
      <c r="B88" s="352">
        <v>41061</v>
      </c>
      <c r="C88" s="353"/>
      <c r="D88" s="354"/>
      <c r="E88" s="353"/>
      <c r="F88" s="354"/>
      <c r="G88" s="353"/>
      <c r="H88" s="353"/>
      <c r="I88" s="354"/>
      <c r="J88" s="353"/>
      <c r="K88" s="354"/>
      <c r="L88" s="353"/>
      <c r="M88" s="353">
        <v>405447</v>
      </c>
      <c r="N88" s="354">
        <v>0.35951851030813564</v>
      </c>
      <c r="O88" s="353">
        <v>52393344.276463524</v>
      </c>
      <c r="P88" s="354">
        <v>0.43216834628017914</v>
      </c>
      <c r="Q88" s="353">
        <v>32304016.004000001</v>
      </c>
      <c r="R88" s="353">
        <v>211515</v>
      </c>
      <c r="S88" s="354">
        <v>0.18755486588339615</v>
      </c>
      <c r="T88" s="353">
        <v>27898121.184099052</v>
      </c>
      <c r="U88" s="354">
        <v>0.23011863554341391</v>
      </c>
      <c r="V88" s="353">
        <v>17201065.625</v>
      </c>
      <c r="W88" s="353">
        <v>480566</v>
      </c>
      <c r="X88" s="354">
        <v>0.42612813123475946</v>
      </c>
      <c r="Y88" s="353">
        <v>36996765.206267916</v>
      </c>
      <c r="Z88" s="354">
        <v>0.30516912133993102</v>
      </c>
      <c r="AA88" s="353">
        <v>22810990.82</v>
      </c>
      <c r="AB88" s="353">
        <v>30222</v>
      </c>
      <c r="AC88" s="354">
        <v>2.6798492573708713E-2</v>
      </c>
      <c r="AD88" s="353">
        <v>3945415.2663596026</v>
      </c>
      <c r="AE88" s="354">
        <v>3.2543896836476051E-2</v>
      </c>
      <c r="AF88" s="353">
        <v>2432613.5249999999</v>
      </c>
      <c r="AG88" s="353"/>
      <c r="AH88" s="354"/>
      <c r="AI88" s="353"/>
      <c r="AJ88" s="354"/>
      <c r="AK88" s="353"/>
      <c r="AL88" s="353">
        <v>1127750</v>
      </c>
      <c r="AM88" s="354">
        <v>1</v>
      </c>
      <c r="AN88" s="353">
        <v>121233645.93319008</v>
      </c>
      <c r="AO88" s="354">
        <v>1</v>
      </c>
      <c r="AP88" s="353">
        <v>74748685.974000007</v>
      </c>
    </row>
    <row r="89" spans="2:42" hidden="1" outlineLevel="1" x14ac:dyDescent="0.25">
      <c r="B89" s="352">
        <v>41091</v>
      </c>
      <c r="C89" s="353"/>
      <c r="D89" s="354"/>
      <c r="E89" s="353"/>
      <c r="F89" s="354"/>
      <c r="G89" s="353"/>
      <c r="H89" s="353"/>
      <c r="I89" s="354"/>
      <c r="J89" s="353"/>
      <c r="K89" s="354"/>
      <c r="L89" s="353"/>
      <c r="M89" s="353">
        <v>405988</v>
      </c>
      <c r="N89" s="354">
        <v>0.3605279492901563</v>
      </c>
      <c r="O89" s="353">
        <v>53860821.192312293</v>
      </c>
      <c r="P89" s="354">
        <v>0.43364826145176461</v>
      </c>
      <c r="Q89" s="353">
        <v>33204447.982999999</v>
      </c>
      <c r="R89" s="353">
        <v>211177</v>
      </c>
      <c r="S89" s="354">
        <v>0.18753069240284773</v>
      </c>
      <c r="T89" s="353">
        <v>28577989.939426605</v>
      </c>
      <c r="U89" s="354">
        <v>0.23008924443928133</v>
      </c>
      <c r="V89" s="353">
        <v>17617933.767000001</v>
      </c>
      <c r="W89" s="353">
        <v>478596</v>
      </c>
      <c r="X89" s="354">
        <v>0.42500574996914109</v>
      </c>
      <c r="Y89" s="353">
        <v>37744131.764457285</v>
      </c>
      <c r="Z89" s="354">
        <v>0.30388836926978441</v>
      </c>
      <c r="AA89" s="353">
        <v>23268732.857999999</v>
      </c>
      <c r="AB89" s="353">
        <v>30332</v>
      </c>
      <c r="AC89" s="354">
        <v>2.6935608337854865E-2</v>
      </c>
      <c r="AD89" s="353">
        <v>4020993.7505170084</v>
      </c>
      <c r="AE89" s="354">
        <v>3.2374124839169627E-2</v>
      </c>
      <c r="AF89" s="353">
        <v>2478886.784</v>
      </c>
      <c r="AG89" s="353"/>
      <c r="AH89" s="354"/>
      <c r="AI89" s="353"/>
      <c r="AJ89" s="354"/>
      <c r="AK89" s="353"/>
      <c r="AL89" s="353">
        <v>1126093</v>
      </c>
      <c r="AM89" s="354">
        <v>1</v>
      </c>
      <c r="AN89" s="353">
        <v>124203936.6467132</v>
      </c>
      <c r="AO89" s="354">
        <v>1</v>
      </c>
      <c r="AP89" s="353">
        <v>76570001.39199999</v>
      </c>
    </row>
    <row r="90" spans="2:42" hidden="1" outlineLevel="1" x14ac:dyDescent="0.25">
      <c r="B90" s="352">
        <v>41122</v>
      </c>
      <c r="C90" s="353"/>
      <c r="D90" s="354"/>
      <c r="E90" s="353"/>
      <c r="F90" s="354"/>
      <c r="G90" s="353"/>
      <c r="H90" s="353"/>
      <c r="I90" s="354"/>
      <c r="J90" s="353"/>
      <c r="K90" s="354"/>
      <c r="L90" s="353"/>
      <c r="M90" s="353">
        <v>403875</v>
      </c>
      <c r="N90" s="354">
        <v>0.35582916675844145</v>
      </c>
      <c r="O90" s="353">
        <v>53534424.187330067</v>
      </c>
      <c r="P90" s="354">
        <v>0.42874193510125613</v>
      </c>
      <c r="Q90" s="353">
        <v>33076216.285</v>
      </c>
      <c r="R90" s="353">
        <v>198447</v>
      </c>
      <c r="S90" s="354">
        <v>0.17483932071980793</v>
      </c>
      <c r="T90" s="353">
        <v>26459526.197898816</v>
      </c>
      <c r="U90" s="354">
        <v>0.21190679896458783</v>
      </c>
      <c r="V90" s="353">
        <v>16348004.571</v>
      </c>
      <c r="W90" s="353">
        <v>489880</v>
      </c>
      <c r="X90" s="354">
        <v>0.43160282813153894</v>
      </c>
      <c r="Y90" s="353">
        <v>39319999.804943465</v>
      </c>
      <c r="Z90" s="354">
        <v>0.31490266422894053</v>
      </c>
      <c r="AA90" s="353">
        <v>24293841.535</v>
      </c>
      <c r="AB90" s="353">
        <v>42823</v>
      </c>
      <c r="AC90" s="354">
        <v>3.7728684390211667E-2</v>
      </c>
      <c r="AD90" s="353">
        <v>5550029.2913001832</v>
      </c>
      <c r="AE90" s="354">
        <v>4.4448601705215585E-2</v>
      </c>
      <c r="AF90" s="353">
        <v>3429082.7259999998</v>
      </c>
      <c r="AG90" s="353"/>
      <c r="AH90" s="354"/>
      <c r="AI90" s="353"/>
      <c r="AJ90" s="354"/>
      <c r="AK90" s="353"/>
      <c r="AL90" s="353">
        <v>1135025</v>
      </c>
      <c r="AM90" s="354">
        <v>1</v>
      </c>
      <c r="AN90" s="353">
        <v>124863979.48147252</v>
      </c>
      <c r="AO90" s="354">
        <v>1</v>
      </c>
      <c r="AP90" s="353">
        <v>77147145.116999999</v>
      </c>
    </row>
    <row r="91" spans="2:42" hidden="1" outlineLevel="1" x14ac:dyDescent="0.25">
      <c r="B91" s="352">
        <v>41153</v>
      </c>
      <c r="C91" s="353"/>
      <c r="D91" s="354"/>
      <c r="E91" s="353"/>
      <c r="F91" s="354"/>
      <c r="G91" s="353"/>
      <c r="H91" s="353"/>
      <c r="I91" s="354"/>
      <c r="J91" s="353"/>
      <c r="K91" s="354"/>
      <c r="L91" s="353"/>
      <c r="M91" s="353">
        <v>403144</v>
      </c>
      <c r="N91" s="354">
        <v>0.35241061539685359</v>
      </c>
      <c r="O91" s="353">
        <v>52712066.076386638</v>
      </c>
      <c r="P91" s="354">
        <v>0.42433171253565899</v>
      </c>
      <c r="Q91" s="353">
        <v>32818428.890999999</v>
      </c>
      <c r="R91" s="353">
        <v>198376</v>
      </c>
      <c r="S91" s="354">
        <v>0.17341150616148626</v>
      </c>
      <c r="T91" s="353">
        <v>26572976.390673768</v>
      </c>
      <c r="U91" s="354">
        <v>0.21391224852928734</v>
      </c>
      <c r="V91" s="353">
        <v>16544282.950999999</v>
      </c>
      <c r="W91" s="353">
        <v>499207</v>
      </c>
      <c r="X91" s="354">
        <v>0.43638463199357319</v>
      </c>
      <c r="Y91" s="353">
        <v>39370374.1903366</v>
      </c>
      <c r="Z91" s="354">
        <v>0.31693119899997713</v>
      </c>
      <c r="AA91" s="353">
        <v>24511917.706</v>
      </c>
      <c r="AB91" s="353">
        <v>43234</v>
      </c>
      <c r="AC91" s="354">
        <v>3.7793246448086952E-2</v>
      </c>
      <c r="AD91" s="353">
        <v>5568308.600839383</v>
      </c>
      <c r="AE91" s="354">
        <v>4.4824839935076639E-2</v>
      </c>
      <c r="AF91" s="353">
        <v>3466818.0070000002</v>
      </c>
      <c r="AG91" s="353"/>
      <c r="AH91" s="354"/>
      <c r="AI91" s="353"/>
      <c r="AJ91" s="354"/>
      <c r="AK91" s="353"/>
      <c r="AL91" s="353">
        <v>1143961</v>
      </c>
      <c r="AM91" s="354">
        <v>0.99999999999999989</v>
      </c>
      <c r="AN91" s="353">
        <v>124223725.25823638</v>
      </c>
      <c r="AO91" s="354">
        <v>1</v>
      </c>
      <c r="AP91" s="353">
        <v>77341447.555000007</v>
      </c>
    </row>
    <row r="92" spans="2:42" hidden="1" outlineLevel="1" x14ac:dyDescent="0.25">
      <c r="B92" s="352">
        <v>41183</v>
      </c>
      <c r="C92" s="353"/>
      <c r="D92" s="354"/>
      <c r="E92" s="353"/>
      <c r="F92" s="354"/>
      <c r="G92" s="353"/>
      <c r="H92" s="353"/>
      <c r="I92" s="354"/>
      <c r="J92" s="353"/>
      <c r="K92" s="354"/>
      <c r="L92" s="353"/>
      <c r="M92" s="353">
        <v>403812</v>
      </c>
      <c r="N92" s="354">
        <v>0.35006267652153106</v>
      </c>
      <c r="O92" s="353">
        <v>52992609.844779618</v>
      </c>
      <c r="P92" s="354">
        <v>0.42507821560282522</v>
      </c>
      <c r="Q92" s="353">
        <v>33177418.311000001</v>
      </c>
      <c r="R92" s="353">
        <v>197358</v>
      </c>
      <c r="S92" s="354">
        <v>0.17108869898105142</v>
      </c>
      <c r="T92" s="353">
        <v>25761134.378982686</v>
      </c>
      <c r="U92" s="354">
        <v>0.20664196509282332</v>
      </c>
      <c r="V92" s="353">
        <v>16128436.285</v>
      </c>
      <c r="W92" s="353">
        <v>510960</v>
      </c>
      <c r="X92" s="354">
        <v>0.44294876129347693</v>
      </c>
      <c r="Y92" s="353">
        <v>40581281.97926148</v>
      </c>
      <c r="Z92" s="354">
        <v>0.32552121854626687</v>
      </c>
      <c r="AA92" s="353">
        <v>25406979.798999999</v>
      </c>
      <c r="AB92" s="353">
        <v>41412</v>
      </c>
      <c r="AC92" s="354">
        <v>3.5899863203940556E-2</v>
      </c>
      <c r="AD92" s="353">
        <v>5330524.5112796407</v>
      </c>
      <c r="AE92" s="354">
        <v>4.2758600758084533E-2</v>
      </c>
      <c r="AF92" s="353">
        <v>3337315.1850000001</v>
      </c>
      <c r="AG92" s="353"/>
      <c r="AH92" s="354"/>
      <c r="AI92" s="353"/>
      <c r="AJ92" s="354"/>
      <c r="AK92" s="353"/>
      <c r="AL92" s="353">
        <v>1153542</v>
      </c>
      <c r="AM92" s="354">
        <v>1</v>
      </c>
      <c r="AN92" s="353">
        <v>124665550.71430343</v>
      </c>
      <c r="AO92" s="354">
        <v>0.99999999999999989</v>
      </c>
      <c r="AP92" s="353">
        <v>78050149.579999998</v>
      </c>
    </row>
    <row r="93" spans="2:42" hidden="1" outlineLevel="1" x14ac:dyDescent="0.25">
      <c r="B93" s="352">
        <v>41214</v>
      </c>
      <c r="C93" s="353"/>
      <c r="D93" s="354"/>
      <c r="E93" s="353"/>
      <c r="F93" s="354"/>
      <c r="G93" s="353"/>
      <c r="H93" s="353"/>
      <c r="I93" s="354"/>
      <c r="J93" s="353"/>
      <c r="K93" s="354"/>
      <c r="L93" s="353"/>
      <c r="M93" s="353">
        <v>403590</v>
      </c>
      <c r="N93" s="354">
        <v>0.34642115590454126</v>
      </c>
      <c r="O93" s="353">
        <v>52792929.956037246</v>
      </c>
      <c r="P93" s="354">
        <v>0.41859241624605381</v>
      </c>
      <c r="Q93" s="353">
        <v>32903542.734000001</v>
      </c>
      <c r="R93" s="353">
        <v>196261</v>
      </c>
      <c r="S93" s="354">
        <v>0.16846047344825485</v>
      </c>
      <c r="T93" s="353">
        <v>26483636.373933207</v>
      </c>
      <c r="U93" s="354">
        <v>0.2099873856211088</v>
      </c>
      <c r="V93" s="353">
        <v>16506101.516000001</v>
      </c>
      <c r="W93" s="353">
        <v>526706</v>
      </c>
      <c r="X93" s="354">
        <v>0.4520976767062051</v>
      </c>
      <c r="Y93" s="353">
        <v>41986850.553781562</v>
      </c>
      <c r="Z93" s="354">
        <v>0.33291157051720932</v>
      </c>
      <c r="AA93" s="353">
        <v>26168582.282000002</v>
      </c>
      <c r="AB93" s="353">
        <v>38470</v>
      </c>
      <c r="AC93" s="354">
        <v>3.302069394099879E-2</v>
      </c>
      <c r="AD93" s="353">
        <v>4856713.1211951049</v>
      </c>
      <c r="AE93" s="354">
        <v>3.8508627615628038E-2</v>
      </c>
      <c r="AF93" s="353">
        <v>3026978.5720000002</v>
      </c>
      <c r="AG93" s="353"/>
      <c r="AH93" s="354"/>
      <c r="AI93" s="353"/>
      <c r="AJ93" s="354"/>
      <c r="AK93" s="353"/>
      <c r="AL93" s="353">
        <v>1165027</v>
      </c>
      <c r="AM93" s="354">
        <v>1</v>
      </c>
      <c r="AN93" s="353">
        <v>126120130.00494713</v>
      </c>
      <c r="AO93" s="354">
        <v>1</v>
      </c>
      <c r="AP93" s="353">
        <v>78605205.104000002</v>
      </c>
    </row>
    <row r="94" spans="2:42" hidden="1" outlineLevel="1" x14ac:dyDescent="0.25">
      <c r="B94" s="352">
        <v>41244</v>
      </c>
      <c r="C94" s="353"/>
      <c r="D94" s="354"/>
      <c r="E94" s="353"/>
      <c r="F94" s="354"/>
      <c r="G94" s="353"/>
      <c r="H94" s="353"/>
      <c r="I94" s="354"/>
      <c r="J94" s="353"/>
      <c r="K94" s="354"/>
      <c r="L94" s="353"/>
      <c r="M94" s="353">
        <v>406123</v>
      </c>
      <c r="N94" s="354">
        <v>0.34387216571311968</v>
      </c>
      <c r="O94" s="353">
        <v>53787511.996919975</v>
      </c>
      <c r="P94" s="354">
        <v>0.4219177719317968</v>
      </c>
      <c r="Q94" s="353">
        <v>33514523.147999998</v>
      </c>
      <c r="R94" s="353">
        <v>194854</v>
      </c>
      <c r="S94" s="354">
        <v>0.16498663453649318</v>
      </c>
      <c r="T94" s="353">
        <v>25931669.971254408</v>
      </c>
      <c r="U94" s="354">
        <v>0.20341213063301489</v>
      </c>
      <c r="V94" s="353">
        <v>16157794.277000001</v>
      </c>
      <c r="W94" s="353">
        <v>539888</v>
      </c>
      <c r="X94" s="354">
        <v>0.45713356742298455</v>
      </c>
      <c r="Y94" s="353">
        <v>42514181.011045471</v>
      </c>
      <c r="Z94" s="354">
        <v>0.33348797633012955</v>
      </c>
      <c r="AA94" s="353">
        <v>26490210.287</v>
      </c>
      <c r="AB94" s="353">
        <v>40164</v>
      </c>
      <c r="AC94" s="354">
        <v>3.4007632327402629E-2</v>
      </c>
      <c r="AD94" s="353">
        <v>5250036.8089615116</v>
      </c>
      <c r="AE94" s="354">
        <v>4.1182121105058797E-2</v>
      </c>
      <c r="AF94" s="353">
        <v>3271251.5159999998</v>
      </c>
      <c r="AG94" s="353"/>
      <c r="AH94" s="354"/>
      <c r="AI94" s="353"/>
      <c r="AJ94" s="354"/>
      <c r="AK94" s="353"/>
      <c r="AL94" s="353">
        <v>1181029</v>
      </c>
      <c r="AM94" s="354">
        <v>1</v>
      </c>
      <c r="AN94" s="353">
        <v>127483399.78818136</v>
      </c>
      <c r="AO94" s="354">
        <v>1</v>
      </c>
      <c r="AP94" s="353">
        <v>79433779.228</v>
      </c>
    </row>
    <row r="95" spans="2:42" collapsed="1" x14ac:dyDescent="0.25">
      <c r="B95" s="355" t="s">
        <v>703</v>
      </c>
      <c r="C95" s="356"/>
      <c r="D95" s="343"/>
      <c r="E95" s="356"/>
      <c r="F95" s="343"/>
      <c r="G95" s="356"/>
      <c r="H95" s="356"/>
      <c r="I95" s="343"/>
      <c r="J95" s="356"/>
      <c r="K95" s="343"/>
      <c r="L95" s="356"/>
      <c r="M95" s="356">
        <v>404916.08333333331</v>
      </c>
      <c r="N95" s="343">
        <v>0.35905532327070533</v>
      </c>
      <c r="O95" s="356">
        <v>52832214.153444193</v>
      </c>
      <c r="P95" s="343">
        <v>0.43203514691082417</v>
      </c>
      <c r="Q95" s="356"/>
      <c r="R95" s="356">
        <v>205472.16666666666</v>
      </c>
      <c r="S95" s="343">
        <v>0.18220040710237426</v>
      </c>
      <c r="T95" s="356">
        <v>27155189.709874451</v>
      </c>
      <c r="U95" s="343">
        <v>0.22206141771046875</v>
      </c>
      <c r="V95" s="356"/>
      <c r="W95" s="356">
        <v>483521.75</v>
      </c>
      <c r="X95" s="343">
        <v>0.42875811902919103</v>
      </c>
      <c r="Y95" s="356">
        <v>37883354.75878574</v>
      </c>
      <c r="Z95" s="343">
        <v>0.30979092966180155</v>
      </c>
      <c r="AA95" s="356"/>
      <c r="AB95" s="356">
        <v>33816.166666666664</v>
      </c>
      <c r="AC95" s="343">
        <v>2.9986150597729321E-2</v>
      </c>
      <c r="AD95" s="356">
        <v>4416084.3146560742</v>
      </c>
      <c r="AE95" s="343">
        <v>3.6112505716905392E-2</v>
      </c>
      <c r="AF95" s="356"/>
      <c r="AG95" s="356"/>
      <c r="AH95" s="343"/>
      <c r="AI95" s="356"/>
      <c r="AJ95" s="343"/>
      <c r="AK95" s="356"/>
      <c r="AL95" s="356">
        <v>1127726.1666666667</v>
      </c>
      <c r="AM95" s="343">
        <v>1</v>
      </c>
      <c r="AN95" s="356">
        <v>122286842.93676047</v>
      </c>
      <c r="AO95" s="343">
        <v>0.99999999999999989</v>
      </c>
      <c r="AP95" s="356"/>
    </row>
    <row r="96" spans="2:42" hidden="1" outlineLevel="1" x14ac:dyDescent="0.25">
      <c r="B96" s="352">
        <v>41275</v>
      </c>
      <c r="C96" s="353"/>
      <c r="D96" s="354"/>
      <c r="E96" s="353"/>
      <c r="F96" s="354"/>
      <c r="G96" s="353"/>
      <c r="H96" s="353"/>
      <c r="I96" s="354"/>
      <c r="J96" s="353"/>
      <c r="K96" s="354"/>
      <c r="L96" s="353"/>
      <c r="M96" s="353">
        <v>407292</v>
      </c>
      <c r="N96" s="354">
        <v>0.34219173363467187</v>
      </c>
      <c r="O96" s="353">
        <v>53374418.284498572</v>
      </c>
      <c r="P96" s="354">
        <v>0.42065001039593208</v>
      </c>
      <c r="Q96" s="353">
        <v>33316246.745000001</v>
      </c>
      <c r="R96" s="353">
        <v>195551</v>
      </c>
      <c r="S96" s="354">
        <v>0.16429474603968092</v>
      </c>
      <c r="T96" s="353">
        <v>26190469.833030879</v>
      </c>
      <c r="U96" s="354">
        <v>0.20641014481535694</v>
      </c>
      <c r="V96" s="353">
        <v>16348059.301999999</v>
      </c>
      <c r="W96" s="353">
        <v>546324</v>
      </c>
      <c r="X96" s="354">
        <v>0.45900129805208173</v>
      </c>
      <c r="Y96" s="353">
        <v>42090045.840455621</v>
      </c>
      <c r="Z96" s="354">
        <v>0.33171655615954498</v>
      </c>
      <c r="AA96" s="353">
        <v>26272555.239</v>
      </c>
      <c r="AB96" s="353">
        <v>41078</v>
      </c>
      <c r="AC96" s="354">
        <v>3.4512222273565527E-2</v>
      </c>
      <c r="AD96" s="353">
        <v>5230640.6655850112</v>
      </c>
      <c r="AE96" s="354">
        <v>4.1223288629166008E-2</v>
      </c>
      <c r="AF96" s="353">
        <v>3264959.5189999999</v>
      </c>
      <c r="AG96" s="353"/>
      <c r="AH96" s="354"/>
      <c r="AI96" s="353"/>
      <c r="AJ96" s="354"/>
      <c r="AK96" s="353"/>
      <c r="AL96" s="353">
        <v>1190245</v>
      </c>
      <c r="AM96" s="354">
        <v>1</v>
      </c>
      <c r="AN96" s="353">
        <v>126885574.62357008</v>
      </c>
      <c r="AO96" s="354">
        <v>1</v>
      </c>
      <c r="AP96" s="353">
        <v>79201820.804999992</v>
      </c>
    </row>
    <row r="97" spans="2:42" hidden="1" outlineLevel="1" x14ac:dyDescent="0.25">
      <c r="B97" s="352">
        <v>41306</v>
      </c>
      <c r="C97" s="353"/>
      <c r="D97" s="354"/>
      <c r="E97" s="353"/>
      <c r="F97" s="354"/>
      <c r="G97" s="353"/>
      <c r="H97" s="353"/>
      <c r="I97" s="354"/>
      <c r="J97" s="353"/>
      <c r="K97" s="354"/>
      <c r="L97" s="353"/>
      <c r="M97" s="353">
        <v>407384</v>
      </c>
      <c r="N97" s="354">
        <v>0.34100270787208131</v>
      </c>
      <c r="O97" s="353">
        <v>53008900.371853933</v>
      </c>
      <c r="P97" s="354">
        <v>0.42121555459190879</v>
      </c>
      <c r="Q97" s="353">
        <v>33126898.195</v>
      </c>
      <c r="R97" s="353">
        <v>195641</v>
      </c>
      <c r="S97" s="354">
        <v>0.16376222623078437</v>
      </c>
      <c r="T97" s="353">
        <v>26061703.784603689</v>
      </c>
      <c r="U97" s="354">
        <v>0.20708965732612425</v>
      </c>
      <c r="V97" s="353">
        <v>16286763.204</v>
      </c>
      <c r="W97" s="353">
        <v>550022</v>
      </c>
      <c r="X97" s="354">
        <v>0.46039852176133056</v>
      </c>
      <c r="Y97" s="353">
        <v>41524024.827203058</v>
      </c>
      <c r="Z97" s="354">
        <v>0.32995525324583924</v>
      </c>
      <c r="AA97" s="353">
        <v>25949644.936000001</v>
      </c>
      <c r="AB97" s="353">
        <v>41618</v>
      </c>
      <c r="AC97" s="354">
        <v>3.4836544135803761E-2</v>
      </c>
      <c r="AD97" s="353">
        <v>5252813.7187133413</v>
      </c>
      <c r="AE97" s="354">
        <v>4.1739534836127828E-2</v>
      </c>
      <c r="AF97" s="353">
        <v>3282645.4440000001</v>
      </c>
      <c r="AG97" s="353"/>
      <c r="AH97" s="354"/>
      <c r="AI97" s="353"/>
      <c r="AJ97" s="354"/>
      <c r="AK97" s="353"/>
      <c r="AL97" s="353">
        <v>1194665</v>
      </c>
      <c r="AM97" s="354">
        <v>1</v>
      </c>
      <c r="AN97" s="353">
        <v>125847442.70237401</v>
      </c>
      <c r="AO97" s="354">
        <v>1</v>
      </c>
      <c r="AP97" s="353">
        <v>78645951.779000014</v>
      </c>
    </row>
    <row r="98" spans="2:42" hidden="1" outlineLevel="1" x14ac:dyDescent="0.25">
      <c r="B98" s="352">
        <v>41334</v>
      </c>
      <c r="C98" s="353"/>
      <c r="D98" s="354"/>
      <c r="E98" s="353"/>
      <c r="F98" s="354"/>
      <c r="G98" s="353"/>
      <c r="H98" s="353"/>
      <c r="I98" s="354"/>
      <c r="J98" s="353"/>
      <c r="K98" s="354"/>
      <c r="L98" s="353"/>
      <c r="M98" s="353">
        <v>407033</v>
      </c>
      <c r="N98" s="354">
        <v>0.33955975934089033</v>
      </c>
      <c r="O98" s="353">
        <v>52805013.788361318</v>
      </c>
      <c r="P98" s="354">
        <v>0.41920239906981044</v>
      </c>
      <c r="Q98" s="353">
        <v>33126135.346999999</v>
      </c>
      <c r="R98" s="353">
        <v>195663</v>
      </c>
      <c r="S98" s="354">
        <v>0.1632282424076589</v>
      </c>
      <c r="T98" s="353">
        <v>25992111.419106461</v>
      </c>
      <c r="U98" s="354">
        <v>0.20634319891382749</v>
      </c>
      <c r="V98" s="353">
        <v>16305614.544</v>
      </c>
      <c r="W98" s="353">
        <v>553656</v>
      </c>
      <c r="X98" s="354">
        <v>0.46187728787995075</v>
      </c>
      <c r="Y98" s="353">
        <v>41867800.276384272</v>
      </c>
      <c r="Z98" s="354">
        <v>0.33237530038301721</v>
      </c>
      <c r="AA98" s="353">
        <v>26264900.227000002</v>
      </c>
      <c r="AB98" s="353">
        <v>42356</v>
      </c>
      <c r="AC98" s="354">
        <v>3.5334710371499982E-2</v>
      </c>
      <c r="AD98" s="353">
        <v>5300512.4657709775</v>
      </c>
      <c r="AE98" s="354">
        <v>4.2079101633344815E-2</v>
      </c>
      <c r="AF98" s="353">
        <v>3325167.077</v>
      </c>
      <c r="AG98" s="353"/>
      <c r="AH98" s="354"/>
      <c r="AI98" s="353"/>
      <c r="AJ98" s="354"/>
      <c r="AK98" s="353"/>
      <c r="AL98" s="353">
        <v>1198708</v>
      </c>
      <c r="AM98" s="354">
        <v>0.99999999999999989</v>
      </c>
      <c r="AN98" s="353">
        <v>125965437.94962303</v>
      </c>
      <c r="AO98" s="354">
        <v>1</v>
      </c>
      <c r="AP98" s="353">
        <v>79021817.195000008</v>
      </c>
    </row>
    <row r="99" spans="2:42" hidden="1" outlineLevel="1" x14ac:dyDescent="0.25">
      <c r="B99" s="352">
        <v>41365</v>
      </c>
      <c r="C99" s="353"/>
      <c r="D99" s="354"/>
      <c r="E99" s="353"/>
      <c r="F99" s="354"/>
      <c r="G99" s="353"/>
      <c r="H99" s="353"/>
      <c r="I99" s="354"/>
      <c r="J99" s="353"/>
      <c r="K99" s="354"/>
      <c r="L99" s="353"/>
      <c r="M99" s="353">
        <v>407163</v>
      </c>
      <c r="N99" s="354">
        <v>0.33837900729259729</v>
      </c>
      <c r="O99" s="353">
        <v>53146763.084902957</v>
      </c>
      <c r="P99" s="354">
        <v>0.41932508415365366</v>
      </c>
      <c r="Q99" s="353">
        <v>33179247.028000001</v>
      </c>
      <c r="R99" s="353">
        <v>195429</v>
      </c>
      <c r="S99" s="354">
        <v>0.16241424445783384</v>
      </c>
      <c r="T99" s="353">
        <v>25856419.245425921</v>
      </c>
      <c r="U99" s="354">
        <v>0.204005748359118</v>
      </c>
      <c r="V99" s="353">
        <v>16142027.691</v>
      </c>
      <c r="W99" s="353">
        <v>557660</v>
      </c>
      <c r="X99" s="354">
        <v>0.46345182938231078</v>
      </c>
      <c r="Y99" s="353">
        <v>42347980.078691028</v>
      </c>
      <c r="Z99" s="354">
        <v>0.33412327072236386</v>
      </c>
      <c r="AA99" s="353">
        <v>26437623.114</v>
      </c>
      <c r="AB99" s="353">
        <v>43023</v>
      </c>
      <c r="AC99" s="354">
        <v>3.5754918867258109E-2</v>
      </c>
      <c r="AD99" s="353">
        <v>5392419.3449119385</v>
      </c>
      <c r="AE99" s="354">
        <v>4.2545896764864422E-2</v>
      </c>
      <c r="AF99" s="353">
        <v>3366459.2749999999</v>
      </c>
      <c r="AG99" s="353"/>
      <c r="AH99" s="354"/>
      <c r="AI99" s="353"/>
      <c r="AJ99" s="354"/>
      <c r="AK99" s="353"/>
      <c r="AL99" s="353">
        <v>1203275</v>
      </c>
      <c r="AM99" s="354">
        <v>1</v>
      </c>
      <c r="AN99" s="353">
        <v>126743581.75393185</v>
      </c>
      <c r="AO99" s="354">
        <v>1</v>
      </c>
      <c r="AP99" s="353">
        <v>79125357.10800001</v>
      </c>
    </row>
    <row r="100" spans="2:42" hidden="1" outlineLevel="1" x14ac:dyDescent="0.25">
      <c r="B100" s="352">
        <v>41395</v>
      </c>
      <c r="C100" s="353"/>
      <c r="D100" s="354"/>
      <c r="E100" s="353"/>
      <c r="F100" s="354"/>
      <c r="G100" s="353"/>
      <c r="H100" s="353"/>
      <c r="I100" s="354"/>
      <c r="J100" s="353"/>
      <c r="K100" s="354"/>
      <c r="L100" s="353"/>
      <c r="M100" s="353">
        <v>403102</v>
      </c>
      <c r="N100" s="354">
        <v>0.3353312242482121</v>
      </c>
      <c r="O100" s="353">
        <v>52323821.10219495</v>
      </c>
      <c r="P100" s="354">
        <v>0.41463631646069643</v>
      </c>
      <c r="Q100" s="353">
        <v>32662696.938999999</v>
      </c>
      <c r="R100" s="353">
        <v>194785</v>
      </c>
      <c r="S100" s="354">
        <v>0.16203713331908051</v>
      </c>
      <c r="T100" s="353">
        <v>25778285.356159721</v>
      </c>
      <c r="U100" s="354">
        <v>0.20427814826204271</v>
      </c>
      <c r="V100" s="353">
        <v>16091873.729</v>
      </c>
      <c r="W100" s="353">
        <v>557865</v>
      </c>
      <c r="X100" s="354">
        <v>0.46407498205225683</v>
      </c>
      <c r="Y100" s="353">
        <v>42287689.572068132</v>
      </c>
      <c r="Z100" s="354">
        <v>0.33510572176197956</v>
      </c>
      <c r="AA100" s="353">
        <v>26397727.835000001</v>
      </c>
      <c r="AB100" s="353">
        <v>46349</v>
      </c>
      <c r="AC100" s="354">
        <v>3.8556660380450559E-2</v>
      </c>
      <c r="AD100" s="353">
        <v>5802288.5144792115</v>
      </c>
      <c r="AE100" s="354">
        <v>4.5979813515281347E-2</v>
      </c>
      <c r="AF100" s="353">
        <v>3622028.8829999999</v>
      </c>
      <c r="AG100" s="353"/>
      <c r="AH100" s="354"/>
      <c r="AI100" s="353"/>
      <c r="AJ100" s="354"/>
      <c r="AK100" s="353"/>
      <c r="AL100" s="353">
        <v>1202101</v>
      </c>
      <c r="AM100" s="354">
        <v>1</v>
      </c>
      <c r="AN100" s="353">
        <v>126192084.54490201</v>
      </c>
      <c r="AO100" s="354">
        <v>1</v>
      </c>
      <c r="AP100" s="353">
        <v>78774327.385999992</v>
      </c>
    </row>
    <row r="101" spans="2:42" hidden="1" outlineLevel="1" x14ac:dyDescent="0.25">
      <c r="B101" s="352">
        <v>41426</v>
      </c>
      <c r="C101" s="353"/>
      <c r="D101" s="354"/>
      <c r="E101" s="353"/>
      <c r="F101" s="354"/>
      <c r="G101" s="353"/>
      <c r="H101" s="353"/>
      <c r="I101" s="354"/>
      <c r="J101" s="353"/>
      <c r="K101" s="354"/>
      <c r="L101" s="353"/>
      <c r="M101" s="353">
        <v>402501</v>
      </c>
      <c r="N101" s="354">
        <v>0.33400161150190816</v>
      </c>
      <c r="O101" s="353">
        <v>51889905.475451753</v>
      </c>
      <c r="P101" s="354">
        <v>0.41328247289202447</v>
      </c>
      <c r="Q101" s="353">
        <v>32599223.427000001</v>
      </c>
      <c r="R101" s="353">
        <v>194527</v>
      </c>
      <c r="S101" s="354">
        <v>0.16142154051948115</v>
      </c>
      <c r="T101" s="353">
        <v>25601206.535743006</v>
      </c>
      <c r="U101" s="354">
        <v>0.20390343457296914</v>
      </c>
      <c r="V101" s="353">
        <v>16083657.200999999</v>
      </c>
      <c r="W101" s="353">
        <v>560838</v>
      </c>
      <c r="X101" s="354">
        <v>0.46539212521585577</v>
      </c>
      <c r="Y101" s="353">
        <v>42167486.180629171</v>
      </c>
      <c r="Z101" s="354">
        <v>0.33584726749242499</v>
      </c>
      <c r="AA101" s="353">
        <v>26491227.739999998</v>
      </c>
      <c r="AB101" s="353">
        <v>47221</v>
      </c>
      <c r="AC101" s="354">
        <v>3.9184722762754885E-2</v>
      </c>
      <c r="AD101" s="353">
        <v>5896945.2415620703</v>
      </c>
      <c r="AE101" s="354">
        <v>4.69668250425814E-2</v>
      </c>
      <c r="AF101" s="353">
        <v>3704686.5610000002</v>
      </c>
      <c r="AG101" s="353"/>
      <c r="AH101" s="354"/>
      <c r="AI101" s="353"/>
      <c r="AJ101" s="354"/>
      <c r="AK101" s="353"/>
      <c r="AL101" s="353">
        <v>1205087</v>
      </c>
      <c r="AM101" s="354">
        <v>1</v>
      </c>
      <c r="AN101" s="353">
        <v>125555543.433386</v>
      </c>
      <c r="AO101" s="354">
        <v>1</v>
      </c>
      <c r="AP101" s="353">
        <v>78878794.929000005</v>
      </c>
    </row>
    <row r="102" spans="2:42" hidden="1" outlineLevel="1" x14ac:dyDescent="0.25">
      <c r="B102" s="352">
        <v>41456</v>
      </c>
      <c r="C102" s="353"/>
      <c r="D102" s="354"/>
      <c r="E102" s="353"/>
      <c r="F102" s="354"/>
      <c r="G102" s="353"/>
      <c r="H102" s="353"/>
      <c r="I102" s="354"/>
      <c r="J102" s="353"/>
      <c r="K102" s="354"/>
      <c r="L102" s="353"/>
      <c r="M102" s="353">
        <v>400723</v>
      </c>
      <c r="N102" s="354">
        <v>0.33189440615679722</v>
      </c>
      <c r="O102" s="353">
        <v>52115594.35387224</v>
      </c>
      <c r="P102" s="354">
        <v>0.41034112445368182</v>
      </c>
      <c r="Q102" s="353">
        <v>32826371.927999999</v>
      </c>
      <c r="R102" s="353">
        <v>193707</v>
      </c>
      <c r="S102" s="354">
        <v>0.16043568682959231</v>
      </c>
      <c r="T102" s="353">
        <v>25821853.809436101</v>
      </c>
      <c r="U102" s="354">
        <v>0.20331282141187595</v>
      </c>
      <c r="V102" s="353">
        <v>16264570.855</v>
      </c>
      <c r="W102" s="353">
        <v>564939</v>
      </c>
      <c r="X102" s="354">
        <v>0.46790449742044971</v>
      </c>
      <c r="Y102" s="353">
        <v>43077484.760573685</v>
      </c>
      <c r="Z102" s="354">
        <v>0.33917800908619533</v>
      </c>
      <c r="AA102" s="353">
        <v>27133481.907000002</v>
      </c>
      <c r="AB102" s="353">
        <v>48012</v>
      </c>
      <c r="AC102" s="354">
        <v>3.976540959316073E-2</v>
      </c>
      <c r="AD102" s="353">
        <v>5990602.8319057412</v>
      </c>
      <c r="AE102" s="354">
        <v>4.7168045048246995E-2</v>
      </c>
      <c r="AF102" s="353">
        <v>3773338.0780000002</v>
      </c>
      <c r="AG102" s="353"/>
      <c r="AH102" s="354"/>
      <c r="AI102" s="353"/>
      <c r="AJ102" s="354"/>
      <c r="AK102" s="353"/>
      <c r="AL102" s="353">
        <v>1207381</v>
      </c>
      <c r="AM102" s="354">
        <v>1</v>
      </c>
      <c r="AN102" s="353">
        <v>127005535.75578776</v>
      </c>
      <c r="AO102" s="354">
        <v>1</v>
      </c>
      <c r="AP102" s="353">
        <v>79997762.767999992</v>
      </c>
    </row>
    <row r="103" spans="2:42" hidden="1" outlineLevel="1" x14ac:dyDescent="0.25">
      <c r="B103" s="352">
        <v>41487</v>
      </c>
      <c r="C103" s="353"/>
      <c r="D103" s="354"/>
      <c r="E103" s="353"/>
      <c r="F103" s="354"/>
      <c r="G103" s="353"/>
      <c r="H103" s="353"/>
      <c r="I103" s="354"/>
      <c r="J103" s="353"/>
      <c r="K103" s="354"/>
      <c r="L103" s="353"/>
      <c r="M103" s="353">
        <v>399188</v>
      </c>
      <c r="N103" s="354">
        <v>0.3300148974128766</v>
      </c>
      <c r="O103" s="353">
        <v>52107072.011282951</v>
      </c>
      <c r="P103" s="354">
        <v>0.40790726659532384</v>
      </c>
      <c r="Q103" s="353">
        <v>32899986.037999999</v>
      </c>
      <c r="R103" s="353">
        <v>192279</v>
      </c>
      <c r="S103" s="354">
        <v>0.15896002499987599</v>
      </c>
      <c r="T103" s="353">
        <v>25355263.595150724</v>
      </c>
      <c r="U103" s="354">
        <v>0.19848738122653162</v>
      </c>
      <c r="V103" s="353">
        <v>16009109.437000001</v>
      </c>
      <c r="W103" s="353">
        <v>569076</v>
      </c>
      <c r="X103" s="354">
        <v>0.47046393619079269</v>
      </c>
      <c r="Y103" s="353">
        <v>44137680.295857295</v>
      </c>
      <c r="Z103" s="354">
        <v>0.34552086364482232</v>
      </c>
      <c r="AA103" s="353">
        <v>27868176.227000002</v>
      </c>
      <c r="AB103" s="353">
        <v>49063</v>
      </c>
      <c r="AC103" s="354">
        <v>4.0561141396454711E-2</v>
      </c>
      <c r="AD103" s="353">
        <v>6142430.1840575561</v>
      </c>
      <c r="AE103" s="354">
        <v>4.8084488533322207E-2</v>
      </c>
      <c r="AF103" s="353">
        <v>3878280.9989999998</v>
      </c>
      <c r="AG103" s="353"/>
      <c r="AH103" s="354"/>
      <c r="AI103" s="353"/>
      <c r="AJ103" s="354"/>
      <c r="AK103" s="353"/>
      <c r="AL103" s="353">
        <v>1209606</v>
      </c>
      <c r="AM103" s="354">
        <v>1</v>
      </c>
      <c r="AN103" s="353">
        <v>127742446.08634853</v>
      </c>
      <c r="AO103" s="354">
        <v>1</v>
      </c>
      <c r="AP103" s="353">
        <v>80655552.701000005</v>
      </c>
    </row>
    <row r="104" spans="2:42" hidden="1" outlineLevel="1" x14ac:dyDescent="0.25">
      <c r="B104" s="352">
        <v>41518</v>
      </c>
      <c r="C104" s="353"/>
      <c r="D104" s="354"/>
      <c r="E104" s="353"/>
      <c r="F104" s="354"/>
      <c r="G104" s="353"/>
      <c r="H104" s="353"/>
      <c r="I104" s="354"/>
      <c r="J104" s="353"/>
      <c r="K104" s="354"/>
      <c r="L104" s="353"/>
      <c r="M104" s="353">
        <v>400350</v>
      </c>
      <c r="N104" s="354">
        <v>0.32974744483823965</v>
      </c>
      <c r="O104" s="353">
        <v>53841658.185439967</v>
      </c>
      <c r="P104" s="354">
        <v>0.41266316460913127</v>
      </c>
      <c r="Q104" s="353">
        <v>34177654.072999999</v>
      </c>
      <c r="R104" s="353">
        <v>189756</v>
      </c>
      <c r="S104" s="354">
        <v>0.15629213473891596</v>
      </c>
      <c r="T104" s="353">
        <v>25025604.309185956</v>
      </c>
      <c r="U104" s="354">
        <v>0.1918058510552576</v>
      </c>
      <c r="V104" s="353">
        <v>15885774.619000001</v>
      </c>
      <c r="W104" s="353">
        <v>572392</v>
      </c>
      <c r="X104" s="354">
        <v>0.47144948031934475</v>
      </c>
      <c r="Y104" s="353">
        <v>44976648.980107576</v>
      </c>
      <c r="Z104" s="354">
        <v>0.34471832642525041</v>
      </c>
      <c r="AA104" s="353">
        <v>28550315.908</v>
      </c>
      <c r="AB104" s="353">
        <v>51613</v>
      </c>
      <c r="AC104" s="354">
        <v>4.2510940103499595E-2</v>
      </c>
      <c r="AD104" s="353">
        <v>6629711.5743167372</v>
      </c>
      <c r="AE104" s="354">
        <v>5.0812657910360659E-2</v>
      </c>
      <c r="AF104" s="353">
        <v>4208414.0130000003</v>
      </c>
      <c r="AG104" s="353"/>
      <c r="AH104" s="354"/>
      <c r="AI104" s="353"/>
      <c r="AJ104" s="354"/>
      <c r="AK104" s="353"/>
      <c r="AL104" s="353">
        <v>1214111</v>
      </c>
      <c r="AM104" s="354">
        <v>1</v>
      </c>
      <c r="AN104" s="353">
        <v>130473623.04905024</v>
      </c>
      <c r="AO104" s="354">
        <v>1</v>
      </c>
      <c r="AP104" s="353">
        <v>82822158.612999991</v>
      </c>
    </row>
    <row r="105" spans="2:42" hidden="1" outlineLevel="1" x14ac:dyDescent="0.25">
      <c r="B105" s="352">
        <v>41548</v>
      </c>
      <c r="C105" s="353"/>
      <c r="D105" s="354"/>
      <c r="E105" s="353"/>
      <c r="F105" s="354"/>
      <c r="G105" s="353"/>
      <c r="H105" s="353"/>
      <c r="I105" s="354"/>
      <c r="J105" s="353"/>
      <c r="K105" s="354"/>
      <c r="L105" s="353"/>
      <c r="M105" s="353">
        <v>400134</v>
      </c>
      <c r="N105" s="354">
        <v>0.32862354489054751</v>
      </c>
      <c r="O105" s="353">
        <v>52452863.048156351</v>
      </c>
      <c r="P105" s="354">
        <v>0.40561745913669406</v>
      </c>
      <c r="Q105" s="353">
        <v>33343569.083000001</v>
      </c>
      <c r="R105" s="353">
        <v>187727</v>
      </c>
      <c r="S105" s="354">
        <v>0.15417713119022081</v>
      </c>
      <c r="T105" s="353">
        <v>24707897.22838334</v>
      </c>
      <c r="U105" s="354">
        <v>0.19106591922706637</v>
      </c>
      <c r="V105" s="353">
        <v>15706473.017000001</v>
      </c>
      <c r="W105" s="353">
        <v>576466</v>
      </c>
      <c r="X105" s="354">
        <v>0.47344214795262179</v>
      </c>
      <c r="Y105" s="353">
        <v>45162721.764575571</v>
      </c>
      <c r="Z105" s="354">
        <v>0.34924287036584356</v>
      </c>
      <c r="AA105" s="353">
        <v>28709325.776000001</v>
      </c>
      <c r="AB105" s="353">
        <v>53279</v>
      </c>
      <c r="AC105" s="354">
        <v>4.3757175966609892E-2</v>
      </c>
      <c r="AD105" s="353">
        <v>6992605.9788523763</v>
      </c>
      <c r="AE105" s="354">
        <v>5.4073751270396084E-2</v>
      </c>
      <c r="AF105" s="353">
        <v>4445104.1749999998</v>
      </c>
      <c r="AG105" s="353"/>
      <c r="AH105" s="354"/>
      <c r="AI105" s="353"/>
      <c r="AJ105" s="354"/>
      <c r="AK105" s="353"/>
      <c r="AL105" s="353">
        <v>1217606</v>
      </c>
      <c r="AM105" s="354">
        <v>1</v>
      </c>
      <c r="AN105" s="353">
        <v>129316088.01996763</v>
      </c>
      <c r="AO105" s="354">
        <v>1</v>
      </c>
      <c r="AP105" s="353">
        <v>82204472.050999999</v>
      </c>
    </row>
    <row r="106" spans="2:42" hidden="1" outlineLevel="1" x14ac:dyDescent="0.25">
      <c r="B106" s="352">
        <v>41579</v>
      </c>
      <c r="C106" s="353"/>
      <c r="D106" s="354"/>
      <c r="E106" s="353"/>
      <c r="F106" s="354"/>
      <c r="G106" s="353"/>
      <c r="H106" s="353"/>
      <c r="I106" s="354"/>
      <c r="J106" s="353"/>
      <c r="K106" s="354"/>
      <c r="L106" s="353"/>
      <c r="M106" s="353">
        <v>400749</v>
      </c>
      <c r="N106" s="354">
        <v>0.32741840868128691</v>
      </c>
      <c r="O106" s="353">
        <v>52286971.274169341</v>
      </c>
      <c r="P106" s="354">
        <v>0.4050019115285719</v>
      </c>
      <c r="Q106" s="353">
        <v>33361861.668000001</v>
      </c>
      <c r="R106" s="353">
        <v>187169</v>
      </c>
      <c r="S106" s="354">
        <v>0.15292009745368743</v>
      </c>
      <c r="T106" s="353">
        <v>24491952.949339058</v>
      </c>
      <c r="U106" s="354">
        <v>0.18970859317013952</v>
      </c>
      <c r="V106" s="353">
        <v>15627165.359999999</v>
      </c>
      <c r="W106" s="353">
        <v>582144</v>
      </c>
      <c r="X106" s="354">
        <v>0.47562105483322248</v>
      </c>
      <c r="Y106" s="353">
        <v>45512356.579025552</v>
      </c>
      <c r="Z106" s="354">
        <v>0.3525274263070835</v>
      </c>
      <c r="AA106" s="353">
        <v>29039298.077</v>
      </c>
      <c r="AB106" s="353">
        <v>53904</v>
      </c>
      <c r="AC106" s="354">
        <v>4.4040439031803172E-2</v>
      </c>
      <c r="AD106" s="353">
        <v>6811742.6296915514</v>
      </c>
      <c r="AE106" s="354">
        <v>5.2762068994205033E-2</v>
      </c>
      <c r="AF106" s="353">
        <v>4346253.1830000002</v>
      </c>
      <c r="AG106" s="353"/>
      <c r="AH106" s="354"/>
      <c r="AI106" s="353"/>
      <c r="AJ106" s="354"/>
      <c r="AK106" s="353"/>
      <c r="AL106" s="353">
        <v>1223966</v>
      </c>
      <c r="AM106" s="354">
        <v>1</v>
      </c>
      <c r="AN106" s="353">
        <v>129103023.43222551</v>
      </c>
      <c r="AO106" s="354">
        <v>1</v>
      </c>
      <c r="AP106" s="353">
        <v>82374578.287999988</v>
      </c>
    </row>
    <row r="107" spans="2:42" hidden="1" outlineLevel="1" x14ac:dyDescent="0.25">
      <c r="B107" s="352">
        <v>41609</v>
      </c>
      <c r="C107" s="353"/>
      <c r="D107" s="354"/>
      <c r="E107" s="353"/>
      <c r="F107" s="354"/>
      <c r="G107" s="353"/>
      <c r="H107" s="353"/>
      <c r="I107" s="354"/>
      <c r="J107" s="353"/>
      <c r="K107" s="354"/>
      <c r="L107" s="353"/>
      <c r="M107" s="353">
        <v>400768</v>
      </c>
      <c r="N107" s="354">
        <v>0.32611717069137802</v>
      </c>
      <c r="O107" s="353">
        <v>51960793.63664154</v>
      </c>
      <c r="P107" s="354">
        <v>0.40458654330121435</v>
      </c>
      <c r="Q107" s="353">
        <v>33352269.704999998</v>
      </c>
      <c r="R107" s="353">
        <v>186782</v>
      </c>
      <c r="S107" s="354">
        <v>0.15199022221354244</v>
      </c>
      <c r="T107" s="353">
        <v>24042104.830948405</v>
      </c>
      <c r="U107" s="354">
        <v>0.18720099148715677</v>
      </c>
      <c r="V107" s="353">
        <v>15431996.096999999</v>
      </c>
      <c r="W107" s="353">
        <v>586883</v>
      </c>
      <c r="X107" s="354">
        <v>0.47756463461870213</v>
      </c>
      <c r="Y107" s="353">
        <v>45626462.145931832</v>
      </c>
      <c r="Z107" s="354">
        <v>0.35526502408286564</v>
      </c>
      <c r="AA107" s="353">
        <v>29286428.568</v>
      </c>
      <c r="AB107" s="353">
        <v>54475</v>
      </c>
      <c r="AC107" s="354">
        <v>4.4327972476377403E-2</v>
      </c>
      <c r="AD107" s="353">
        <v>6800006.346310012</v>
      </c>
      <c r="AE107" s="354">
        <v>5.2947441128763137E-2</v>
      </c>
      <c r="AF107" s="353">
        <v>4364745.6050000004</v>
      </c>
      <c r="AG107" s="353"/>
      <c r="AH107" s="354"/>
      <c r="AI107" s="353"/>
      <c r="AJ107" s="354"/>
      <c r="AK107" s="353"/>
      <c r="AL107" s="353">
        <v>1228908</v>
      </c>
      <c r="AM107" s="354">
        <v>1</v>
      </c>
      <c r="AN107" s="353">
        <v>128429366.9598318</v>
      </c>
      <c r="AO107" s="354">
        <v>0.99999999999999989</v>
      </c>
      <c r="AP107" s="353">
        <v>82435439.975000009</v>
      </c>
    </row>
    <row r="108" spans="2:42" collapsed="1" x14ac:dyDescent="0.25">
      <c r="B108" s="355" t="s">
        <v>704</v>
      </c>
      <c r="C108" s="356"/>
      <c r="D108" s="343"/>
      <c r="E108" s="356"/>
      <c r="F108" s="343"/>
      <c r="G108" s="356"/>
      <c r="H108" s="356"/>
      <c r="I108" s="343"/>
      <c r="J108" s="356"/>
      <c r="K108" s="343"/>
      <c r="L108" s="356"/>
      <c r="M108" s="356">
        <v>403032.25</v>
      </c>
      <c r="N108" s="343">
        <v>0.33364381709034413</v>
      </c>
      <c r="O108" s="356">
        <v>52609481.218068816</v>
      </c>
      <c r="P108" s="343">
        <v>0.41282311609527722</v>
      </c>
      <c r="Q108" s="356"/>
      <c r="R108" s="356">
        <v>192418</v>
      </c>
      <c r="S108" s="343">
        <v>0.15929017094014147</v>
      </c>
      <c r="T108" s="356">
        <v>25410406.074709434</v>
      </c>
      <c r="U108" s="343">
        <v>0.19939377416641588</v>
      </c>
      <c r="V108" s="356"/>
      <c r="W108" s="356">
        <v>564855.41666666663</v>
      </c>
      <c r="X108" s="343">
        <v>0.46760654344862829</v>
      </c>
      <c r="Y108" s="356">
        <v>43398198.441791907</v>
      </c>
      <c r="Z108" s="343">
        <v>0.34054278998494542</v>
      </c>
      <c r="AA108" s="356"/>
      <c r="AB108" s="356">
        <v>47665.916666666664</v>
      </c>
      <c r="AC108" s="343">
        <v>3.9459468520886151E-2</v>
      </c>
      <c r="AD108" s="356">
        <v>6020226.6246797098</v>
      </c>
      <c r="AE108" s="343">
        <v>4.7240319753361383E-2</v>
      </c>
      <c r="AF108" s="356"/>
      <c r="AG108" s="356"/>
      <c r="AH108" s="343"/>
      <c r="AI108" s="356"/>
      <c r="AJ108" s="343"/>
      <c r="AK108" s="356"/>
      <c r="AL108" s="356">
        <v>1207971.5833333333</v>
      </c>
      <c r="AM108" s="343">
        <v>1</v>
      </c>
      <c r="AN108" s="356">
        <v>127438312.35924987</v>
      </c>
      <c r="AO108" s="343">
        <v>0.99999999999999989</v>
      </c>
      <c r="AP108" s="356"/>
    </row>
    <row r="109" spans="2:42" hidden="1" outlineLevel="1" x14ac:dyDescent="0.25">
      <c r="B109" s="352">
        <v>41640</v>
      </c>
      <c r="C109" s="353"/>
      <c r="D109" s="354"/>
      <c r="E109" s="353"/>
      <c r="F109" s="354"/>
      <c r="G109" s="353"/>
      <c r="H109" s="353"/>
      <c r="I109" s="354"/>
      <c r="J109" s="353"/>
      <c r="K109" s="354"/>
      <c r="L109" s="353"/>
      <c r="M109" s="353">
        <v>398815</v>
      </c>
      <c r="N109" s="354">
        <v>0.32310345889173525</v>
      </c>
      <c r="O109" s="353">
        <v>51535482.217960365</v>
      </c>
      <c r="P109" s="354">
        <v>0.4003719244834007</v>
      </c>
      <c r="Q109" s="353">
        <v>33138486.980999999</v>
      </c>
      <c r="R109" s="353">
        <v>185913</v>
      </c>
      <c r="S109" s="354">
        <v>0.1506190422951473</v>
      </c>
      <c r="T109" s="353">
        <v>24461153.266455259</v>
      </c>
      <c r="U109" s="354">
        <v>0.19003526477066732</v>
      </c>
      <c r="V109" s="353">
        <v>15729077.796</v>
      </c>
      <c r="W109" s="353">
        <v>594176</v>
      </c>
      <c r="X109" s="354">
        <v>0.48137688098606041</v>
      </c>
      <c r="Y109" s="353">
        <v>45788195.644199967</v>
      </c>
      <c r="Z109" s="354">
        <v>0.35572206215433272</v>
      </c>
      <c r="AA109" s="353">
        <v>29442851.021000002</v>
      </c>
      <c r="AB109" s="353">
        <v>55422</v>
      </c>
      <c r="AC109" s="354">
        <v>4.4900617827057031E-2</v>
      </c>
      <c r="AD109" s="353">
        <v>6934190.0276668407</v>
      </c>
      <c r="AE109" s="354">
        <v>5.3870748591599293E-2</v>
      </c>
      <c r="AF109" s="353">
        <v>4458841.8710000003</v>
      </c>
      <c r="AG109" s="353"/>
      <c r="AH109" s="354"/>
      <c r="AI109" s="353"/>
      <c r="AJ109" s="354"/>
      <c r="AK109" s="353"/>
      <c r="AL109" s="353">
        <v>1234326</v>
      </c>
      <c r="AM109" s="354">
        <v>1</v>
      </c>
      <c r="AN109" s="353">
        <v>128719021.15628242</v>
      </c>
      <c r="AO109" s="354">
        <v>1</v>
      </c>
      <c r="AP109" s="353">
        <v>82769257.669</v>
      </c>
    </row>
    <row r="110" spans="2:42" hidden="1" outlineLevel="1" x14ac:dyDescent="0.25">
      <c r="B110" s="352">
        <v>41671</v>
      </c>
      <c r="C110" s="353"/>
      <c r="D110" s="354"/>
      <c r="E110" s="353"/>
      <c r="F110" s="354"/>
      <c r="G110" s="353"/>
      <c r="H110" s="353"/>
      <c r="I110" s="354"/>
      <c r="J110" s="353"/>
      <c r="K110" s="354"/>
      <c r="L110" s="353"/>
      <c r="M110" s="353">
        <v>397052</v>
      </c>
      <c r="N110" s="354">
        <v>0.32181176558313246</v>
      </c>
      <c r="O110" s="353">
        <v>50951895.948713891</v>
      </c>
      <c r="P110" s="354">
        <v>0.39973542737393597</v>
      </c>
      <c r="Q110" s="353">
        <v>32922676.230999999</v>
      </c>
      <c r="R110" s="353">
        <v>183701</v>
      </c>
      <c r="S110" s="354">
        <v>0.14889017848893096</v>
      </c>
      <c r="T110" s="353">
        <v>23844946.202157959</v>
      </c>
      <c r="U110" s="354">
        <v>0.18707193487799384</v>
      </c>
      <c r="V110" s="353">
        <v>15407462.842</v>
      </c>
      <c r="W110" s="353">
        <v>595309</v>
      </c>
      <c r="X110" s="354">
        <v>0.48249962311618882</v>
      </c>
      <c r="Y110" s="353">
        <v>45340850.340923287</v>
      </c>
      <c r="Z110" s="354">
        <v>0.35571481396432958</v>
      </c>
      <c r="AA110" s="353">
        <v>29297087.145</v>
      </c>
      <c r="AB110" s="353">
        <v>57740</v>
      </c>
      <c r="AC110" s="354">
        <v>4.6798432811747753E-2</v>
      </c>
      <c r="AD110" s="353">
        <v>7326356.1251679631</v>
      </c>
      <c r="AE110" s="354">
        <v>5.7477823783740709E-2</v>
      </c>
      <c r="AF110" s="353">
        <v>4733940.6349999998</v>
      </c>
      <c r="AG110" s="353"/>
      <c r="AH110" s="354"/>
      <c r="AI110" s="353"/>
      <c r="AJ110" s="354"/>
      <c r="AK110" s="353"/>
      <c r="AL110" s="353">
        <v>1233802</v>
      </c>
      <c r="AM110" s="354">
        <v>1</v>
      </c>
      <c r="AN110" s="353">
        <v>127464048.61696309</v>
      </c>
      <c r="AO110" s="354">
        <v>1.0000000000000002</v>
      </c>
      <c r="AP110" s="353">
        <v>82361166.853</v>
      </c>
    </row>
    <row r="111" spans="2:42" hidden="1" outlineLevel="1" x14ac:dyDescent="0.25">
      <c r="B111" s="352">
        <v>41699</v>
      </c>
      <c r="C111" s="353"/>
      <c r="D111" s="354"/>
      <c r="E111" s="353"/>
      <c r="F111" s="354"/>
      <c r="G111" s="353"/>
      <c r="H111" s="353"/>
      <c r="I111" s="354"/>
      <c r="J111" s="353"/>
      <c r="K111" s="354"/>
      <c r="L111" s="353"/>
      <c r="M111" s="353">
        <v>397518</v>
      </c>
      <c r="N111" s="354">
        <v>0.32096211607402386</v>
      </c>
      <c r="O111" s="353">
        <v>50688094.928772941</v>
      </c>
      <c r="P111" s="354">
        <v>0.39854143172092432</v>
      </c>
      <c r="Q111" s="353">
        <v>33026458.544</v>
      </c>
      <c r="R111" s="353">
        <v>183770</v>
      </c>
      <c r="S111" s="354">
        <v>0.1483787100733133</v>
      </c>
      <c r="T111" s="353">
        <v>23908828.960151099</v>
      </c>
      <c r="U111" s="354">
        <v>0.18798613240325993</v>
      </c>
      <c r="V111" s="353">
        <v>15578094.809</v>
      </c>
      <c r="W111" s="353">
        <v>598940</v>
      </c>
      <c r="X111" s="354">
        <v>0.48359332106062075</v>
      </c>
      <c r="Y111" s="353">
        <v>45278916.262081437</v>
      </c>
      <c r="Z111" s="354">
        <v>0.35601109371380801</v>
      </c>
      <c r="AA111" s="353">
        <v>29502040.921999998</v>
      </c>
      <c r="AB111" s="353">
        <v>58292</v>
      </c>
      <c r="AC111" s="354">
        <v>4.7065852792042118E-2</v>
      </c>
      <c r="AD111" s="353">
        <v>7308163.5544534354</v>
      </c>
      <c r="AE111" s="354">
        <v>5.7461342162007746E-2</v>
      </c>
      <c r="AF111" s="353">
        <v>4761724.8389999997</v>
      </c>
      <c r="AG111" s="353"/>
      <c r="AH111" s="354"/>
      <c r="AI111" s="353"/>
      <c r="AJ111" s="354"/>
      <c r="AK111" s="353"/>
      <c r="AL111" s="353">
        <v>1238520</v>
      </c>
      <c r="AM111" s="354">
        <v>1</v>
      </c>
      <c r="AN111" s="353">
        <v>127184003.70545891</v>
      </c>
      <c r="AO111" s="354">
        <v>1</v>
      </c>
      <c r="AP111" s="353">
        <v>82868319.114000008</v>
      </c>
    </row>
    <row r="112" spans="2:42" hidden="1" outlineLevel="1" x14ac:dyDescent="0.25">
      <c r="B112" s="352">
        <v>41730</v>
      </c>
      <c r="C112" s="353"/>
      <c r="D112" s="354"/>
      <c r="E112" s="353"/>
      <c r="F112" s="354"/>
      <c r="G112" s="353"/>
      <c r="H112" s="353"/>
      <c r="I112" s="354"/>
      <c r="J112" s="353"/>
      <c r="K112" s="354"/>
      <c r="L112" s="353"/>
      <c r="M112" s="353">
        <v>398547</v>
      </c>
      <c r="N112" s="354">
        <v>0.32072809971093613</v>
      </c>
      <c r="O112" s="353">
        <v>50439445.70472803</v>
      </c>
      <c r="P112" s="354">
        <v>0.39942317306162334</v>
      </c>
      <c r="Q112" s="353">
        <v>33068525.473999999</v>
      </c>
      <c r="R112" s="353">
        <v>183522</v>
      </c>
      <c r="S112" s="354">
        <v>0.14768813293074701</v>
      </c>
      <c r="T112" s="353">
        <v>23545238.89994403</v>
      </c>
      <c r="U112" s="354">
        <v>0.18645157377350127</v>
      </c>
      <c r="V112" s="353">
        <v>15436456.953</v>
      </c>
      <c r="W112" s="353">
        <v>602259</v>
      </c>
      <c r="X112" s="354">
        <v>0.48466400350224365</v>
      </c>
      <c r="Y112" s="353">
        <v>45164205.061484925</v>
      </c>
      <c r="Z112" s="354">
        <v>0.35764925332581843</v>
      </c>
      <c r="AA112" s="353">
        <v>29610033.272999998</v>
      </c>
      <c r="AB112" s="353">
        <v>58304</v>
      </c>
      <c r="AC112" s="354">
        <v>4.6919763856073236E-2</v>
      </c>
      <c r="AD112" s="353">
        <v>7131829.8977682507</v>
      </c>
      <c r="AE112" s="354">
        <v>5.6475999839057059E-2</v>
      </c>
      <c r="AF112" s="353">
        <v>4675687.7549999999</v>
      </c>
      <c r="AG112" s="353"/>
      <c r="AH112" s="354"/>
      <c r="AI112" s="353"/>
      <c r="AJ112" s="354"/>
      <c r="AK112" s="353"/>
      <c r="AL112" s="353">
        <v>1242632</v>
      </c>
      <c r="AM112" s="354">
        <v>1</v>
      </c>
      <c r="AN112" s="353">
        <v>126280719.56392522</v>
      </c>
      <c r="AO112" s="354">
        <v>1.0000000000000002</v>
      </c>
      <c r="AP112" s="353">
        <v>82790703.454999998</v>
      </c>
    </row>
    <row r="113" spans="2:42" hidden="1" outlineLevel="1" x14ac:dyDescent="0.25">
      <c r="B113" s="352">
        <v>41760</v>
      </c>
      <c r="C113" s="353"/>
      <c r="D113" s="354"/>
      <c r="E113" s="353"/>
      <c r="F113" s="354"/>
      <c r="G113" s="353"/>
      <c r="H113" s="353"/>
      <c r="I113" s="354"/>
      <c r="J113" s="353"/>
      <c r="K113" s="354"/>
      <c r="L113" s="353"/>
      <c r="M113" s="353">
        <v>398953</v>
      </c>
      <c r="N113" s="354">
        <v>0.31997411032306755</v>
      </c>
      <c r="O113" s="353">
        <v>50344729.853355147</v>
      </c>
      <c r="P113" s="354">
        <v>0.39885789458751858</v>
      </c>
      <c r="Q113" s="353">
        <v>33117869.868000001</v>
      </c>
      <c r="R113" s="353">
        <v>183558</v>
      </c>
      <c r="S113" s="354">
        <v>0.14721986735951761</v>
      </c>
      <c r="T113" s="353">
        <v>23367415.977966286</v>
      </c>
      <c r="U113" s="354">
        <v>0.18512917570658569</v>
      </c>
      <c r="V113" s="353">
        <v>15371599.843</v>
      </c>
      <c r="W113" s="353">
        <v>605684</v>
      </c>
      <c r="X113" s="354">
        <v>0.48577952550028913</v>
      </c>
      <c r="Y113" s="353">
        <v>45356307.337184757</v>
      </c>
      <c r="Z113" s="354">
        <v>0.35933694159187757</v>
      </c>
      <c r="AA113" s="353">
        <v>29836375.892000001</v>
      </c>
      <c r="AB113" s="353">
        <v>58634</v>
      </c>
      <c r="AC113" s="354">
        <v>4.7026496817125688E-2</v>
      </c>
      <c r="AD113" s="353">
        <v>7153769.1731612962</v>
      </c>
      <c r="AE113" s="354">
        <v>5.6675988114018097E-2</v>
      </c>
      <c r="AF113" s="353">
        <v>4705906.6009999998</v>
      </c>
      <c r="AG113" s="353"/>
      <c r="AH113" s="354"/>
      <c r="AI113" s="353"/>
      <c r="AJ113" s="354"/>
      <c r="AK113" s="353"/>
      <c r="AL113" s="353">
        <v>1246829</v>
      </c>
      <c r="AM113" s="354">
        <v>1</v>
      </c>
      <c r="AN113" s="353">
        <v>126222222.34166749</v>
      </c>
      <c r="AO113" s="354">
        <v>0.99999999999999989</v>
      </c>
      <c r="AP113" s="353">
        <v>83031752.203999996</v>
      </c>
    </row>
    <row r="114" spans="2:42" hidden="1" outlineLevel="1" x14ac:dyDescent="0.25">
      <c r="B114" s="352">
        <v>41791</v>
      </c>
      <c r="C114" s="353"/>
      <c r="D114" s="354"/>
      <c r="E114" s="353"/>
      <c r="F114" s="354"/>
      <c r="G114" s="353"/>
      <c r="H114" s="353"/>
      <c r="I114" s="354"/>
      <c r="J114" s="353"/>
      <c r="K114" s="354"/>
      <c r="L114" s="353"/>
      <c r="M114" s="353">
        <v>400312</v>
      </c>
      <c r="N114" s="354">
        <v>0.31937910032415651</v>
      </c>
      <c r="O114" s="353">
        <v>50773315.940284178</v>
      </c>
      <c r="P114" s="354">
        <v>0.39677082868932989</v>
      </c>
      <c r="Q114" s="353">
        <v>33417094.261</v>
      </c>
      <c r="R114" s="353">
        <v>183898</v>
      </c>
      <c r="S114" s="354">
        <v>0.14671850404537393</v>
      </c>
      <c r="T114" s="353">
        <v>23577809.780470498</v>
      </c>
      <c r="U114" s="354">
        <v>0.18425007214969594</v>
      </c>
      <c r="V114" s="353">
        <v>15518031.023</v>
      </c>
      <c r="W114" s="353">
        <v>609869</v>
      </c>
      <c r="X114" s="354">
        <v>0.48656900751312221</v>
      </c>
      <c r="Y114" s="353">
        <v>46339496.06174656</v>
      </c>
      <c r="Z114" s="354">
        <v>0.36212250299132648</v>
      </c>
      <c r="AA114" s="353">
        <v>30498920.136</v>
      </c>
      <c r="AB114" s="353">
        <v>59328</v>
      </c>
      <c r="AC114" s="354">
        <v>4.7333388117347358E-2</v>
      </c>
      <c r="AD114" s="353">
        <v>7275731.258133946</v>
      </c>
      <c r="AE114" s="354">
        <v>5.6856596169647555E-2</v>
      </c>
      <c r="AF114" s="353">
        <v>4788613.7189999996</v>
      </c>
      <c r="AG114" s="353"/>
      <c r="AH114" s="354"/>
      <c r="AI114" s="353"/>
      <c r="AJ114" s="354"/>
      <c r="AK114" s="353"/>
      <c r="AL114" s="353">
        <v>1253407</v>
      </c>
      <c r="AM114" s="354">
        <v>0.99999999999999989</v>
      </c>
      <c r="AN114" s="353">
        <v>127966353.0406352</v>
      </c>
      <c r="AO114" s="354">
        <v>0.99999999999999989</v>
      </c>
      <c r="AP114" s="353">
        <v>84222659.138999999</v>
      </c>
    </row>
    <row r="115" spans="2:42" hidden="1" outlineLevel="1" x14ac:dyDescent="0.25">
      <c r="B115" s="352">
        <v>41821</v>
      </c>
      <c r="C115" s="353"/>
      <c r="D115" s="354"/>
      <c r="E115" s="353"/>
      <c r="F115" s="354"/>
      <c r="G115" s="353"/>
      <c r="H115" s="353"/>
      <c r="I115" s="354"/>
      <c r="J115" s="353"/>
      <c r="K115" s="354"/>
      <c r="L115" s="353"/>
      <c r="M115" s="353">
        <v>400926</v>
      </c>
      <c r="N115" s="354">
        <v>0.31831119431602467</v>
      </c>
      <c r="O115" s="353">
        <v>52842309.256772108</v>
      </c>
      <c r="P115" s="354">
        <v>0.39815688110510805</v>
      </c>
      <c r="Q115" s="353">
        <v>34859602.413000003</v>
      </c>
      <c r="R115" s="353">
        <v>181885</v>
      </c>
      <c r="S115" s="354">
        <v>0.1444057795657307</v>
      </c>
      <c r="T115" s="353">
        <v>24164153.476969343</v>
      </c>
      <c r="U115" s="354">
        <v>0.18207236054321854</v>
      </c>
      <c r="V115" s="353">
        <v>15940877.579</v>
      </c>
      <c r="W115" s="353">
        <v>615089</v>
      </c>
      <c r="X115" s="354">
        <v>0.48834376967482601</v>
      </c>
      <c r="Y115" s="353">
        <v>47865047.445563138</v>
      </c>
      <c r="Z115" s="354">
        <v>0.36065414765027609</v>
      </c>
      <c r="AA115" s="353">
        <v>31576146.971999999</v>
      </c>
      <c r="AB115" s="353">
        <v>61641</v>
      </c>
      <c r="AC115" s="354">
        <v>4.8939256443418677E-2</v>
      </c>
      <c r="AD115" s="353">
        <v>7845797.4058491439</v>
      </c>
      <c r="AE115" s="354">
        <v>5.9116610701397357E-2</v>
      </c>
      <c r="AF115" s="353">
        <v>5175802.9129999997</v>
      </c>
      <c r="AG115" s="353"/>
      <c r="AH115" s="354"/>
      <c r="AI115" s="353"/>
      <c r="AJ115" s="354"/>
      <c r="AK115" s="353"/>
      <c r="AL115" s="353">
        <v>1259541</v>
      </c>
      <c r="AM115" s="354">
        <v>1</v>
      </c>
      <c r="AN115" s="353">
        <v>132717307.58515373</v>
      </c>
      <c r="AO115" s="354">
        <v>1</v>
      </c>
      <c r="AP115" s="353">
        <v>87552429.877000004</v>
      </c>
    </row>
    <row r="116" spans="2:42" hidden="1" outlineLevel="1" x14ac:dyDescent="0.25">
      <c r="B116" s="352">
        <v>41852</v>
      </c>
      <c r="C116" s="353"/>
      <c r="D116" s="354"/>
      <c r="E116" s="353"/>
      <c r="F116" s="354"/>
      <c r="G116" s="353"/>
      <c r="H116" s="353"/>
      <c r="I116" s="354"/>
      <c r="J116" s="353"/>
      <c r="K116" s="354"/>
      <c r="L116" s="353"/>
      <c r="M116" s="353">
        <v>400933</v>
      </c>
      <c r="N116" s="354">
        <v>0.31729574531059818</v>
      </c>
      <c r="O116" s="353">
        <v>52508745.567132324</v>
      </c>
      <c r="P116" s="354">
        <v>0.39154771441023173</v>
      </c>
      <c r="Q116" s="353">
        <v>34752019.269000001</v>
      </c>
      <c r="R116" s="353">
        <v>181876</v>
      </c>
      <c r="S116" s="354">
        <v>0.14393547294463252</v>
      </c>
      <c r="T116" s="353">
        <v>23983928.545722429</v>
      </c>
      <c r="U116" s="354">
        <v>0.17884358697256905</v>
      </c>
      <c r="V116" s="353">
        <v>15873354.771</v>
      </c>
      <c r="W116" s="353">
        <v>618705</v>
      </c>
      <c r="X116" s="354">
        <v>0.48963907710862825</v>
      </c>
      <c r="Y116" s="353">
        <v>49798536.594546549</v>
      </c>
      <c r="Z116" s="354">
        <v>0.37133820231222603</v>
      </c>
      <c r="AA116" s="353">
        <v>32958313.603</v>
      </c>
      <c r="AB116" s="353">
        <v>62080</v>
      </c>
      <c r="AC116" s="354">
        <v>4.9129704636141039E-2</v>
      </c>
      <c r="AD116" s="353">
        <v>7814400.5237191711</v>
      </c>
      <c r="AE116" s="354">
        <v>5.8270496304973142E-2</v>
      </c>
      <c r="AF116" s="353">
        <v>5171827.943</v>
      </c>
      <c r="AG116" s="353"/>
      <c r="AH116" s="354"/>
      <c r="AI116" s="353"/>
      <c r="AJ116" s="354"/>
      <c r="AK116" s="353"/>
      <c r="AL116" s="353">
        <v>1263594</v>
      </c>
      <c r="AM116" s="354">
        <v>1</v>
      </c>
      <c r="AN116" s="353">
        <v>134105611.23112048</v>
      </c>
      <c r="AO116" s="354">
        <v>1</v>
      </c>
      <c r="AP116" s="353">
        <v>88755515.58600001</v>
      </c>
    </row>
    <row r="117" spans="2:42" hidden="1" outlineLevel="1" x14ac:dyDescent="0.25">
      <c r="B117" s="352">
        <v>41883</v>
      </c>
      <c r="C117" s="353"/>
      <c r="D117" s="354"/>
      <c r="E117" s="353"/>
      <c r="F117" s="354"/>
      <c r="G117" s="353"/>
      <c r="H117" s="353"/>
      <c r="I117" s="354"/>
      <c r="J117" s="353"/>
      <c r="K117" s="354"/>
      <c r="L117" s="353"/>
      <c r="M117" s="353">
        <v>400274</v>
      </c>
      <c r="N117" s="354">
        <v>0.31579578527647534</v>
      </c>
      <c r="O117" s="353">
        <v>52099126.828508519</v>
      </c>
      <c r="P117" s="354">
        <v>0.38969173880847258</v>
      </c>
      <c r="Q117" s="353">
        <v>34769477.424999997</v>
      </c>
      <c r="R117" s="353">
        <v>182362</v>
      </c>
      <c r="S117" s="354">
        <v>0.14387432357482274</v>
      </c>
      <c r="T117" s="353">
        <v>23913129.662934326</v>
      </c>
      <c r="U117" s="354">
        <v>0.17886574393799906</v>
      </c>
      <c r="V117" s="353">
        <v>15958943.51</v>
      </c>
      <c r="W117" s="353">
        <v>622608</v>
      </c>
      <c r="X117" s="354">
        <v>0.49120597960251172</v>
      </c>
      <c r="Y117" s="353">
        <v>49998673.215752579</v>
      </c>
      <c r="Z117" s="354">
        <v>0.37398073805915671</v>
      </c>
      <c r="AA117" s="353">
        <v>33367694.344999999</v>
      </c>
      <c r="AB117" s="353">
        <v>62265</v>
      </c>
      <c r="AC117" s="354">
        <v>4.9123911546190203E-2</v>
      </c>
      <c r="AD117" s="353">
        <v>7682247.8484992338</v>
      </c>
      <c r="AE117" s="354">
        <v>5.7461779194371523E-2</v>
      </c>
      <c r="AF117" s="353">
        <v>5126914.0080000004</v>
      </c>
      <c r="AG117" s="353"/>
      <c r="AH117" s="354"/>
      <c r="AI117" s="353"/>
      <c r="AJ117" s="354"/>
      <c r="AK117" s="353"/>
      <c r="AL117" s="353">
        <v>1267509</v>
      </c>
      <c r="AM117" s="354">
        <v>1</v>
      </c>
      <c r="AN117" s="353">
        <v>133693177.55569467</v>
      </c>
      <c r="AO117" s="354">
        <v>0.99999999999999989</v>
      </c>
      <c r="AP117" s="353">
        <v>89223029.288000003</v>
      </c>
    </row>
    <row r="118" spans="2:42" hidden="1" outlineLevel="1" x14ac:dyDescent="0.25">
      <c r="B118" s="352">
        <v>41913</v>
      </c>
      <c r="C118" s="353"/>
      <c r="D118" s="354"/>
      <c r="E118" s="353"/>
      <c r="F118" s="354"/>
      <c r="G118" s="353"/>
      <c r="H118" s="353"/>
      <c r="I118" s="354"/>
      <c r="J118" s="353"/>
      <c r="K118" s="354"/>
      <c r="L118" s="353"/>
      <c r="M118" s="353">
        <v>400436</v>
      </c>
      <c r="N118" s="354">
        <v>0.31502388821276206</v>
      </c>
      <c r="O118" s="353">
        <v>51519563.419167817</v>
      </c>
      <c r="P118" s="354">
        <v>0.38861087863556637</v>
      </c>
      <c r="Q118" s="353">
        <v>34740593.515000001</v>
      </c>
      <c r="R118" s="353">
        <v>181608</v>
      </c>
      <c r="S118" s="354">
        <v>0.14287141588304569</v>
      </c>
      <c r="T118" s="353">
        <v>23605591.103641205</v>
      </c>
      <c r="U118" s="354">
        <v>0.17805642926090798</v>
      </c>
      <c r="V118" s="353">
        <v>15917686.23</v>
      </c>
      <c r="W118" s="353">
        <v>627020</v>
      </c>
      <c r="X118" s="354">
        <v>0.49327802292292916</v>
      </c>
      <c r="Y118" s="353">
        <v>49801307.179170005</v>
      </c>
      <c r="Z118" s="354">
        <v>0.37565011144672478</v>
      </c>
      <c r="AA118" s="353">
        <v>33581941.585000001</v>
      </c>
      <c r="AB118" s="353">
        <v>62065</v>
      </c>
      <c r="AC118" s="354">
        <v>4.8826672981263114E-2</v>
      </c>
      <c r="AD118" s="353">
        <v>7647190.3791355398</v>
      </c>
      <c r="AE118" s="354">
        <v>5.7682580656800805E-2</v>
      </c>
      <c r="AF118" s="353">
        <v>5156641.7659999998</v>
      </c>
      <c r="AG118" s="353"/>
      <c r="AH118" s="354"/>
      <c r="AI118" s="353"/>
      <c r="AJ118" s="354"/>
      <c r="AK118" s="353"/>
      <c r="AL118" s="353">
        <v>1271129</v>
      </c>
      <c r="AM118" s="354">
        <v>1</v>
      </c>
      <c r="AN118" s="353">
        <v>132573652.08111458</v>
      </c>
      <c r="AO118" s="354">
        <v>0.99999999999999989</v>
      </c>
      <c r="AP118" s="353">
        <v>89396863.096000016</v>
      </c>
    </row>
    <row r="119" spans="2:42" hidden="1" outlineLevel="1" x14ac:dyDescent="0.25">
      <c r="B119" s="352">
        <v>41944</v>
      </c>
      <c r="C119" s="353"/>
      <c r="D119" s="354"/>
      <c r="E119" s="353"/>
      <c r="F119" s="354"/>
      <c r="G119" s="353"/>
      <c r="H119" s="353"/>
      <c r="I119" s="354"/>
      <c r="J119" s="353"/>
      <c r="K119" s="354"/>
      <c r="L119" s="353"/>
      <c r="M119" s="353">
        <v>400577</v>
      </c>
      <c r="N119" s="354">
        <v>0.31431855810048415</v>
      </c>
      <c r="O119" s="353">
        <v>51621144.959023185</v>
      </c>
      <c r="P119" s="354">
        <v>0.38847796971910792</v>
      </c>
      <c r="Q119" s="353">
        <v>34817718.362999998</v>
      </c>
      <c r="R119" s="353">
        <v>181221</v>
      </c>
      <c r="S119" s="354">
        <v>0.14219768837833385</v>
      </c>
      <c r="T119" s="353">
        <v>23596626.159777366</v>
      </c>
      <c r="U119" s="354">
        <v>0.17757780130695811</v>
      </c>
      <c r="V119" s="353">
        <v>15915584.294</v>
      </c>
      <c r="W119" s="353">
        <v>630203</v>
      </c>
      <c r="X119" s="354">
        <v>0.49449793240899853</v>
      </c>
      <c r="Y119" s="353">
        <v>49960337.931780323</v>
      </c>
      <c r="Z119" s="354">
        <v>0.37597946852254044</v>
      </c>
      <c r="AA119" s="353">
        <v>33697527.957000002</v>
      </c>
      <c r="AB119" s="353">
        <v>62429</v>
      </c>
      <c r="AC119" s="354">
        <v>4.8985821112183484E-2</v>
      </c>
      <c r="AD119" s="353">
        <v>7702386.0682241088</v>
      </c>
      <c r="AE119" s="354">
        <v>5.7964760451393614E-2</v>
      </c>
      <c r="AF119" s="353">
        <v>5195148.4040000001</v>
      </c>
      <c r="AG119" s="353"/>
      <c r="AH119" s="354"/>
      <c r="AI119" s="353"/>
      <c r="AJ119" s="354"/>
      <c r="AK119" s="353"/>
      <c r="AL119" s="353">
        <v>1274430</v>
      </c>
      <c r="AM119" s="354">
        <v>1</v>
      </c>
      <c r="AN119" s="353">
        <v>132880495.11880498</v>
      </c>
      <c r="AO119" s="354">
        <v>1</v>
      </c>
      <c r="AP119" s="353">
        <v>89625979.017999992</v>
      </c>
    </row>
    <row r="120" spans="2:42" hidden="1" outlineLevel="1" x14ac:dyDescent="0.25">
      <c r="B120" s="352">
        <v>41974</v>
      </c>
      <c r="C120" s="353"/>
      <c r="D120" s="354"/>
      <c r="E120" s="353"/>
      <c r="F120" s="354"/>
      <c r="G120" s="353"/>
      <c r="H120" s="353"/>
      <c r="I120" s="354"/>
      <c r="J120" s="353"/>
      <c r="K120" s="354"/>
      <c r="L120" s="353"/>
      <c r="M120" s="353">
        <v>401656</v>
      </c>
      <c r="N120" s="354">
        <v>0.31339515054290323</v>
      </c>
      <c r="O120" s="353">
        <v>52021142.962517671</v>
      </c>
      <c r="P120" s="354">
        <v>0.38721997630686905</v>
      </c>
      <c r="Q120" s="353">
        <v>34942479.743000001</v>
      </c>
      <c r="R120" s="353">
        <v>181546</v>
      </c>
      <c r="S120" s="354">
        <v>0.14165264803827632</v>
      </c>
      <c r="T120" s="353">
        <v>23580876.458306156</v>
      </c>
      <c r="U120" s="354">
        <v>0.17552452528887311</v>
      </c>
      <c r="V120" s="353">
        <v>15839219.422</v>
      </c>
      <c r="W120" s="353">
        <v>635745</v>
      </c>
      <c r="X120" s="354">
        <v>0.49604487417565785</v>
      </c>
      <c r="Y120" s="353">
        <v>51040570.091659255</v>
      </c>
      <c r="Z120" s="354">
        <v>0.37992107085808768</v>
      </c>
      <c r="AA120" s="353">
        <v>34283831.244999997</v>
      </c>
      <c r="AB120" s="353">
        <v>62681</v>
      </c>
      <c r="AC120" s="354">
        <v>4.8907327243162602E-2</v>
      </c>
      <c r="AD120" s="353">
        <v>7702604.8100621011</v>
      </c>
      <c r="AE120" s="354">
        <v>5.7334427546170033E-2</v>
      </c>
      <c r="AF120" s="353">
        <v>5173821.5889999997</v>
      </c>
      <c r="AG120" s="353"/>
      <c r="AH120" s="354"/>
      <c r="AI120" s="353"/>
      <c r="AJ120" s="354"/>
      <c r="AK120" s="353"/>
      <c r="AL120" s="353">
        <v>1281628</v>
      </c>
      <c r="AM120" s="354">
        <v>1</v>
      </c>
      <c r="AN120" s="353">
        <v>134345194.3225452</v>
      </c>
      <c r="AO120" s="354">
        <v>0.99999999999999989</v>
      </c>
      <c r="AP120" s="353">
        <v>90239351.998999998</v>
      </c>
    </row>
    <row r="121" spans="2:42" collapsed="1" x14ac:dyDescent="0.25">
      <c r="B121" s="355" t="s">
        <v>705</v>
      </c>
      <c r="C121" s="356"/>
      <c r="D121" s="343"/>
      <c r="E121" s="356"/>
      <c r="F121" s="343"/>
      <c r="G121" s="356"/>
      <c r="H121" s="356"/>
      <c r="I121" s="343"/>
      <c r="J121" s="356"/>
      <c r="K121" s="343"/>
      <c r="L121" s="356"/>
      <c r="M121" s="356">
        <v>399666.58333333331</v>
      </c>
      <c r="N121" s="343">
        <v>0.31830414471771307</v>
      </c>
      <c r="O121" s="356">
        <v>51445416.465578012</v>
      </c>
      <c r="P121" s="343">
        <v>0.39468355634842239</v>
      </c>
      <c r="Q121" s="356"/>
      <c r="R121" s="356">
        <v>182905</v>
      </c>
      <c r="S121" s="343">
        <v>0.14566997096436421</v>
      </c>
      <c r="T121" s="356">
        <v>23795808.207874659</v>
      </c>
      <c r="U121" s="343">
        <v>0.18255881388292361</v>
      </c>
      <c r="V121" s="356"/>
      <c r="W121" s="356">
        <v>612967.25</v>
      </c>
      <c r="X121" s="343">
        <v>0.48818196063314928</v>
      </c>
      <c r="Y121" s="356">
        <v>47644370.26384107</v>
      </c>
      <c r="Z121" s="343">
        <v>0.36552234946520112</v>
      </c>
      <c r="AA121" s="356"/>
      <c r="AB121" s="356">
        <v>60073.416666666664</v>
      </c>
      <c r="AC121" s="343">
        <v>4.7843923684773436E-2</v>
      </c>
      <c r="AD121" s="356">
        <v>7460388.922653418</v>
      </c>
      <c r="AE121" s="343">
        <v>5.723528030345286E-2</v>
      </c>
      <c r="AF121" s="356"/>
      <c r="AG121" s="356"/>
      <c r="AH121" s="343"/>
      <c r="AI121" s="356"/>
      <c r="AJ121" s="343"/>
      <c r="AK121" s="356"/>
      <c r="AL121" s="356">
        <v>1255612.25</v>
      </c>
      <c r="AM121" s="343">
        <v>1</v>
      </c>
      <c r="AN121" s="356">
        <v>130345983.85994716</v>
      </c>
      <c r="AO121" s="343">
        <v>1</v>
      </c>
      <c r="AP121" s="356"/>
    </row>
    <row r="122" spans="2:42" hidden="1" outlineLevel="1" x14ac:dyDescent="0.25">
      <c r="B122" s="352">
        <v>42005</v>
      </c>
      <c r="C122" s="353"/>
      <c r="D122" s="354"/>
      <c r="E122" s="353"/>
      <c r="F122" s="354"/>
      <c r="G122" s="353"/>
      <c r="H122" s="353"/>
      <c r="I122" s="354"/>
      <c r="J122" s="353"/>
      <c r="K122" s="354"/>
      <c r="L122" s="353"/>
      <c r="M122" s="353">
        <v>398501</v>
      </c>
      <c r="N122" s="354">
        <v>0.30985395301894963</v>
      </c>
      <c r="O122" s="353">
        <v>51534937.945077285</v>
      </c>
      <c r="P122" s="354">
        <v>0.38335243987502327</v>
      </c>
      <c r="Q122" s="353">
        <v>34642699.799999997</v>
      </c>
      <c r="R122" s="353">
        <v>180092</v>
      </c>
      <c r="S122" s="354">
        <v>0.14003030885013759</v>
      </c>
      <c r="T122" s="353">
        <v>23471343.395180561</v>
      </c>
      <c r="U122" s="354">
        <v>0.17459605301700895</v>
      </c>
      <c r="V122" s="353">
        <v>15777853.540999999</v>
      </c>
      <c r="W122" s="353">
        <v>643828</v>
      </c>
      <c r="X122" s="354">
        <v>0.50060765434537002</v>
      </c>
      <c r="Y122" s="353">
        <v>51577660.650915071</v>
      </c>
      <c r="Z122" s="354">
        <v>0.38367024084993534</v>
      </c>
      <c r="AA122" s="353">
        <v>34671418.761</v>
      </c>
      <c r="AB122" s="353">
        <v>63672</v>
      </c>
      <c r="AC122" s="354">
        <v>4.9508083785542722E-2</v>
      </c>
      <c r="AD122" s="353">
        <v>7848326.0332022281</v>
      </c>
      <c r="AE122" s="354">
        <v>5.8381266258032458E-2</v>
      </c>
      <c r="AF122" s="353">
        <v>5275784.0319999997</v>
      </c>
      <c r="AG122" s="353"/>
      <c r="AH122" s="354"/>
      <c r="AI122" s="353"/>
      <c r="AJ122" s="354"/>
      <c r="AK122" s="353"/>
      <c r="AL122" s="353">
        <v>1286093</v>
      </c>
      <c r="AM122" s="354">
        <v>1</v>
      </c>
      <c r="AN122" s="353">
        <v>134432268.02437514</v>
      </c>
      <c r="AO122" s="354">
        <v>0.99999999999999989</v>
      </c>
      <c r="AP122" s="353">
        <v>90367756.134000003</v>
      </c>
    </row>
    <row r="123" spans="2:42" hidden="1" outlineLevel="1" x14ac:dyDescent="0.25">
      <c r="B123" s="352">
        <v>42036</v>
      </c>
      <c r="C123" s="353"/>
      <c r="D123" s="354"/>
      <c r="E123" s="353"/>
      <c r="F123" s="354"/>
      <c r="G123" s="353"/>
      <c r="H123" s="353"/>
      <c r="I123" s="354"/>
      <c r="J123" s="353"/>
      <c r="K123" s="354"/>
      <c r="L123" s="353"/>
      <c r="M123" s="353">
        <v>398712</v>
      </c>
      <c r="N123" s="354">
        <v>0.30927614340300563</v>
      </c>
      <c r="O123" s="353">
        <v>51242421.827827722</v>
      </c>
      <c r="P123" s="354">
        <v>0.38633940608582146</v>
      </c>
      <c r="Q123" s="353">
        <v>34567232.512999997</v>
      </c>
      <c r="R123" s="353">
        <v>179970</v>
      </c>
      <c r="S123" s="354">
        <v>0.13960058269688128</v>
      </c>
      <c r="T123" s="353">
        <v>23275492.167806067</v>
      </c>
      <c r="U123" s="354">
        <v>0.17548428625561288</v>
      </c>
      <c r="V123" s="353">
        <v>15701235.83</v>
      </c>
      <c r="W123" s="353">
        <v>646800</v>
      </c>
      <c r="X123" s="354">
        <v>0.50171504633184871</v>
      </c>
      <c r="Y123" s="353">
        <v>50325647.354363166</v>
      </c>
      <c r="Z123" s="354">
        <v>0.37942743563323461</v>
      </c>
      <c r="AA123" s="353">
        <v>33948792.648999996</v>
      </c>
      <c r="AB123" s="353">
        <v>63696</v>
      </c>
      <c r="AC123" s="354">
        <v>4.9408227568264428E-2</v>
      </c>
      <c r="AD123" s="353">
        <v>7792201.4550137436</v>
      </c>
      <c r="AE123" s="354">
        <v>5.8748872025331099E-2</v>
      </c>
      <c r="AF123" s="353">
        <v>5256481.4440000001</v>
      </c>
      <c r="AG123" s="353"/>
      <c r="AH123" s="354"/>
      <c r="AI123" s="353"/>
      <c r="AJ123" s="354"/>
      <c r="AK123" s="353"/>
      <c r="AL123" s="353">
        <v>1289178</v>
      </c>
      <c r="AM123" s="354">
        <v>1</v>
      </c>
      <c r="AN123" s="353">
        <v>132635762.80501069</v>
      </c>
      <c r="AO123" s="354">
        <v>1</v>
      </c>
      <c r="AP123" s="353">
        <v>89473742.43599999</v>
      </c>
    </row>
    <row r="124" spans="2:42" hidden="1" outlineLevel="1" x14ac:dyDescent="0.25">
      <c r="B124" s="352">
        <v>42064</v>
      </c>
      <c r="C124" s="353"/>
      <c r="D124" s="354"/>
      <c r="E124" s="353"/>
      <c r="F124" s="354"/>
      <c r="G124" s="353"/>
      <c r="H124" s="353"/>
      <c r="I124" s="354"/>
      <c r="J124" s="353"/>
      <c r="K124" s="354"/>
      <c r="L124" s="353"/>
      <c r="M124" s="353">
        <v>398938</v>
      </c>
      <c r="N124" s="354">
        <v>0.30834667262329407</v>
      </c>
      <c r="O124" s="353">
        <v>50977200.4735386</v>
      </c>
      <c r="P124" s="354">
        <v>0.3849983636859951</v>
      </c>
      <c r="Q124" s="353">
        <v>34604552.240000002</v>
      </c>
      <c r="R124" s="353">
        <v>180298</v>
      </c>
      <c r="S124" s="354">
        <v>0.13935571036259939</v>
      </c>
      <c r="T124" s="353">
        <v>23194060.654809058</v>
      </c>
      <c r="U124" s="354">
        <v>0.17516998415733814</v>
      </c>
      <c r="V124" s="353">
        <v>15744687.353</v>
      </c>
      <c r="W124" s="353">
        <v>650698</v>
      </c>
      <c r="X124" s="354">
        <v>0.5029367049081116</v>
      </c>
      <c r="Y124" s="353">
        <v>50446369.116908252</v>
      </c>
      <c r="Z124" s="354">
        <v>0.38098933216214781</v>
      </c>
      <c r="AA124" s="353">
        <v>34244211.122000001</v>
      </c>
      <c r="AB124" s="353">
        <v>63863</v>
      </c>
      <c r="AC124" s="354">
        <v>4.936091210599499E-2</v>
      </c>
      <c r="AD124" s="353">
        <v>7791245.432760302</v>
      </c>
      <c r="AE124" s="354">
        <v>5.8842319994518909E-2</v>
      </c>
      <c r="AF124" s="353">
        <v>5288885.17</v>
      </c>
      <c r="AG124" s="353"/>
      <c r="AH124" s="354"/>
      <c r="AI124" s="353"/>
      <c r="AJ124" s="354"/>
      <c r="AK124" s="353"/>
      <c r="AL124" s="353">
        <v>1293797</v>
      </c>
      <c r="AM124" s="354">
        <v>1</v>
      </c>
      <c r="AN124" s="353">
        <v>132408875.67801622</v>
      </c>
      <c r="AO124" s="354">
        <v>1</v>
      </c>
      <c r="AP124" s="353">
        <v>89882335.885000005</v>
      </c>
    </row>
    <row r="125" spans="2:42" hidden="1" outlineLevel="1" x14ac:dyDescent="0.25">
      <c r="B125" s="352">
        <v>42095</v>
      </c>
      <c r="C125" s="353"/>
      <c r="D125" s="354"/>
      <c r="E125" s="353"/>
      <c r="F125" s="354"/>
      <c r="G125" s="353"/>
      <c r="H125" s="353"/>
      <c r="I125" s="354"/>
      <c r="J125" s="353"/>
      <c r="K125" s="354"/>
      <c r="L125" s="353"/>
      <c r="M125" s="353">
        <v>399217</v>
      </c>
      <c r="N125" s="354">
        <v>0.30746865947986712</v>
      </c>
      <c r="O125" s="353">
        <v>50629899.399672478</v>
      </c>
      <c r="P125" s="354">
        <v>0.38342163555207426</v>
      </c>
      <c r="Q125" s="353">
        <v>34566362.949000001</v>
      </c>
      <c r="R125" s="353">
        <v>180102</v>
      </c>
      <c r="S125" s="354">
        <v>0.13871082771936824</v>
      </c>
      <c r="T125" s="353">
        <v>23157859.809725519</v>
      </c>
      <c r="U125" s="354">
        <v>0.17537511607593761</v>
      </c>
      <c r="V125" s="353">
        <v>15810479.515000001</v>
      </c>
      <c r="W125" s="353">
        <v>654785</v>
      </c>
      <c r="X125" s="354">
        <v>0.5043018363384445</v>
      </c>
      <c r="Y125" s="353">
        <v>50537776.175906464</v>
      </c>
      <c r="Z125" s="354">
        <v>0.38272398381767392</v>
      </c>
      <c r="AA125" s="353">
        <v>34503468.002999999</v>
      </c>
      <c r="AB125" s="353">
        <v>64295</v>
      </c>
      <c r="AC125" s="354">
        <v>4.9518676462320131E-2</v>
      </c>
      <c r="AD125" s="353">
        <v>7722045.4111532271</v>
      </c>
      <c r="AE125" s="354">
        <v>5.8479264554314188E-2</v>
      </c>
      <c r="AF125" s="353">
        <v>5272043.3490000004</v>
      </c>
      <c r="AG125" s="353"/>
      <c r="AH125" s="354"/>
      <c r="AI125" s="353"/>
      <c r="AJ125" s="354"/>
      <c r="AK125" s="353"/>
      <c r="AL125" s="353">
        <v>1298399</v>
      </c>
      <c r="AM125" s="354">
        <v>1</v>
      </c>
      <c r="AN125" s="353">
        <v>132047580.79645769</v>
      </c>
      <c r="AO125" s="354">
        <v>1</v>
      </c>
      <c r="AP125" s="353">
        <v>90152353.816000015</v>
      </c>
    </row>
    <row r="126" spans="2:42" hidden="1" outlineLevel="1" x14ac:dyDescent="0.25">
      <c r="B126" s="352">
        <v>42125</v>
      </c>
      <c r="C126" s="353"/>
      <c r="D126" s="354"/>
      <c r="E126" s="353"/>
      <c r="F126" s="354"/>
      <c r="G126" s="353"/>
      <c r="H126" s="353"/>
      <c r="I126" s="354"/>
      <c r="J126" s="353"/>
      <c r="K126" s="354"/>
      <c r="L126" s="353"/>
      <c r="M126" s="353">
        <v>399583</v>
      </c>
      <c r="N126" s="354">
        <v>0.30704795715284661</v>
      </c>
      <c r="O126" s="353">
        <v>50638357.473643526</v>
      </c>
      <c r="P126" s="354">
        <v>0.38335771605815661</v>
      </c>
      <c r="Q126" s="353">
        <v>34633217.473999999</v>
      </c>
      <c r="R126" s="353">
        <v>179949</v>
      </c>
      <c r="S126" s="354">
        <v>0.13827658544456994</v>
      </c>
      <c r="T126" s="353">
        <v>23148259.958027262</v>
      </c>
      <c r="U126" s="354">
        <v>0.17524391609361784</v>
      </c>
      <c r="V126" s="353">
        <v>15831846.869999999</v>
      </c>
      <c r="W126" s="353">
        <v>657398</v>
      </c>
      <c r="X126" s="354">
        <v>0.50515840998332528</v>
      </c>
      <c r="Y126" s="353">
        <v>50587488.134998016</v>
      </c>
      <c r="Z126" s="354">
        <v>0.38297260969899632</v>
      </c>
      <c r="AA126" s="353">
        <v>34598426.281000003</v>
      </c>
      <c r="AB126" s="353">
        <v>64440</v>
      </c>
      <c r="AC126" s="354">
        <v>4.9517047419258164E-2</v>
      </c>
      <c r="AD126" s="353">
        <v>7717555.4394749226</v>
      </c>
      <c r="AE126" s="354">
        <v>5.8425758149229193E-2</v>
      </c>
      <c r="AF126" s="353">
        <v>5278286.841</v>
      </c>
      <c r="AG126" s="353"/>
      <c r="AH126" s="354"/>
      <c r="AI126" s="353"/>
      <c r="AJ126" s="354"/>
      <c r="AK126" s="353"/>
      <c r="AL126" s="353">
        <v>1301370</v>
      </c>
      <c r="AM126" s="354">
        <v>1</v>
      </c>
      <c r="AN126" s="353">
        <v>132091661.00614373</v>
      </c>
      <c r="AO126" s="354">
        <v>0.99999999999999989</v>
      </c>
      <c r="AP126" s="353">
        <v>90341777.466000006</v>
      </c>
    </row>
    <row r="127" spans="2:42" hidden="1" outlineLevel="1" x14ac:dyDescent="0.25">
      <c r="B127" s="352">
        <v>42156</v>
      </c>
      <c r="C127" s="353"/>
      <c r="D127" s="354"/>
      <c r="E127" s="353"/>
      <c r="F127" s="354"/>
      <c r="G127" s="353"/>
      <c r="H127" s="353"/>
      <c r="I127" s="354"/>
      <c r="J127" s="353"/>
      <c r="K127" s="354"/>
      <c r="L127" s="353"/>
      <c r="M127" s="353">
        <v>399338</v>
      </c>
      <c r="N127" s="354">
        <v>0.3059121296827565</v>
      </c>
      <c r="O127" s="353">
        <v>50325460.862176992</v>
      </c>
      <c r="P127" s="354">
        <v>0.38150052045364141</v>
      </c>
      <c r="Q127" s="353">
        <v>34585973.230999999</v>
      </c>
      <c r="R127" s="353">
        <v>179401</v>
      </c>
      <c r="S127" s="354">
        <v>0.13742980126413262</v>
      </c>
      <c r="T127" s="353">
        <v>22991889.318284661</v>
      </c>
      <c r="U127" s="354">
        <v>0.17429383836463649</v>
      </c>
      <c r="V127" s="353">
        <v>15801084.676999999</v>
      </c>
      <c r="W127" s="353">
        <v>661536</v>
      </c>
      <c r="X127" s="354">
        <v>0.50676841828679464</v>
      </c>
      <c r="Y127" s="353">
        <v>50827107.44796516</v>
      </c>
      <c r="Z127" s="354">
        <v>0.38530333577382481</v>
      </c>
      <c r="AA127" s="353">
        <v>34930727.855999999</v>
      </c>
      <c r="AB127" s="353">
        <v>65126</v>
      </c>
      <c r="AC127" s="354">
        <v>4.9889650766316254E-2</v>
      </c>
      <c r="AD127" s="353">
        <v>7770069.781221549</v>
      </c>
      <c r="AE127" s="354">
        <v>5.8902305407897315E-2</v>
      </c>
      <c r="AF127" s="353">
        <v>5339949.6169999996</v>
      </c>
      <c r="AG127" s="353"/>
      <c r="AH127" s="354"/>
      <c r="AI127" s="353"/>
      <c r="AJ127" s="354"/>
      <c r="AK127" s="353"/>
      <c r="AL127" s="353">
        <v>1305401</v>
      </c>
      <c r="AM127" s="354">
        <v>1</v>
      </c>
      <c r="AN127" s="353">
        <v>131914527.40964836</v>
      </c>
      <c r="AO127" s="354">
        <v>1</v>
      </c>
      <c r="AP127" s="353">
        <v>90657735.380999997</v>
      </c>
    </row>
    <row r="128" spans="2:42" hidden="1" outlineLevel="1" x14ac:dyDescent="0.25">
      <c r="B128" s="352">
        <v>42186</v>
      </c>
      <c r="C128" s="353"/>
      <c r="D128" s="354"/>
      <c r="E128" s="353"/>
      <c r="F128" s="354"/>
      <c r="G128" s="353"/>
      <c r="H128" s="353"/>
      <c r="I128" s="354"/>
      <c r="J128" s="353"/>
      <c r="K128" s="354"/>
      <c r="L128" s="353"/>
      <c r="M128" s="353">
        <v>399884</v>
      </c>
      <c r="N128" s="354">
        <v>0.30448445346318287</v>
      </c>
      <c r="O128" s="353">
        <v>52343899.288771629</v>
      </c>
      <c r="P128" s="354">
        <v>0.37475226226590308</v>
      </c>
      <c r="Q128" s="353">
        <v>36125219.817000002</v>
      </c>
      <c r="R128" s="353">
        <v>179707</v>
      </c>
      <c r="S128" s="354">
        <v>0.13683465124513158</v>
      </c>
      <c r="T128" s="353">
        <v>24168303.497337449</v>
      </c>
      <c r="U128" s="354">
        <v>0.1730311752433584</v>
      </c>
      <c r="V128" s="353">
        <v>16679790.545</v>
      </c>
      <c r="W128" s="353">
        <v>668244</v>
      </c>
      <c r="X128" s="354">
        <v>0.50882233127619803</v>
      </c>
      <c r="Y128" s="353">
        <v>54984246.409658104</v>
      </c>
      <c r="Z128" s="354">
        <v>0.39365563152505423</v>
      </c>
      <c r="AA128" s="353">
        <v>37947459.303000003</v>
      </c>
      <c r="AB128" s="353">
        <v>65480</v>
      </c>
      <c r="AC128" s="354">
        <v>4.9858564015487529E-2</v>
      </c>
      <c r="AD128" s="353">
        <v>8179556.9536802871</v>
      </c>
      <c r="AE128" s="354">
        <v>5.8560930965684287E-2</v>
      </c>
      <c r="AF128" s="353">
        <v>5645133.3770000003</v>
      </c>
      <c r="AG128" s="353"/>
      <c r="AH128" s="354"/>
      <c r="AI128" s="353"/>
      <c r="AJ128" s="354"/>
      <c r="AK128" s="353"/>
      <c r="AL128" s="353">
        <v>1313315</v>
      </c>
      <c r="AM128" s="354">
        <v>1</v>
      </c>
      <c r="AN128" s="353">
        <v>139676006.14944747</v>
      </c>
      <c r="AO128" s="354">
        <v>1</v>
      </c>
      <c r="AP128" s="353">
        <v>96397603.042000011</v>
      </c>
    </row>
    <row r="129" spans="2:42" hidden="1" outlineLevel="1" x14ac:dyDescent="0.25">
      <c r="B129" s="352">
        <v>42217</v>
      </c>
      <c r="C129" s="353"/>
      <c r="D129" s="354"/>
      <c r="E129" s="353"/>
      <c r="F129" s="354"/>
      <c r="G129" s="353"/>
      <c r="H129" s="353"/>
      <c r="I129" s="354"/>
      <c r="J129" s="353"/>
      <c r="K129" s="354"/>
      <c r="L129" s="353"/>
      <c r="M129" s="353">
        <v>399355</v>
      </c>
      <c r="N129" s="354">
        <v>0.30360058872005086</v>
      </c>
      <c r="O129" s="353">
        <v>51791975.625300407</v>
      </c>
      <c r="P129" s="354">
        <v>0.37509368627352202</v>
      </c>
      <c r="Q129" s="353">
        <v>35985813.306999996</v>
      </c>
      <c r="R129" s="353">
        <v>179457</v>
      </c>
      <c r="S129" s="354">
        <v>0.13642811746424652</v>
      </c>
      <c r="T129" s="353">
        <v>23818376.402104847</v>
      </c>
      <c r="U129" s="354">
        <v>0.17250013149433621</v>
      </c>
      <c r="V129" s="353">
        <v>16549352.214</v>
      </c>
      <c r="W129" s="353">
        <v>670971</v>
      </c>
      <c r="X129" s="354">
        <v>0.51009049746236113</v>
      </c>
      <c r="Y129" s="353">
        <v>54431340.736858681</v>
      </c>
      <c r="Z129" s="354">
        <v>0.39420879391642299</v>
      </c>
      <c r="AA129" s="353">
        <v>37819682.338</v>
      </c>
      <c r="AB129" s="353">
        <v>65613</v>
      </c>
      <c r="AC129" s="354">
        <v>4.98807963533415E-2</v>
      </c>
      <c r="AD129" s="353">
        <v>8035746.3412644528</v>
      </c>
      <c r="AE129" s="354">
        <v>5.8197388315718808E-2</v>
      </c>
      <c r="AF129" s="353">
        <v>5583352.7130000005</v>
      </c>
      <c r="AG129" s="353"/>
      <c r="AH129" s="354"/>
      <c r="AI129" s="353"/>
      <c r="AJ129" s="354"/>
      <c r="AK129" s="353"/>
      <c r="AL129" s="353">
        <v>1315396</v>
      </c>
      <c r="AM129" s="354">
        <v>1</v>
      </c>
      <c r="AN129" s="353">
        <v>138077439.10552838</v>
      </c>
      <c r="AO129" s="354">
        <v>1</v>
      </c>
      <c r="AP129" s="353">
        <v>95938200.571999997</v>
      </c>
    </row>
    <row r="130" spans="2:42" hidden="1" outlineLevel="1" x14ac:dyDescent="0.25">
      <c r="B130" s="352">
        <v>42248</v>
      </c>
      <c r="C130" s="353"/>
      <c r="D130" s="354"/>
      <c r="E130" s="353"/>
      <c r="F130" s="354"/>
      <c r="G130" s="353"/>
      <c r="H130" s="353"/>
      <c r="I130" s="354"/>
      <c r="J130" s="353"/>
      <c r="K130" s="354"/>
      <c r="L130" s="353"/>
      <c r="M130" s="353">
        <v>399289</v>
      </c>
      <c r="N130" s="354">
        <v>0.30274441238063898</v>
      </c>
      <c r="O130" s="353">
        <v>51753293.519197248</v>
      </c>
      <c r="P130" s="354">
        <v>0.3734978687281208</v>
      </c>
      <c r="Q130" s="353">
        <v>36142935.524999999</v>
      </c>
      <c r="R130" s="353">
        <v>179362</v>
      </c>
      <c r="S130" s="354">
        <v>0.13599383727930439</v>
      </c>
      <c r="T130" s="353">
        <v>23855652.341395997</v>
      </c>
      <c r="U130" s="354">
        <v>0.1721636383069097</v>
      </c>
      <c r="V130" s="353">
        <v>16660066.362</v>
      </c>
      <c r="W130" s="353">
        <v>674715</v>
      </c>
      <c r="X130" s="354">
        <v>0.51157481473169264</v>
      </c>
      <c r="Y130" s="353">
        <v>54917666.902935378</v>
      </c>
      <c r="Z130" s="354">
        <v>0.39633480594155196</v>
      </c>
      <c r="AA130" s="353">
        <v>38352838.226999998</v>
      </c>
      <c r="AB130" s="353">
        <v>65532</v>
      </c>
      <c r="AC130" s="354">
        <v>4.9686935608363951E-2</v>
      </c>
      <c r="AD130" s="353">
        <v>8037212.7689535432</v>
      </c>
      <c r="AE130" s="354">
        <v>5.8003687023417662E-2</v>
      </c>
      <c r="AF130" s="353">
        <v>5612946.4069999997</v>
      </c>
      <c r="AG130" s="353"/>
      <c r="AH130" s="354"/>
      <c r="AI130" s="353"/>
      <c r="AJ130" s="354"/>
      <c r="AK130" s="353"/>
      <c r="AL130" s="353">
        <v>1318898</v>
      </c>
      <c r="AM130" s="354">
        <v>0.99999999999999989</v>
      </c>
      <c r="AN130" s="353">
        <v>138563825.53248215</v>
      </c>
      <c r="AO130" s="354">
        <v>1.0000000000000002</v>
      </c>
      <c r="AP130" s="353">
        <v>96768786.520999998</v>
      </c>
    </row>
    <row r="131" spans="2:42" hidden="1" outlineLevel="1" x14ac:dyDescent="0.25">
      <c r="B131" s="352">
        <v>42278</v>
      </c>
      <c r="C131" s="353"/>
      <c r="D131" s="354"/>
      <c r="E131" s="353"/>
      <c r="F131" s="354"/>
      <c r="G131" s="353"/>
      <c r="H131" s="353"/>
      <c r="I131" s="354"/>
      <c r="J131" s="353"/>
      <c r="K131" s="354"/>
      <c r="L131" s="353"/>
      <c r="M131" s="353">
        <v>399179</v>
      </c>
      <c r="N131" s="354">
        <v>0.30167767913621329</v>
      </c>
      <c r="O131" s="353">
        <v>51522895.91306451</v>
      </c>
      <c r="P131" s="354">
        <v>0.37219717869381974</v>
      </c>
      <c r="Q131" s="353">
        <v>36128802.527999997</v>
      </c>
      <c r="R131" s="353">
        <v>179490</v>
      </c>
      <c r="S131" s="354">
        <v>0.13564873560021676</v>
      </c>
      <c r="T131" s="353">
        <v>23753075.432092834</v>
      </c>
      <c r="U131" s="354">
        <v>0.17159027078065878</v>
      </c>
      <c r="V131" s="353">
        <v>16656093.5</v>
      </c>
      <c r="W131" s="353">
        <v>679171</v>
      </c>
      <c r="X131" s="354">
        <v>0.51328033543002294</v>
      </c>
      <c r="Y131" s="353">
        <v>55184667.737138048</v>
      </c>
      <c r="Z131" s="354">
        <v>0.39864951833405154</v>
      </c>
      <c r="AA131" s="353">
        <v>38696504.299999997</v>
      </c>
      <c r="AB131" s="353">
        <v>65357</v>
      </c>
      <c r="AC131" s="354">
        <v>4.9393249833547086E-2</v>
      </c>
      <c r="AD131" s="353">
        <v>7968394.9417608418</v>
      </c>
      <c r="AE131" s="354">
        <v>5.7563032191469979E-2</v>
      </c>
      <c r="AF131" s="353">
        <v>5587585.1349999998</v>
      </c>
      <c r="AG131" s="353"/>
      <c r="AH131" s="354"/>
      <c r="AI131" s="353"/>
      <c r="AJ131" s="354"/>
      <c r="AK131" s="353"/>
      <c r="AL131" s="353">
        <v>1323197</v>
      </c>
      <c r="AM131" s="354">
        <v>1</v>
      </c>
      <c r="AN131" s="353">
        <v>138429034.02405623</v>
      </c>
      <c r="AO131" s="354">
        <v>1</v>
      </c>
      <c r="AP131" s="353">
        <v>97068985.463</v>
      </c>
    </row>
    <row r="132" spans="2:42" hidden="1" outlineLevel="1" x14ac:dyDescent="0.25">
      <c r="B132" s="352">
        <v>42309</v>
      </c>
      <c r="C132" s="353"/>
      <c r="D132" s="354"/>
      <c r="E132" s="353"/>
      <c r="F132" s="354"/>
      <c r="G132" s="353"/>
      <c r="H132" s="353"/>
      <c r="I132" s="354"/>
      <c r="J132" s="353"/>
      <c r="K132" s="354"/>
      <c r="L132" s="353"/>
      <c r="M132" s="353">
        <v>399281</v>
      </c>
      <c r="N132" s="354">
        <v>0.30120207449316361</v>
      </c>
      <c r="O132" s="353">
        <v>51524230.449322887</v>
      </c>
      <c r="P132" s="354">
        <v>0.37198648411545793</v>
      </c>
      <c r="Q132" s="353">
        <v>36120436.370999999</v>
      </c>
      <c r="R132" s="353">
        <v>179523</v>
      </c>
      <c r="S132" s="354">
        <v>0.13542517680339464</v>
      </c>
      <c r="T132" s="353">
        <v>23700666.549475051</v>
      </c>
      <c r="U132" s="354">
        <v>0.17111032118380581</v>
      </c>
      <c r="V132" s="353">
        <v>16615064.613</v>
      </c>
      <c r="W132" s="353">
        <v>681546</v>
      </c>
      <c r="X132" s="354">
        <v>0.51413182461103257</v>
      </c>
      <c r="Y132" s="353">
        <v>55320338.224811062</v>
      </c>
      <c r="Z132" s="354">
        <v>0.39939302221244283</v>
      </c>
      <c r="AA132" s="353">
        <v>38781651.651000001</v>
      </c>
      <c r="AB132" s="353">
        <v>65275</v>
      </c>
      <c r="AC132" s="354">
        <v>4.9240924092409238E-2</v>
      </c>
      <c r="AD132" s="353">
        <v>7965793.1322779749</v>
      </c>
      <c r="AE132" s="354">
        <v>5.7510172488293522E-2</v>
      </c>
      <c r="AF132" s="353">
        <v>5584322.5889999997</v>
      </c>
      <c r="AG132" s="353"/>
      <c r="AH132" s="354"/>
      <c r="AI132" s="353"/>
      <c r="AJ132" s="354"/>
      <c r="AK132" s="353"/>
      <c r="AL132" s="353">
        <v>1325625</v>
      </c>
      <c r="AM132" s="354">
        <v>1</v>
      </c>
      <c r="AN132" s="353">
        <v>138511028.35588697</v>
      </c>
      <c r="AO132" s="354">
        <v>1.0000000000000002</v>
      </c>
      <c r="AP132" s="353">
        <v>97101475.223999992</v>
      </c>
    </row>
    <row r="133" spans="2:42" hidden="1" outlineLevel="1" x14ac:dyDescent="0.25">
      <c r="B133" s="352">
        <v>42339</v>
      </c>
      <c r="C133" s="353"/>
      <c r="D133" s="354"/>
      <c r="E133" s="353"/>
      <c r="F133" s="354"/>
      <c r="G133" s="353"/>
      <c r="H133" s="353"/>
      <c r="I133" s="354"/>
      <c r="J133" s="353"/>
      <c r="K133" s="354"/>
      <c r="L133" s="353"/>
      <c r="M133" s="353">
        <v>399514</v>
      </c>
      <c r="N133" s="354">
        <v>0.30018153020344007</v>
      </c>
      <c r="O133" s="353">
        <v>51538684.894192226</v>
      </c>
      <c r="P133" s="354">
        <v>0.37071823113938585</v>
      </c>
      <c r="Q133" s="353">
        <v>36134185.236000001</v>
      </c>
      <c r="R133" s="353">
        <v>179778</v>
      </c>
      <c r="S133" s="354">
        <v>0.13507920908131893</v>
      </c>
      <c r="T133" s="353">
        <v>23742011.69100612</v>
      </c>
      <c r="U133" s="354">
        <v>0.17077650692581484</v>
      </c>
      <c r="V133" s="353">
        <v>16645714.768999999</v>
      </c>
      <c r="W133" s="353">
        <v>686489</v>
      </c>
      <c r="X133" s="354">
        <v>0.51580499929371526</v>
      </c>
      <c r="Y133" s="353">
        <v>55815244.175220735</v>
      </c>
      <c r="Z133" s="354">
        <v>0.40147956110503008</v>
      </c>
      <c r="AA133" s="353">
        <v>39132515.239</v>
      </c>
      <c r="AB133" s="353">
        <v>65127</v>
      </c>
      <c r="AC133" s="354">
        <v>4.8934261421525758E-2</v>
      </c>
      <c r="AD133" s="353">
        <v>7927933.8836479215</v>
      </c>
      <c r="AE133" s="354">
        <v>5.7025700829769356E-2</v>
      </c>
      <c r="AF133" s="353">
        <v>5558338.0149999997</v>
      </c>
      <c r="AG133" s="353"/>
      <c r="AH133" s="354"/>
      <c r="AI133" s="353"/>
      <c r="AJ133" s="354"/>
      <c r="AK133" s="353"/>
      <c r="AL133" s="353">
        <v>1330908</v>
      </c>
      <c r="AM133" s="354">
        <v>1</v>
      </c>
      <c r="AN133" s="353">
        <v>139023874.64406699</v>
      </c>
      <c r="AO133" s="354">
        <v>1.0000000000000002</v>
      </c>
      <c r="AP133" s="353">
        <v>97470753.259000003</v>
      </c>
    </row>
    <row r="134" spans="2:42" collapsed="1" x14ac:dyDescent="0.25">
      <c r="B134" s="355" t="s">
        <v>706</v>
      </c>
      <c r="C134" s="356"/>
      <c r="D134" s="343"/>
      <c r="E134" s="356"/>
      <c r="F134" s="343"/>
      <c r="G134" s="356"/>
      <c r="H134" s="356"/>
      <c r="I134" s="343"/>
      <c r="J134" s="356"/>
      <c r="K134" s="343"/>
      <c r="L134" s="356"/>
      <c r="M134" s="356">
        <v>399232.58333333331</v>
      </c>
      <c r="N134" s="343">
        <v>0.30511527600062083</v>
      </c>
      <c r="O134" s="356">
        <v>51318604.805982135</v>
      </c>
      <c r="P134" s="343">
        <v>0.37831352867133211</v>
      </c>
      <c r="Q134" s="356"/>
      <c r="R134" s="356">
        <v>179760.75</v>
      </c>
      <c r="S134" s="343">
        <v>0.13738295204360684</v>
      </c>
      <c r="T134" s="356">
        <v>23523082.601437122</v>
      </c>
      <c r="U134" s="343">
        <v>0.17340885275079693</v>
      </c>
      <c r="V134" s="356"/>
      <c r="W134" s="356">
        <v>664681.75</v>
      </c>
      <c r="X134" s="343">
        <v>0.5079859812807338</v>
      </c>
      <c r="Y134" s="356">
        <v>52912962.755639844</v>
      </c>
      <c r="Z134" s="343">
        <v>0.39006691098132601</v>
      </c>
      <c r="AA134" s="356"/>
      <c r="AB134" s="356">
        <v>64789.666666666664</v>
      </c>
      <c r="AC134" s="343">
        <v>4.9515790675038564E-2</v>
      </c>
      <c r="AD134" s="356">
        <v>7896340.1312009161</v>
      </c>
      <c r="AE134" s="343">
        <v>5.8210707596544869E-2</v>
      </c>
      <c r="AF134" s="356"/>
      <c r="AG134" s="356"/>
      <c r="AH134" s="343"/>
      <c r="AI134" s="356"/>
      <c r="AJ134" s="343"/>
      <c r="AK134" s="356"/>
      <c r="AL134" s="356">
        <v>1308464.75</v>
      </c>
      <c r="AM134" s="343">
        <v>1</v>
      </c>
      <c r="AN134" s="356">
        <v>135650990.29426003</v>
      </c>
      <c r="AO134" s="343">
        <v>0.99999999999999989</v>
      </c>
      <c r="AP134" s="356"/>
    </row>
    <row r="135" spans="2:42" hidden="1" outlineLevel="1" x14ac:dyDescent="0.25">
      <c r="B135" s="352">
        <v>42370</v>
      </c>
      <c r="C135" s="353"/>
      <c r="D135" s="354"/>
      <c r="E135" s="353"/>
      <c r="F135" s="354"/>
      <c r="G135" s="353"/>
      <c r="H135" s="353"/>
      <c r="I135" s="354"/>
      <c r="J135" s="353"/>
      <c r="K135" s="354"/>
      <c r="L135" s="353"/>
      <c r="M135" s="353">
        <v>399298</v>
      </c>
      <c r="N135" s="354">
        <v>0.29925676328918782</v>
      </c>
      <c r="O135" s="353">
        <v>51253469.774010643</v>
      </c>
      <c r="P135" s="354">
        <v>0.369512080011213</v>
      </c>
      <c r="Q135" s="353">
        <v>36103351.443000004</v>
      </c>
      <c r="R135" s="353">
        <v>179950</v>
      </c>
      <c r="S135" s="354">
        <v>0.13486482415110856</v>
      </c>
      <c r="T135" s="353">
        <v>23665198.25541332</v>
      </c>
      <c r="U135" s="354">
        <v>0.1706143344010177</v>
      </c>
      <c r="V135" s="353">
        <v>16669953.729</v>
      </c>
      <c r="W135" s="353">
        <v>689781</v>
      </c>
      <c r="X135" s="354">
        <v>0.51696134074896261</v>
      </c>
      <c r="Y135" s="353">
        <v>55845327.060299486</v>
      </c>
      <c r="Z135" s="354">
        <v>0.402617092109957</v>
      </c>
      <c r="AA135" s="353">
        <v>39337892.208999999</v>
      </c>
      <c r="AB135" s="353">
        <v>65270</v>
      </c>
      <c r="AC135" s="354">
        <v>4.8917071810741071E-2</v>
      </c>
      <c r="AD135" s="353">
        <v>7941807.9044718696</v>
      </c>
      <c r="AE135" s="354">
        <v>5.7256493477812358E-2</v>
      </c>
      <c r="AF135" s="353">
        <v>5594272.6050000004</v>
      </c>
      <c r="AG135" s="353"/>
      <c r="AH135" s="354"/>
      <c r="AI135" s="353"/>
      <c r="AJ135" s="354"/>
      <c r="AK135" s="353"/>
      <c r="AL135" s="353">
        <v>1334299</v>
      </c>
      <c r="AM135" s="354">
        <v>1</v>
      </c>
      <c r="AN135" s="353">
        <v>138705802.99419531</v>
      </c>
      <c r="AO135" s="354">
        <v>1</v>
      </c>
      <c r="AP135" s="353">
        <v>97705469.986000016</v>
      </c>
    </row>
    <row r="136" spans="2:42" hidden="1" outlineLevel="1" x14ac:dyDescent="0.25">
      <c r="B136" s="352">
        <v>42401</v>
      </c>
      <c r="C136" s="353"/>
      <c r="D136" s="354"/>
      <c r="E136" s="353"/>
      <c r="F136" s="354"/>
      <c r="G136" s="353"/>
      <c r="H136" s="353"/>
      <c r="I136" s="354"/>
      <c r="J136" s="353"/>
      <c r="K136" s="354"/>
      <c r="L136" s="353"/>
      <c r="M136" s="353">
        <v>399535</v>
      </c>
      <c r="N136" s="354">
        <v>0.29858269717249392</v>
      </c>
      <c r="O136" s="353">
        <v>51227127.252760664</v>
      </c>
      <c r="P136" s="354">
        <v>0.37102686461921625</v>
      </c>
      <c r="Q136" s="353">
        <v>36185100.533</v>
      </c>
      <c r="R136" s="353">
        <v>180257</v>
      </c>
      <c r="S136" s="354">
        <v>0.13471065424611672</v>
      </c>
      <c r="T136" s="353">
        <v>23685031.352863699</v>
      </c>
      <c r="U136" s="354">
        <v>0.17154549537593428</v>
      </c>
      <c r="V136" s="353">
        <v>16730300.654999999</v>
      </c>
      <c r="W136" s="353">
        <v>693110</v>
      </c>
      <c r="X136" s="354">
        <v>0.51797878342880421</v>
      </c>
      <c r="Y136" s="353">
        <v>55272999.239006802</v>
      </c>
      <c r="Z136" s="354">
        <v>0.40033022942241686</v>
      </c>
      <c r="AA136" s="353">
        <v>39042966.909999996</v>
      </c>
      <c r="AB136" s="353">
        <v>65203</v>
      </c>
      <c r="AC136" s="354">
        <v>4.8727865152585183E-2</v>
      </c>
      <c r="AD136" s="353">
        <v>7883354.5401389133</v>
      </c>
      <c r="AE136" s="354">
        <v>5.7097410582432721E-2</v>
      </c>
      <c r="AF136" s="353">
        <v>5568533.5460000001</v>
      </c>
      <c r="AG136" s="353"/>
      <c r="AH136" s="354"/>
      <c r="AI136" s="353"/>
      <c r="AJ136" s="354"/>
      <c r="AK136" s="353"/>
      <c r="AL136" s="353">
        <v>1338105</v>
      </c>
      <c r="AM136" s="354">
        <v>1</v>
      </c>
      <c r="AN136" s="353">
        <v>138068512.38477007</v>
      </c>
      <c r="AO136" s="354">
        <v>1</v>
      </c>
      <c r="AP136" s="353">
        <v>97526901.643999994</v>
      </c>
    </row>
    <row r="137" spans="2:42" hidden="1" outlineLevel="1" x14ac:dyDescent="0.25">
      <c r="B137" s="352">
        <v>42430</v>
      </c>
      <c r="C137" s="353"/>
      <c r="D137" s="354"/>
      <c r="E137" s="353"/>
      <c r="F137" s="354"/>
      <c r="G137" s="353"/>
      <c r="H137" s="353"/>
      <c r="I137" s="354"/>
      <c r="J137" s="353"/>
      <c r="K137" s="354"/>
      <c r="L137" s="353"/>
      <c r="M137" s="353">
        <v>398717</v>
      </c>
      <c r="N137" s="354">
        <v>0.29784072811371098</v>
      </c>
      <c r="O137" s="353">
        <v>50691248.546991311</v>
      </c>
      <c r="P137" s="354">
        <v>0.3705677612956893</v>
      </c>
      <c r="Q137" s="353">
        <v>35942409.026000001</v>
      </c>
      <c r="R137" s="353">
        <v>180056</v>
      </c>
      <c r="S137" s="354">
        <v>0.13450143871779319</v>
      </c>
      <c r="T137" s="353">
        <v>23332022.421621338</v>
      </c>
      <c r="U137" s="354">
        <v>0.17056386581731217</v>
      </c>
      <c r="V137" s="353">
        <v>16543468.889</v>
      </c>
      <c r="W137" s="353">
        <v>694882</v>
      </c>
      <c r="X137" s="354">
        <v>0.51907533622371693</v>
      </c>
      <c r="Y137" s="353">
        <v>54966362.083088934</v>
      </c>
      <c r="Z137" s="354">
        <v>0.40182008389113705</v>
      </c>
      <c r="AA137" s="353">
        <v>38973659.660999998</v>
      </c>
      <c r="AB137" s="353">
        <v>65037</v>
      </c>
      <c r="AC137" s="354">
        <v>4.8582496944778931E-2</v>
      </c>
      <c r="AD137" s="353">
        <v>7803833.1951988172</v>
      </c>
      <c r="AE137" s="354">
        <v>5.7048288995861639E-2</v>
      </c>
      <c r="AF137" s="353">
        <v>5533273.9419999998</v>
      </c>
      <c r="AG137" s="353"/>
      <c r="AH137" s="354"/>
      <c r="AI137" s="353"/>
      <c r="AJ137" s="354"/>
      <c r="AK137" s="353"/>
      <c r="AL137" s="353">
        <v>1338692</v>
      </c>
      <c r="AM137" s="354">
        <v>1</v>
      </c>
      <c r="AN137" s="353">
        <v>136793466.24690038</v>
      </c>
      <c r="AO137" s="354">
        <v>1.0000000000000002</v>
      </c>
      <c r="AP137" s="353">
        <v>96992811.518000007</v>
      </c>
    </row>
    <row r="138" spans="2:42" hidden="1" outlineLevel="1" x14ac:dyDescent="0.25">
      <c r="B138" s="352">
        <v>42461</v>
      </c>
      <c r="C138" s="353"/>
      <c r="D138" s="354"/>
      <c r="E138" s="353"/>
      <c r="F138" s="354"/>
      <c r="G138" s="353"/>
      <c r="H138" s="353"/>
      <c r="I138" s="354"/>
      <c r="J138" s="353"/>
      <c r="K138" s="354"/>
      <c r="L138" s="353"/>
      <c r="M138" s="353">
        <v>399208</v>
      </c>
      <c r="N138" s="354">
        <v>0.29716928111337987</v>
      </c>
      <c r="O138" s="353">
        <v>50847024.423809446</v>
      </c>
      <c r="P138" s="354">
        <v>0.36991823816218206</v>
      </c>
      <c r="Q138" s="353">
        <v>36170375.527999997</v>
      </c>
      <c r="R138" s="353">
        <v>180600</v>
      </c>
      <c r="S138" s="354">
        <v>0.13443811789612534</v>
      </c>
      <c r="T138" s="353">
        <v>23602278.71865505</v>
      </c>
      <c r="U138" s="354">
        <v>0.17170942565774475</v>
      </c>
      <c r="V138" s="353">
        <v>16789640.971999999</v>
      </c>
      <c r="W138" s="353">
        <v>698498</v>
      </c>
      <c r="X138" s="354">
        <v>0.5199598918837639</v>
      </c>
      <c r="Y138" s="353">
        <v>55162136.878750086</v>
      </c>
      <c r="Z138" s="354">
        <v>0.4013112019568516</v>
      </c>
      <c r="AA138" s="353">
        <v>39239960.026000001</v>
      </c>
      <c r="AB138" s="353">
        <v>65063</v>
      </c>
      <c r="AC138" s="354">
        <v>4.8432709106730913E-2</v>
      </c>
      <c r="AD138" s="353">
        <v>7843324.7841821127</v>
      </c>
      <c r="AE138" s="354">
        <v>5.7061134223221718E-2</v>
      </c>
      <c r="AF138" s="353">
        <v>5579402.2570000002</v>
      </c>
      <c r="AG138" s="353"/>
      <c r="AH138" s="354"/>
      <c r="AI138" s="353"/>
      <c r="AJ138" s="354"/>
      <c r="AK138" s="353"/>
      <c r="AL138" s="353">
        <v>1343369</v>
      </c>
      <c r="AM138" s="354">
        <v>1</v>
      </c>
      <c r="AN138" s="353">
        <v>137454764.80539668</v>
      </c>
      <c r="AO138" s="354">
        <v>1</v>
      </c>
      <c r="AP138" s="353">
        <v>97779378.782999992</v>
      </c>
    </row>
    <row r="139" spans="2:42" hidden="1" outlineLevel="1" x14ac:dyDescent="0.25">
      <c r="B139" s="352">
        <v>42491</v>
      </c>
      <c r="C139" s="353"/>
      <c r="D139" s="354"/>
      <c r="E139" s="353"/>
      <c r="F139" s="354"/>
      <c r="G139" s="353"/>
      <c r="H139" s="353"/>
      <c r="I139" s="354"/>
      <c r="J139" s="353"/>
      <c r="K139" s="354"/>
      <c r="L139" s="353"/>
      <c r="M139" s="353">
        <v>399462</v>
      </c>
      <c r="N139" s="354">
        <v>0.29632272651743535</v>
      </c>
      <c r="O139" s="353">
        <v>50737882.291141719</v>
      </c>
      <c r="P139" s="354">
        <v>0.36804661406566536</v>
      </c>
      <c r="Q139" s="353">
        <v>36173747.001000002</v>
      </c>
      <c r="R139" s="353">
        <v>180821</v>
      </c>
      <c r="S139" s="354">
        <v>0.13413383934293921</v>
      </c>
      <c r="T139" s="353">
        <v>23342966.191131525</v>
      </c>
      <c r="U139" s="354">
        <v>0.16932712365875008</v>
      </c>
      <c r="V139" s="353">
        <v>16642447.716</v>
      </c>
      <c r="W139" s="353">
        <v>702762</v>
      </c>
      <c r="X139" s="354">
        <v>0.5213120445320103</v>
      </c>
      <c r="Y139" s="353">
        <v>55983242.953266151</v>
      </c>
      <c r="Z139" s="354">
        <v>0.40609584166587182</v>
      </c>
      <c r="AA139" s="353">
        <v>39913444.854999997</v>
      </c>
      <c r="AB139" s="353">
        <v>65019</v>
      </c>
      <c r="AC139" s="354">
        <v>4.8231389607615069E-2</v>
      </c>
      <c r="AD139" s="353">
        <v>7793126.5148185715</v>
      </c>
      <c r="AE139" s="354">
        <v>5.6530420609712695E-2</v>
      </c>
      <c r="AF139" s="353">
        <v>5556136.2470000004</v>
      </c>
      <c r="AG139" s="353"/>
      <c r="AH139" s="354"/>
      <c r="AI139" s="353"/>
      <c r="AJ139" s="354"/>
      <c r="AK139" s="353"/>
      <c r="AL139" s="353">
        <v>1348064</v>
      </c>
      <c r="AM139" s="354">
        <v>0.99999999999999989</v>
      </c>
      <c r="AN139" s="353">
        <v>137857217.95035797</v>
      </c>
      <c r="AO139" s="354">
        <v>0.99999999999999989</v>
      </c>
      <c r="AP139" s="353">
        <v>98285775.818999991</v>
      </c>
    </row>
    <row r="140" spans="2:42" hidden="1" outlineLevel="1" x14ac:dyDescent="0.25">
      <c r="B140" s="352">
        <v>42522</v>
      </c>
      <c r="C140" s="353"/>
      <c r="D140" s="354"/>
      <c r="E140" s="353"/>
      <c r="F140" s="354"/>
      <c r="G140" s="353"/>
      <c r="H140" s="353"/>
      <c r="I140" s="354"/>
      <c r="J140" s="353"/>
      <c r="K140" s="354"/>
      <c r="L140" s="353"/>
      <c r="M140" s="353">
        <v>399721</v>
      </c>
      <c r="N140" s="354">
        <v>0.29575925558709232</v>
      </c>
      <c r="O140" s="353">
        <v>50397504.199236691</v>
      </c>
      <c r="P140" s="354">
        <v>0.36841563381648224</v>
      </c>
      <c r="Q140" s="353">
        <v>36092681.343999997</v>
      </c>
      <c r="R140" s="353">
        <v>181197</v>
      </c>
      <c r="S140" s="354">
        <v>0.13407023857794403</v>
      </c>
      <c r="T140" s="353">
        <v>23477847.013801616</v>
      </c>
      <c r="U140" s="354">
        <v>0.1716276634263792</v>
      </c>
      <c r="V140" s="353">
        <v>16813897.124000002</v>
      </c>
      <c r="W140" s="353">
        <v>705597</v>
      </c>
      <c r="X140" s="354">
        <v>0.52208126034030133</v>
      </c>
      <c r="Y140" s="353">
        <v>55179375.446680903</v>
      </c>
      <c r="Z140" s="354">
        <v>0.40337204990191716</v>
      </c>
      <c r="AA140" s="353">
        <v>39517266.706</v>
      </c>
      <c r="AB140" s="353">
        <v>64993</v>
      </c>
      <c r="AC140" s="354">
        <v>4.8089245494662258E-2</v>
      </c>
      <c r="AD140" s="353">
        <v>7740511.0373353073</v>
      </c>
      <c r="AE140" s="354">
        <v>5.6584652855221254E-2</v>
      </c>
      <c r="AF140" s="353">
        <v>5543445.1119999997</v>
      </c>
      <c r="AG140" s="353"/>
      <c r="AH140" s="354"/>
      <c r="AI140" s="353"/>
      <c r="AJ140" s="354"/>
      <c r="AK140" s="353"/>
      <c r="AL140" s="353">
        <v>1351508</v>
      </c>
      <c r="AM140" s="354">
        <v>1</v>
      </c>
      <c r="AN140" s="353">
        <v>136795237.69705454</v>
      </c>
      <c r="AO140" s="354">
        <v>0.99999999999999989</v>
      </c>
      <c r="AP140" s="353">
        <v>97967290.285999998</v>
      </c>
    </row>
    <row r="141" spans="2:42" hidden="1" outlineLevel="1" x14ac:dyDescent="0.25">
      <c r="B141" s="352">
        <v>42552</v>
      </c>
      <c r="C141" s="353"/>
      <c r="D141" s="354"/>
      <c r="E141" s="353"/>
      <c r="F141" s="354"/>
      <c r="G141" s="353"/>
      <c r="H141" s="353"/>
      <c r="I141" s="354"/>
      <c r="J141" s="353"/>
      <c r="K141" s="354"/>
      <c r="L141" s="353"/>
      <c r="M141" s="353">
        <v>399646</v>
      </c>
      <c r="N141" s="354">
        <v>0.29512269148090081</v>
      </c>
      <c r="O141" s="353">
        <v>52370985.007303603</v>
      </c>
      <c r="P141" s="354">
        <v>0.36413976180336727</v>
      </c>
      <c r="Q141" s="353">
        <v>37596745.829999998</v>
      </c>
      <c r="R141" s="353">
        <v>181484</v>
      </c>
      <c r="S141" s="354">
        <v>0.13401872292158512</v>
      </c>
      <c r="T141" s="353">
        <v>24275784.874813661</v>
      </c>
      <c r="U141" s="354">
        <v>0.16879152684776974</v>
      </c>
      <c r="V141" s="353">
        <v>17427407.822000001</v>
      </c>
      <c r="W141" s="353">
        <v>708121</v>
      </c>
      <c r="X141" s="354">
        <v>0.52291922204687891</v>
      </c>
      <c r="Y141" s="353">
        <v>59107870.096244194</v>
      </c>
      <c r="Z141" s="354">
        <v>0.41098187736108244</v>
      </c>
      <c r="AA141" s="353">
        <v>42433106.199000001</v>
      </c>
      <c r="AB141" s="353">
        <v>64918</v>
      </c>
      <c r="AC141" s="354">
        <v>4.7939363550635113E-2</v>
      </c>
      <c r="AD141" s="353">
        <v>8066470.7620347971</v>
      </c>
      <c r="AE141" s="354">
        <v>5.6086833987780478E-2</v>
      </c>
      <c r="AF141" s="353">
        <v>5790860.1670000004</v>
      </c>
      <c r="AG141" s="353"/>
      <c r="AH141" s="354"/>
      <c r="AI141" s="353"/>
      <c r="AJ141" s="354"/>
      <c r="AK141" s="353"/>
      <c r="AL141" s="353">
        <v>1354169</v>
      </c>
      <c r="AM141" s="354">
        <v>1</v>
      </c>
      <c r="AN141" s="353">
        <v>143821110.74039626</v>
      </c>
      <c r="AO141" s="354">
        <v>1</v>
      </c>
      <c r="AP141" s="353">
        <v>103248120.01799999</v>
      </c>
    </row>
    <row r="142" spans="2:42" hidden="1" outlineLevel="1" x14ac:dyDescent="0.25">
      <c r="B142" s="352">
        <v>42583</v>
      </c>
      <c r="C142" s="353"/>
      <c r="D142" s="354"/>
      <c r="E142" s="353"/>
      <c r="F142" s="354"/>
      <c r="G142" s="353"/>
      <c r="H142" s="353"/>
      <c r="I142" s="354"/>
      <c r="J142" s="353"/>
      <c r="K142" s="354"/>
      <c r="L142" s="353"/>
      <c r="M142" s="353">
        <v>399449</v>
      </c>
      <c r="N142" s="354">
        <v>0.29425860936031284</v>
      </c>
      <c r="O142" s="353">
        <v>52352716.425651088</v>
      </c>
      <c r="P142" s="354">
        <v>0.36295523378433658</v>
      </c>
      <c r="Q142" s="353">
        <v>37601987.855999999</v>
      </c>
      <c r="R142" s="353">
        <v>181484</v>
      </c>
      <c r="S142" s="354">
        <v>0.13369223470617528</v>
      </c>
      <c r="T142" s="353">
        <v>24191604.409708921</v>
      </c>
      <c r="U142" s="354">
        <v>0.16771755189845225</v>
      </c>
      <c r="V142" s="353">
        <v>17375457.805</v>
      </c>
      <c r="W142" s="353">
        <v>711670</v>
      </c>
      <c r="X142" s="354">
        <v>0.52425972908544971</v>
      </c>
      <c r="Y142" s="353">
        <v>59649902.553975448</v>
      </c>
      <c r="Z142" s="354">
        <v>0.41354576810618288</v>
      </c>
      <c r="AA142" s="353">
        <v>42843142.908</v>
      </c>
      <c r="AB142" s="353">
        <v>64873</v>
      </c>
      <c r="AC142" s="354">
        <v>4.7789426848062137E-2</v>
      </c>
      <c r="AD142" s="353">
        <v>8045924.0244318675</v>
      </c>
      <c r="AE142" s="354">
        <v>5.5781446211028395E-2</v>
      </c>
      <c r="AF142" s="353">
        <v>5778931.0300000003</v>
      </c>
      <c r="AG142" s="353"/>
      <c r="AH142" s="354"/>
      <c r="AI142" s="353"/>
      <c r="AJ142" s="354"/>
      <c r="AK142" s="353"/>
      <c r="AL142" s="353">
        <v>1357476</v>
      </c>
      <c r="AM142" s="354">
        <v>0.99999999999999989</v>
      </c>
      <c r="AN142" s="353">
        <v>144240147.41376731</v>
      </c>
      <c r="AO142" s="354">
        <v>1.0000000000000002</v>
      </c>
      <c r="AP142" s="353">
        <v>103599519.59900001</v>
      </c>
    </row>
    <row r="143" spans="2:42" hidden="1" outlineLevel="1" x14ac:dyDescent="0.25">
      <c r="B143" s="352">
        <v>42614</v>
      </c>
      <c r="C143" s="353"/>
      <c r="D143" s="354"/>
      <c r="E143" s="353"/>
      <c r="F143" s="354"/>
      <c r="G143" s="353"/>
      <c r="H143" s="353"/>
      <c r="I143" s="354"/>
      <c r="J143" s="353"/>
      <c r="K143" s="354"/>
      <c r="L143" s="353"/>
      <c r="M143" s="353">
        <v>399070</v>
      </c>
      <c r="N143" s="354">
        <v>0.29345540113243623</v>
      </c>
      <c r="O143" s="353">
        <v>52197734.836157389</v>
      </c>
      <c r="P143" s="354">
        <v>0.36204289080456303</v>
      </c>
      <c r="Q143" s="353">
        <v>37581915.934</v>
      </c>
      <c r="R143" s="353">
        <v>181431</v>
      </c>
      <c r="S143" s="354">
        <v>0.13341495698213104</v>
      </c>
      <c r="T143" s="353">
        <v>24183052.991827805</v>
      </c>
      <c r="U143" s="354">
        <v>0.16773337849090866</v>
      </c>
      <c r="V143" s="353">
        <v>17411588.212000001</v>
      </c>
      <c r="W143" s="353">
        <v>714716</v>
      </c>
      <c r="X143" s="354">
        <v>0.52556511508199133</v>
      </c>
      <c r="Y143" s="353">
        <v>59810692.879119061</v>
      </c>
      <c r="Z143" s="354">
        <v>0.41484628057040512</v>
      </c>
      <c r="AA143" s="353">
        <v>43063179.634000003</v>
      </c>
      <c r="AB143" s="353">
        <v>64683</v>
      </c>
      <c r="AC143" s="354">
        <v>4.7564526803441427E-2</v>
      </c>
      <c r="AD143" s="353">
        <v>7984074.6260195654</v>
      </c>
      <c r="AE143" s="354">
        <v>5.5377450134123062E-2</v>
      </c>
      <c r="AF143" s="353">
        <v>5748464.4179999996</v>
      </c>
      <c r="AG143" s="353"/>
      <c r="AH143" s="354"/>
      <c r="AI143" s="353"/>
      <c r="AJ143" s="354"/>
      <c r="AK143" s="353"/>
      <c r="AL143" s="353">
        <v>1359900</v>
      </c>
      <c r="AM143" s="354">
        <v>1</v>
      </c>
      <c r="AN143" s="353">
        <v>144175555.33312383</v>
      </c>
      <c r="AO143" s="354">
        <v>1</v>
      </c>
      <c r="AP143" s="353">
        <v>103805148.198</v>
      </c>
    </row>
    <row r="144" spans="2:42" hidden="1" outlineLevel="1" x14ac:dyDescent="0.25">
      <c r="B144" s="352">
        <v>42644</v>
      </c>
      <c r="C144" s="353"/>
      <c r="D144" s="354"/>
      <c r="E144" s="353"/>
      <c r="F144" s="354"/>
      <c r="G144" s="353"/>
      <c r="H144" s="353"/>
      <c r="I144" s="354"/>
      <c r="J144" s="353"/>
      <c r="K144" s="354"/>
      <c r="L144" s="353"/>
      <c r="M144" s="353">
        <v>398626</v>
      </c>
      <c r="N144" s="354">
        <v>0.29252982163889674</v>
      </c>
      <c r="O144" s="353">
        <v>51995766.964770272</v>
      </c>
      <c r="P144" s="354">
        <v>0.36109326551902954</v>
      </c>
      <c r="Q144" s="353">
        <v>37498569.123000003</v>
      </c>
      <c r="R144" s="353">
        <v>181586</v>
      </c>
      <c r="S144" s="354">
        <v>0.13325603496039071</v>
      </c>
      <c r="T144" s="353">
        <v>24184778.693195391</v>
      </c>
      <c r="U144" s="354">
        <v>0.16795522451083353</v>
      </c>
      <c r="V144" s="353">
        <v>17441700.517000001</v>
      </c>
      <c r="W144" s="353">
        <v>717878</v>
      </c>
      <c r="X144" s="354">
        <v>0.52681140542385074</v>
      </c>
      <c r="Y144" s="353">
        <v>59853101.428434327</v>
      </c>
      <c r="Z144" s="354">
        <v>0.41565983363373843</v>
      </c>
      <c r="AA144" s="353">
        <v>43165161.169</v>
      </c>
      <c r="AB144" s="353">
        <v>64595</v>
      </c>
      <c r="AC144" s="354">
        <v>4.7402737976861856E-2</v>
      </c>
      <c r="AD144" s="353">
        <v>7961746.7075895462</v>
      </c>
      <c r="AE144" s="354">
        <v>5.5291676336398726E-2</v>
      </c>
      <c r="AF144" s="353">
        <v>5741892.5939999996</v>
      </c>
      <c r="AG144" s="353"/>
      <c r="AH144" s="354"/>
      <c r="AI144" s="353"/>
      <c r="AJ144" s="354"/>
      <c r="AK144" s="353"/>
      <c r="AL144" s="353">
        <v>1362685</v>
      </c>
      <c r="AM144" s="354">
        <v>1</v>
      </c>
      <c r="AN144" s="353">
        <v>143995393.79398951</v>
      </c>
      <c r="AO144" s="354">
        <v>1.0000000000000002</v>
      </c>
      <c r="AP144" s="353">
        <v>103847323.403</v>
      </c>
    </row>
    <row r="145" spans="2:42" hidden="1" outlineLevel="1" x14ac:dyDescent="0.25">
      <c r="B145" s="352">
        <v>42675</v>
      </c>
      <c r="C145" s="353"/>
      <c r="D145" s="354"/>
      <c r="E145" s="353"/>
      <c r="F145" s="354"/>
      <c r="G145" s="353"/>
      <c r="H145" s="353"/>
      <c r="I145" s="354"/>
      <c r="J145" s="353"/>
      <c r="K145" s="354"/>
      <c r="L145" s="353"/>
      <c r="M145" s="353">
        <v>399214</v>
      </c>
      <c r="N145" s="354">
        <v>0.29169793370826991</v>
      </c>
      <c r="O145" s="353">
        <v>52335644.802641913</v>
      </c>
      <c r="P145" s="354">
        <v>0.3601125847902451</v>
      </c>
      <c r="Q145" s="353">
        <v>37763975.307999998</v>
      </c>
      <c r="R145" s="353">
        <v>181722</v>
      </c>
      <c r="S145" s="354">
        <v>0.13278074393516817</v>
      </c>
      <c r="T145" s="353">
        <v>24222660.059925299</v>
      </c>
      <c r="U145" s="354">
        <v>0.16667196434799253</v>
      </c>
      <c r="V145" s="353">
        <v>17478411.508000001</v>
      </c>
      <c r="W145" s="353">
        <v>723119</v>
      </c>
      <c r="X145" s="354">
        <v>0.52836904047751443</v>
      </c>
      <c r="Y145" s="353">
        <v>60819723.35230314</v>
      </c>
      <c r="Z145" s="354">
        <v>0.41849007240128439</v>
      </c>
      <c r="AA145" s="353">
        <v>43885855.225000001</v>
      </c>
      <c r="AB145" s="353">
        <v>64532</v>
      </c>
      <c r="AC145" s="354">
        <v>4.7152281879047513E-2</v>
      </c>
      <c r="AD145" s="353">
        <v>7953312.6298986888</v>
      </c>
      <c r="AE145" s="354">
        <v>5.4725378460477841E-2</v>
      </c>
      <c r="AF145" s="353">
        <v>5738893.6909999996</v>
      </c>
      <c r="AG145" s="353"/>
      <c r="AH145" s="354"/>
      <c r="AI145" s="353"/>
      <c r="AJ145" s="354"/>
      <c r="AK145" s="353"/>
      <c r="AL145" s="353">
        <v>1368587</v>
      </c>
      <c r="AM145" s="354">
        <v>1</v>
      </c>
      <c r="AN145" s="353">
        <v>145331340.84476906</v>
      </c>
      <c r="AO145" s="354">
        <v>0.99999999999999989</v>
      </c>
      <c r="AP145" s="353">
        <v>104867135.73200001</v>
      </c>
    </row>
    <row r="146" spans="2:42" hidden="1" outlineLevel="1" x14ac:dyDescent="0.25">
      <c r="B146" s="352">
        <v>42705</v>
      </c>
      <c r="C146" s="353"/>
      <c r="D146" s="354"/>
      <c r="E146" s="353"/>
      <c r="F146" s="354"/>
      <c r="G146" s="353"/>
      <c r="H146" s="353"/>
      <c r="I146" s="354"/>
      <c r="J146" s="353"/>
      <c r="K146" s="354"/>
      <c r="L146" s="353"/>
      <c r="M146" s="353">
        <v>398651</v>
      </c>
      <c r="N146" s="354">
        <v>0.29085683809168039</v>
      </c>
      <c r="O146" s="353">
        <v>52010053.014552705</v>
      </c>
      <c r="P146" s="354">
        <v>0.35938110050103422</v>
      </c>
      <c r="Q146" s="353">
        <v>37452392.572999999</v>
      </c>
      <c r="R146" s="353">
        <v>181321</v>
      </c>
      <c r="S146" s="354">
        <v>0.13229228758894768</v>
      </c>
      <c r="T146" s="353">
        <v>24063123.454212483</v>
      </c>
      <c r="U146" s="354">
        <v>0.16627231250941849</v>
      </c>
      <c r="V146" s="353">
        <v>17327833.638</v>
      </c>
      <c r="W146" s="353">
        <v>725754</v>
      </c>
      <c r="X146" s="354">
        <v>0.52951206361551695</v>
      </c>
      <c r="Y146" s="353">
        <v>60648881.960095055</v>
      </c>
      <c r="Z146" s="354">
        <v>0.41907401895702012</v>
      </c>
      <c r="AA146" s="353">
        <v>43673205.556000002</v>
      </c>
      <c r="AB146" s="353">
        <v>64883</v>
      </c>
      <c r="AC146" s="354">
        <v>4.7338810703855004E-2</v>
      </c>
      <c r="AD146" s="353">
        <v>7999110.6644572588</v>
      </c>
      <c r="AE146" s="354">
        <v>5.5272568032527156E-2</v>
      </c>
      <c r="AF146" s="353">
        <v>5760152.4220000003</v>
      </c>
      <c r="AG146" s="353"/>
      <c r="AH146" s="354"/>
      <c r="AI146" s="353"/>
      <c r="AJ146" s="354"/>
      <c r="AK146" s="353"/>
      <c r="AL146" s="353">
        <v>1370609</v>
      </c>
      <c r="AM146" s="354">
        <v>1</v>
      </c>
      <c r="AN146" s="353">
        <v>144721169.09331751</v>
      </c>
      <c r="AO146" s="354">
        <v>0.99999999999999989</v>
      </c>
      <c r="AP146" s="353">
        <v>104213584.189</v>
      </c>
    </row>
    <row r="147" spans="2:42" collapsed="1" x14ac:dyDescent="0.25">
      <c r="B147" s="355" t="s">
        <v>707</v>
      </c>
      <c r="C147" s="356"/>
      <c r="D147" s="343"/>
      <c r="E147" s="356"/>
      <c r="F147" s="343"/>
      <c r="G147" s="356"/>
      <c r="H147" s="356"/>
      <c r="I147" s="343"/>
      <c r="J147" s="356"/>
      <c r="K147" s="343"/>
      <c r="L147" s="356"/>
      <c r="M147" s="356">
        <v>399216.41666666669</v>
      </c>
      <c r="N147" s="343">
        <v>0.29521540119980549</v>
      </c>
      <c r="O147" s="356">
        <v>51534763.128252275</v>
      </c>
      <c r="P147" s="343">
        <v>0.36550347534017941</v>
      </c>
      <c r="Q147" s="356"/>
      <c r="R147" s="356">
        <v>180992.41666666666</v>
      </c>
      <c r="S147" s="343">
        <v>0.13384156229473454</v>
      </c>
      <c r="T147" s="356">
        <v>23852195.703097507</v>
      </c>
      <c r="U147" s="343">
        <v>0.1691685358537495</v>
      </c>
      <c r="V147" s="356"/>
      <c r="W147" s="356">
        <v>707157.33333333337</v>
      </c>
      <c r="X147" s="343">
        <v>0.52293374509619894</v>
      </c>
      <c r="Y147" s="356">
        <v>57691634.660938628</v>
      </c>
      <c r="Z147" s="343">
        <v>0.40917027044738719</v>
      </c>
      <c r="AA147" s="356"/>
      <c r="AB147" s="356">
        <v>64922.416666666664</v>
      </c>
      <c r="AC147" s="343">
        <v>4.8009291409260947E-2</v>
      </c>
      <c r="AD147" s="356">
        <v>7918049.78254811</v>
      </c>
      <c r="AE147" s="343">
        <v>5.6157718358684036E-2</v>
      </c>
      <c r="AF147" s="356"/>
      <c r="AG147" s="356"/>
      <c r="AH147" s="343"/>
      <c r="AI147" s="356"/>
      <c r="AJ147" s="343"/>
      <c r="AK147" s="356"/>
      <c r="AL147" s="356">
        <v>1352288.5833333335</v>
      </c>
      <c r="AM147" s="343">
        <v>0.99999999999999989</v>
      </c>
      <c r="AN147" s="356">
        <v>140996643.27483651</v>
      </c>
      <c r="AO147" s="343">
        <v>1.0000000000000002</v>
      </c>
      <c r="AP147" s="356"/>
    </row>
    <row r="148" spans="2:42" hidden="1" outlineLevel="1" x14ac:dyDescent="0.25">
      <c r="B148" s="352">
        <v>42736</v>
      </c>
      <c r="C148" s="353"/>
      <c r="D148" s="354"/>
      <c r="E148" s="353"/>
      <c r="F148" s="354"/>
      <c r="G148" s="353"/>
      <c r="H148" s="353"/>
      <c r="I148" s="354"/>
      <c r="J148" s="353"/>
      <c r="K148" s="354"/>
      <c r="L148" s="353"/>
      <c r="M148" s="353">
        <v>399136</v>
      </c>
      <c r="N148" s="354">
        <v>0.29047106503970965</v>
      </c>
      <c r="O148" s="353">
        <v>57165872.827687316</v>
      </c>
      <c r="P148" s="354">
        <v>0.35963613566129066</v>
      </c>
      <c r="Q148" s="353">
        <v>41387425.368000001</v>
      </c>
      <c r="R148" s="353">
        <v>181456</v>
      </c>
      <c r="S148" s="354">
        <v>0.13205453173315751</v>
      </c>
      <c r="T148" s="353">
        <v>26470601.655536667</v>
      </c>
      <c r="U148" s="354">
        <v>0.1665291618431447</v>
      </c>
      <c r="V148" s="353">
        <v>19164406.949000001</v>
      </c>
      <c r="W148" s="353">
        <v>728656</v>
      </c>
      <c r="X148" s="354">
        <v>0.53027911380475501</v>
      </c>
      <c r="Y148" s="353">
        <v>66514183.333413407</v>
      </c>
      <c r="Z148" s="354">
        <v>0.41844727767560197</v>
      </c>
      <c r="AA148" s="353">
        <v>48155493.171999998</v>
      </c>
      <c r="AB148" s="353">
        <v>64851</v>
      </c>
      <c r="AC148" s="354">
        <v>4.7195289422377863E-2</v>
      </c>
      <c r="AD148" s="353">
        <v>8804094.3874814212</v>
      </c>
      <c r="AE148" s="354">
        <v>5.5387424819962637E-2</v>
      </c>
      <c r="AF148" s="353">
        <v>6374061.6799999997</v>
      </c>
      <c r="AG148" s="353"/>
      <c r="AH148" s="354"/>
      <c r="AI148" s="353"/>
      <c r="AJ148" s="354"/>
      <c r="AK148" s="353"/>
      <c r="AL148" s="353">
        <v>1374099</v>
      </c>
      <c r="AM148" s="354">
        <v>1</v>
      </c>
      <c r="AN148" s="353">
        <v>158954752.20411882</v>
      </c>
      <c r="AO148" s="354">
        <v>0.99999999999999989</v>
      </c>
      <c r="AP148" s="353">
        <v>115081387.169</v>
      </c>
    </row>
    <row r="149" spans="2:42" hidden="1" outlineLevel="1" x14ac:dyDescent="0.25">
      <c r="B149" s="352">
        <v>42767</v>
      </c>
      <c r="C149" s="353"/>
      <c r="D149" s="354"/>
      <c r="E149" s="353"/>
      <c r="F149" s="354"/>
      <c r="G149" s="353"/>
      <c r="H149" s="353"/>
      <c r="I149" s="354"/>
      <c r="J149" s="353"/>
      <c r="K149" s="354"/>
      <c r="L149" s="353"/>
      <c r="M149" s="353">
        <v>399559</v>
      </c>
      <c r="N149" s="354">
        <v>0.29025631041724631</v>
      </c>
      <c r="O149" s="353">
        <v>57071531.024903208</v>
      </c>
      <c r="P149" s="354">
        <v>0.36057309167696394</v>
      </c>
      <c r="Q149" s="353">
        <v>41418038.376000002</v>
      </c>
      <c r="R149" s="353">
        <v>181490</v>
      </c>
      <c r="S149" s="354">
        <v>0.13184190013896829</v>
      </c>
      <c r="T149" s="353">
        <v>26304574.096432697</v>
      </c>
      <c r="U149" s="354">
        <v>0.16619006774249409</v>
      </c>
      <c r="V149" s="353">
        <v>19089795.557</v>
      </c>
      <c r="W149" s="353">
        <v>730826</v>
      </c>
      <c r="X149" s="354">
        <v>0.53090246576098765</v>
      </c>
      <c r="Y149" s="353">
        <v>66144791.229497448</v>
      </c>
      <c r="Z149" s="354">
        <v>0.41789717997122316</v>
      </c>
      <c r="AA149" s="353">
        <v>48002698.583999999</v>
      </c>
      <c r="AB149" s="353">
        <v>64698</v>
      </c>
      <c r="AC149" s="354">
        <v>4.6999323682797786E-2</v>
      </c>
      <c r="AD149" s="353">
        <v>8759164.8691352662</v>
      </c>
      <c r="AE149" s="354">
        <v>5.5339660609318803E-2</v>
      </c>
      <c r="AF149" s="353">
        <v>6356714.4630000005</v>
      </c>
      <c r="AG149" s="353"/>
      <c r="AH149" s="354"/>
      <c r="AI149" s="353"/>
      <c r="AJ149" s="354"/>
      <c r="AK149" s="353"/>
      <c r="AL149" s="353">
        <v>1376573</v>
      </c>
      <c r="AM149" s="354">
        <v>1</v>
      </c>
      <c r="AN149" s="353">
        <v>158280061.21996862</v>
      </c>
      <c r="AO149" s="354">
        <v>1</v>
      </c>
      <c r="AP149" s="353">
        <v>114867246.97999999</v>
      </c>
    </row>
    <row r="150" spans="2:42" hidden="1" outlineLevel="1" x14ac:dyDescent="0.25">
      <c r="B150" s="352">
        <v>42795</v>
      </c>
      <c r="C150" s="353"/>
      <c r="D150" s="354"/>
      <c r="E150" s="353"/>
      <c r="F150" s="354"/>
      <c r="G150" s="353"/>
      <c r="H150" s="353"/>
      <c r="I150" s="354"/>
      <c r="J150" s="353"/>
      <c r="K150" s="354"/>
      <c r="L150" s="353"/>
      <c r="M150" s="353">
        <v>399302</v>
      </c>
      <c r="N150" s="354">
        <v>0.28970931266029887</v>
      </c>
      <c r="O150" s="353">
        <v>56751249.353715561</v>
      </c>
      <c r="P150" s="354">
        <v>0.36023205079881748</v>
      </c>
      <c r="Q150" s="353">
        <v>41343034.450999998</v>
      </c>
      <c r="R150" s="353">
        <v>181740</v>
      </c>
      <c r="S150" s="354">
        <v>0.1318595210714765</v>
      </c>
      <c r="T150" s="353">
        <v>26295480.659421235</v>
      </c>
      <c r="U150" s="354">
        <v>0.16691218312471881</v>
      </c>
      <c r="V150" s="353">
        <v>19156141.498</v>
      </c>
      <c r="W150" s="353">
        <v>732688</v>
      </c>
      <c r="X150" s="354">
        <v>0.53159397367017702</v>
      </c>
      <c r="Y150" s="353">
        <v>65799413.652945854</v>
      </c>
      <c r="Z150" s="354">
        <v>0.41766583099916427</v>
      </c>
      <c r="AA150" s="353">
        <v>47934582.171999998</v>
      </c>
      <c r="AB150" s="353">
        <v>64555</v>
      </c>
      <c r="AC150" s="354">
        <v>4.6837192598047576E-2</v>
      </c>
      <c r="AD150" s="353">
        <v>8694667.1192686539</v>
      </c>
      <c r="AE150" s="354">
        <v>5.518993507729944E-2</v>
      </c>
      <c r="AF150" s="353">
        <v>6334026.5870000003</v>
      </c>
      <c r="AG150" s="353"/>
      <c r="AH150" s="354"/>
      <c r="AI150" s="353"/>
      <c r="AJ150" s="354"/>
      <c r="AK150" s="353"/>
      <c r="AL150" s="353">
        <v>1378285</v>
      </c>
      <c r="AM150" s="354">
        <v>0.99999999999999989</v>
      </c>
      <c r="AN150" s="353">
        <v>157540810.78535131</v>
      </c>
      <c r="AO150" s="354">
        <v>0.99999999999999989</v>
      </c>
      <c r="AP150" s="353">
        <v>114767784.70799999</v>
      </c>
    </row>
    <row r="151" spans="2:42" hidden="1" outlineLevel="1" x14ac:dyDescent="0.25">
      <c r="B151" s="352">
        <v>42826</v>
      </c>
      <c r="C151" s="353"/>
      <c r="D151" s="354"/>
      <c r="E151" s="353"/>
      <c r="F151" s="354"/>
      <c r="G151" s="353"/>
      <c r="H151" s="353"/>
      <c r="I151" s="354"/>
      <c r="J151" s="353"/>
      <c r="K151" s="354"/>
      <c r="L151" s="353"/>
      <c r="M151" s="353">
        <v>399802</v>
      </c>
      <c r="N151" s="354">
        <v>0.28894902004998402</v>
      </c>
      <c r="O151" s="353">
        <v>56813233.574915826</v>
      </c>
      <c r="P151" s="354">
        <v>0.35956410699698182</v>
      </c>
      <c r="Q151" s="353">
        <v>41487280.736000001</v>
      </c>
      <c r="R151" s="353">
        <v>181857</v>
      </c>
      <c r="S151" s="354">
        <v>0.1314335644624838</v>
      </c>
      <c r="T151" s="353">
        <v>26165803.536137607</v>
      </c>
      <c r="U151" s="354">
        <v>0.16560021653975585</v>
      </c>
      <c r="V151" s="353">
        <v>19107309.489</v>
      </c>
      <c r="W151" s="353">
        <v>737384</v>
      </c>
      <c r="X151" s="354">
        <v>0.53292976073290632</v>
      </c>
      <c r="Y151" s="353">
        <v>66349076.897997394</v>
      </c>
      <c r="Z151" s="354">
        <v>0.4199153099329262</v>
      </c>
      <c r="AA151" s="353">
        <v>48450732.454999998</v>
      </c>
      <c r="AB151" s="353">
        <v>64599</v>
      </c>
      <c r="AC151" s="354">
        <v>4.6687654754625836E-2</v>
      </c>
      <c r="AD151" s="353">
        <v>8677739.3821852226</v>
      </c>
      <c r="AE151" s="354">
        <v>5.492036653033603E-2</v>
      </c>
      <c r="AF151" s="353">
        <v>6336830.1229999997</v>
      </c>
      <c r="AG151" s="353"/>
      <c r="AH151" s="354"/>
      <c r="AI151" s="353"/>
      <c r="AJ151" s="354"/>
      <c r="AK151" s="353"/>
      <c r="AL151" s="353">
        <v>1383642</v>
      </c>
      <c r="AM151" s="354">
        <v>1</v>
      </c>
      <c r="AN151" s="353">
        <v>158005853.39123607</v>
      </c>
      <c r="AO151" s="354">
        <v>0.99999999999999989</v>
      </c>
      <c r="AP151" s="353">
        <v>115382152.803</v>
      </c>
    </row>
    <row r="152" spans="2:42" hidden="1" outlineLevel="1" x14ac:dyDescent="0.25">
      <c r="B152" s="352">
        <v>42856</v>
      </c>
      <c r="C152" s="353"/>
      <c r="D152" s="354"/>
      <c r="E152" s="353"/>
      <c r="F152" s="354"/>
      <c r="G152" s="353"/>
      <c r="H152" s="353"/>
      <c r="I152" s="354"/>
      <c r="J152" s="353"/>
      <c r="K152" s="354"/>
      <c r="L152" s="353"/>
      <c r="M152" s="353">
        <v>400546</v>
      </c>
      <c r="N152" s="354">
        <v>0.28826524553707977</v>
      </c>
      <c r="O152" s="353">
        <v>56897488.096400596</v>
      </c>
      <c r="P152" s="354">
        <v>0.3587438666209834</v>
      </c>
      <c r="Q152" s="353">
        <v>41601521.114</v>
      </c>
      <c r="R152" s="353">
        <v>182262</v>
      </c>
      <c r="S152" s="354">
        <v>0.13117045278714362</v>
      </c>
      <c r="T152" s="353">
        <v>26270712.036437638</v>
      </c>
      <c r="U152" s="354">
        <v>0.16563924226092944</v>
      </c>
      <c r="V152" s="353">
        <v>19208257.131000001</v>
      </c>
      <c r="W152" s="353">
        <v>742094</v>
      </c>
      <c r="X152" s="354">
        <v>0.53407076620811011</v>
      </c>
      <c r="Y152" s="353">
        <v>66771122.402281649</v>
      </c>
      <c r="Z152" s="354">
        <v>0.42099803401923513</v>
      </c>
      <c r="AA152" s="353">
        <v>48820788.954999998</v>
      </c>
      <c r="AB152" s="353">
        <v>64603</v>
      </c>
      <c r="AC152" s="354">
        <v>4.649353546766654E-2</v>
      </c>
      <c r="AD152" s="353">
        <v>8662658.9630429074</v>
      </c>
      <c r="AE152" s="354">
        <v>5.4618857098851899E-2</v>
      </c>
      <c r="AF152" s="353">
        <v>6333843.5810000002</v>
      </c>
      <c r="AG152" s="353"/>
      <c r="AH152" s="354"/>
      <c r="AI152" s="353"/>
      <c r="AJ152" s="354"/>
      <c r="AK152" s="353"/>
      <c r="AL152" s="353">
        <v>1389505</v>
      </c>
      <c r="AM152" s="354">
        <v>1</v>
      </c>
      <c r="AN152" s="353">
        <v>158601981.49816281</v>
      </c>
      <c r="AO152" s="354">
        <v>1</v>
      </c>
      <c r="AP152" s="353">
        <v>115964410.781</v>
      </c>
    </row>
    <row r="153" spans="2:42" hidden="1" outlineLevel="1" x14ac:dyDescent="0.25">
      <c r="B153" s="352">
        <v>42887</v>
      </c>
      <c r="C153" s="353"/>
      <c r="D153" s="354"/>
      <c r="E153" s="353"/>
      <c r="F153" s="354"/>
      <c r="G153" s="353"/>
      <c r="H153" s="353"/>
      <c r="I153" s="354"/>
      <c r="J153" s="353"/>
      <c r="K153" s="354"/>
      <c r="L153" s="353"/>
      <c r="M153" s="353">
        <v>399677</v>
      </c>
      <c r="N153" s="354">
        <v>0.28701129153178201</v>
      </c>
      <c r="O153" s="353">
        <v>56628609.907256864</v>
      </c>
      <c r="P153" s="354">
        <v>0.35686450931130353</v>
      </c>
      <c r="Q153" s="353">
        <v>41243517.208999999</v>
      </c>
      <c r="R153" s="353">
        <v>181925</v>
      </c>
      <c r="S153" s="354">
        <v>0.13064181629645799</v>
      </c>
      <c r="T153" s="353">
        <v>26178966.966011658</v>
      </c>
      <c r="U153" s="354">
        <v>0.16497569366267226</v>
      </c>
      <c r="V153" s="353">
        <v>19066557.988000002</v>
      </c>
      <c r="W153" s="353">
        <v>746120</v>
      </c>
      <c r="X153" s="354">
        <v>0.53579481640848292</v>
      </c>
      <c r="Y153" s="353">
        <v>67165338.368515104</v>
      </c>
      <c r="Z153" s="354">
        <v>0.42326529926944634</v>
      </c>
      <c r="AA153" s="353">
        <v>48917584.122000001</v>
      </c>
      <c r="AB153" s="353">
        <v>64826</v>
      </c>
      <c r="AC153" s="354">
        <v>4.65520757632771E-2</v>
      </c>
      <c r="AD153" s="353">
        <v>8710866.5008778386</v>
      </c>
      <c r="AE153" s="354">
        <v>5.4894497756577981E-2</v>
      </c>
      <c r="AF153" s="353">
        <v>6344262.6090000002</v>
      </c>
      <c r="AG153" s="353"/>
      <c r="AH153" s="354"/>
      <c r="AI153" s="353"/>
      <c r="AJ153" s="354"/>
      <c r="AK153" s="353"/>
      <c r="AL153" s="353">
        <v>1392548</v>
      </c>
      <c r="AM153" s="354">
        <v>1</v>
      </c>
      <c r="AN153" s="353">
        <v>158683781.74266145</v>
      </c>
      <c r="AO153" s="354">
        <v>1.0000000000000002</v>
      </c>
      <c r="AP153" s="353">
        <v>115571921.928</v>
      </c>
    </row>
    <row r="154" spans="2:42" hidden="1" outlineLevel="1" x14ac:dyDescent="0.25">
      <c r="B154" s="352">
        <v>42917</v>
      </c>
      <c r="C154" s="353"/>
      <c r="D154" s="354"/>
      <c r="E154" s="353"/>
      <c r="F154" s="354"/>
      <c r="G154" s="353"/>
      <c r="H154" s="353"/>
      <c r="I154" s="354"/>
      <c r="J154" s="353"/>
      <c r="K154" s="354"/>
      <c r="L154" s="353"/>
      <c r="M154" s="353">
        <v>399610</v>
      </c>
      <c r="N154" s="354">
        <v>0.28596863726759369</v>
      </c>
      <c r="O154" s="353">
        <v>58006211.918673411</v>
      </c>
      <c r="P154" s="354">
        <v>0.35354722808794925</v>
      </c>
      <c r="Q154" s="353">
        <v>42348706.178999998</v>
      </c>
      <c r="R154" s="353">
        <v>182161</v>
      </c>
      <c r="S154" s="354">
        <v>0.1303579313162887</v>
      </c>
      <c r="T154" s="353">
        <v>26917814.018091321</v>
      </c>
      <c r="U154" s="354">
        <v>0.16406378243809261</v>
      </c>
      <c r="V154" s="353">
        <v>19651940.010000002</v>
      </c>
      <c r="W154" s="353">
        <v>750847</v>
      </c>
      <c r="X154" s="354">
        <v>0.5373206210716972</v>
      </c>
      <c r="Y154" s="353">
        <v>70261982.823249578</v>
      </c>
      <c r="Z154" s="354">
        <v>0.42824601789116618</v>
      </c>
      <c r="AA154" s="353">
        <v>51296300.305</v>
      </c>
      <c r="AB154" s="353">
        <v>64773</v>
      </c>
      <c r="AC154" s="354">
        <v>4.6352810344420424E-2</v>
      </c>
      <c r="AD154" s="353">
        <v>8883194.1931019146</v>
      </c>
      <c r="AE154" s="354">
        <v>5.4142971582792063E-2</v>
      </c>
      <c r="AF154" s="353">
        <v>6485370.5899999999</v>
      </c>
      <c r="AG154" s="353"/>
      <c r="AH154" s="354"/>
      <c r="AI154" s="353"/>
      <c r="AJ154" s="354"/>
      <c r="AK154" s="353"/>
      <c r="AL154" s="353">
        <v>1397391</v>
      </c>
      <c r="AM154" s="354">
        <v>1</v>
      </c>
      <c r="AN154" s="353">
        <v>164069202.95311621</v>
      </c>
      <c r="AO154" s="354">
        <v>1.0000000000000002</v>
      </c>
      <c r="AP154" s="353">
        <v>119782317.08399999</v>
      </c>
    </row>
    <row r="155" spans="2:42" hidden="1" outlineLevel="1" x14ac:dyDescent="0.25">
      <c r="B155" s="352">
        <v>42948</v>
      </c>
      <c r="C155" s="353"/>
      <c r="D155" s="354"/>
      <c r="E155" s="353"/>
      <c r="F155" s="354"/>
      <c r="G155" s="353"/>
      <c r="H155" s="353"/>
      <c r="I155" s="354"/>
      <c r="J155" s="353"/>
      <c r="K155" s="354"/>
      <c r="L155" s="353"/>
      <c r="M155" s="353">
        <v>399317</v>
      </c>
      <c r="N155" s="354">
        <v>0.28499395493104912</v>
      </c>
      <c r="O155" s="353">
        <v>57529434.056603707</v>
      </c>
      <c r="P155" s="354">
        <v>0.35299224172439864</v>
      </c>
      <c r="Q155" s="353">
        <v>42085519.921999998</v>
      </c>
      <c r="R155" s="353">
        <v>182240</v>
      </c>
      <c r="S155" s="354">
        <v>0.13006533242169602</v>
      </c>
      <c r="T155" s="353">
        <v>26690341.387313504</v>
      </c>
      <c r="U155" s="354">
        <v>0.16376805357458254</v>
      </c>
      <c r="V155" s="353">
        <v>19525255.421</v>
      </c>
      <c r="W155" s="353">
        <v>754760</v>
      </c>
      <c r="X155" s="354">
        <v>0.53867488091856497</v>
      </c>
      <c r="Y155" s="353">
        <v>69917091.172147378</v>
      </c>
      <c r="Z155" s="354">
        <v>0.42900110443329609</v>
      </c>
      <c r="AA155" s="353">
        <v>51147680.864</v>
      </c>
      <c r="AB155" s="353">
        <v>64825</v>
      </c>
      <c r="AC155" s="354">
        <v>4.626583172868988E-2</v>
      </c>
      <c r="AD155" s="353">
        <v>8839616.3104928862</v>
      </c>
      <c r="AE155" s="354">
        <v>5.423860026772271E-2</v>
      </c>
      <c r="AF155" s="353">
        <v>6466600.1749999998</v>
      </c>
      <c r="AG155" s="353"/>
      <c r="AH155" s="354"/>
      <c r="AI155" s="353"/>
      <c r="AJ155" s="354"/>
      <c r="AK155" s="353"/>
      <c r="AL155" s="353">
        <v>1401142</v>
      </c>
      <c r="AM155" s="354">
        <v>1</v>
      </c>
      <c r="AN155" s="353">
        <v>162976482.92655748</v>
      </c>
      <c r="AO155" s="354">
        <v>1</v>
      </c>
      <c r="AP155" s="353">
        <v>119225056.38199998</v>
      </c>
    </row>
    <row r="156" spans="2:42" hidden="1" outlineLevel="1" x14ac:dyDescent="0.25">
      <c r="B156" s="352">
        <v>42979</v>
      </c>
      <c r="C156" s="353"/>
      <c r="D156" s="354"/>
      <c r="E156" s="353"/>
      <c r="F156" s="354"/>
      <c r="G156" s="353"/>
      <c r="H156" s="353"/>
      <c r="I156" s="354"/>
      <c r="J156" s="353"/>
      <c r="K156" s="354"/>
      <c r="L156" s="353"/>
      <c r="M156" s="353">
        <v>399078</v>
      </c>
      <c r="N156" s="354">
        <v>0.28408778661275513</v>
      </c>
      <c r="O156" s="353">
        <v>57560441.187737487</v>
      </c>
      <c r="P156" s="354">
        <v>0.35202085895742752</v>
      </c>
      <c r="Q156" s="353">
        <v>42044545.755000003</v>
      </c>
      <c r="R156" s="353">
        <v>182297</v>
      </c>
      <c r="S156" s="354">
        <v>0.12976999793560512</v>
      </c>
      <c r="T156" s="353">
        <v>26696736.926424447</v>
      </c>
      <c r="U156" s="354">
        <v>0.16326852383825177</v>
      </c>
      <c r="V156" s="353">
        <v>19500409.552999999</v>
      </c>
      <c r="W156" s="353">
        <v>758672</v>
      </c>
      <c r="X156" s="354">
        <v>0.54006848096129612</v>
      </c>
      <c r="Y156" s="353">
        <v>70443867.686888576</v>
      </c>
      <c r="Z156" s="354">
        <v>0.43081168767526268</v>
      </c>
      <c r="AA156" s="353">
        <v>51455137.538999997</v>
      </c>
      <c r="AB156" s="353">
        <v>64723</v>
      </c>
      <c r="AC156" s="354">
        <v>4.6073734490343618E-2</v>
      </c>
      <c r="AD156" s="353">
        <v>8813245.2503746469</v>
      </c>
      <c r="AE156" s="354">
        <v>5.3898929529058018E-2</v>
      </c>
      <c r="AF156" s="353">
        <v>6437561.727</v>
      </c>
      <c r="AG156" s="353"/>
      <c r="AH156" s="354"/>
      <c r="AI156" s="353"/>
      <c r="AJ156" s="354"/>
      <c r="AK156" s="353"/>
      <c r="AL156" s="353">
        <v>1404770</v>
      </c>
      <c r="AM156" s="354">
        <v>0.99999999999999989</v>
      </c>
      <c r="AN156" s="353">
        <v>163514291.05142516</v>
      </c>
      <c r="AO156" s="354">
        <v>1</v>
      </c>
      <c r="AP156" s="353">
        <v>119437654.574</v>
      </c>
    </row>
    <row r="157" spans="2:42" hidden="1" outlineLevel="1" x14ac:dyDescent="0.25">
      <c r="B157" s="352">
        <v>43009</v>
      </c>
      <c r="C157" s="353"/>
      <c r="D157" s="354"/>
      <c r="E157" s="353"/>
      <c r="F157" s="354"/>
      <c r="G157" s="353"/>
      <c r="H157" s="353"/>
      <c r="I157" s="354"/>
      <c r="J157" s="353"/>
      <c r="K157" s="354"/>
      <c r="L157" s="353"/>
      <c r="M157" s="353">
        <v>398759</v>
      </c>
      <c r="N157" s="354">
        <v>0.28281161235506008</v>
      </c>
      <c r="O157" s="353">
        <v>57244746.695563607</v>
      </c>
      <c r="P157" s="354">
        <v>0.35027750543288588</v>
      </c>
      <c r="Q157" s="353">
        <v>42059289.792000003</v>
      </c>
      <c r="R157" s="353">
        <v>182240</v>
      </c>
      <c r="S157" s="354">
        <v>0.12924996861659838</v>
      </c>
      <c r="T157" s="353">
        <v>26545981.117951252</v>
      </c>
      <c r="U157" s="354">
        <v>0.16243342109128547</v>
      </c>
      <c r="V157" s="353">
        <v>19504062.418000001</v>
      </c>
      <c r="W157" s="353">
        <v>764318</v>
      </c>
      <c r="X157" s="354">
        <v>0.54207680812720171</v>
      </c>
      <c r="Y157" s="353">
        <v>70858838.164769724</v>
      </c>
      <c r="Z157" s="354">
        <v>0.43358139397884082</v>
      </c>
      <c r="AA157" s="353">
        <v>52061937.221000001</v>
      </c>
      <c r="AB157" s="353">
        <v>64664</v>
      </c>
      <c r="AC157" s="354">
        <v>4.5861610901139806E-2</v>
      </c>
      <c r="AD157" s="353">
        <v>8777276.4757246412</v>
      </c>
      <c r="AE157" s="354">
        <v>5.3707679496987765E-2</v>
      </c>
      <c r="AF157" s="353">
        <v>6448906.4270000001</v>
      </c>
      <c r="AG157" s="353"/>
      <c r="AH157" s="354"/>
      <c r="AI157" s="353"/>
      <c r="AJ157" s="354"/>
      <c r="AK157" s="353"/>
      <c r="AL157" s="353">
        <v>1409981</v>
      </c>
      <c r="AM157" s="354">
        <v>1</v>
      </c>
      <c r="AN157" s="353">
        <v>163426842.45400923</v>
      </c>
      <c r="AO157" s="354">
        <v>1</v>
      </c>
      <c r="AP157" s="353">
        <v>120074195.85800001</v>
      </c>
    </row>
    <row r="158" spans="2:42" hidden="1" outlineLevel="1" x14ac:dyDescent="0.25">
      <c r="B158" s="352">
        <v>43040</v>
      </c>
      <c r="C158" s="353"/>
      <c r="D158" s="354"/>
      <c r="E158" s="353"/>
      <c r="F158" s="354"/>
      <c r="G158" s="353"/>
      <c r="H158" s="353"/>
      <c r="I158" s="354"/>
      <c r="J158" s="353"/>
      <c r="K158" s="354"/>
      <c r="L158" s="353"/>
      <c r="M158" s="353">
        <v>399090</v>
      </c>
      <c r="N158" s="354">
        <v>0.28204638934825932</v>
      </c>
      <c r="O158" s="353">
        <v>57223043.536091551</v>
      </c>
      <c r="P158" s="354">
        <v>0.34950038715995863</v>
      </c>
      <c r="Q158" s="353">
        <v>42079328.888999999</v>
      </c>
      <c r="R158" s="353">
        <v>182220</v>
      </c>
      <c r="S158" s="354">
        <v>0.12877920535979306</v>
      </c>
      <c r="T158" s="353">
        <v>26583395.998474505</v>
      </c>
      <c r="U158" s="354">
        <v>0.16236303802389329</v>
      </c>
      <c r="V158" s="353">
        <v>19548269.265000001</v>
      </c>
      <c r="W158" s="353">
        <v>769106</v>
      </c>
      <c r="X158" s="354">
        <v>0.54354549180907152</v>
      </c>
      <c r="Y158" s="353">
        <v>71166719.554253995</v>
      </c>
      <c r="Z158" s="354">
        <v>0.43466398325052863</v>
      </c>
      <c r="AA158" s="353">
        <v>52332899.703000002</v>
      </c>
      <c r="AB158" s="353">
        <v>64564</v>
      </c>
      <c r="AC158" s="354">
        <v>4.5628913482876086E-2</v>
      </c>
      <c r="AD158" s="353">
        <v>8754967.2262498997</v>
      </c>
      <c r="AE158" s="354">
        <v>5.3472591565619537E-2</v>
      </c>
      <c r="AF158" s="353">
        <v>6438020.8140000002</v>
      </c>
      <c r="AG158" s="353"/>
      <c r="AH158" s="354"/>
      <c r="AI158" s="353"/>
      <c r="AJ158" s="354"/>
      <c r="AK158" s="353"/>
      <c r="AL158" s="353">
        <v>1414980</v>
      </c>
      <c r="AM158" s="354">
        <v>1</v>
      </c>
      <c r="AN158" s="353">
        <v>163728126.31506994</v>
      </c>
      <c r="AO158" s="354">
        <v>1</v>
      </c>
      <c r="AP158" s="353">
        <v>120398518.67099999</v>
      </c>
    </row>
    <row r="159" spans="2:42" hidden="1" outlineLevel="1" x14ac:dyDescent="0.25">
      <c r="B159" s="352">
        <v>43070</v>
      </c>
      <c r="C159" s="353"/>
      <c r="D159" s="354"/>
      <c r="E159" s="353"/>
      <c r="F159" s="354"/>
      <c r="G159" s="353"/>
      <c r="H159" s="353"/>
      <c r="I159" s="354"/>
      <c r="J159" s="353"/>
      <c r="K159" s="354"/>
      <c r="L159" s="353"/>
      <c r="M159" s="353">
        <v>399510</v>
      </c>
      <c r="N159" s="354">
        <v>0.28127811830705085</v>
      </c>
      <c r="O159" s="353">
        <v>57232348.815428294</v>
      </c>
      <c r="P159" s="354">
        <v>0.34881836328481947</v>
      </c>
      <c r="Q159" s="353">
        <v>42148329.884999998</v>
      </c>
      <c r="R159" s="353">
        <v>182304</v>
      </c>
      <c r="S159" s="354">
        <v>0.12835254706978197</v>
      </c>
      <c r="T159" s="353">
        <v>26482012.64690996</v>
      </c>
      <c r="U159" s="354">
        <v>0.16140194311740122</v>
      </c>
      <c r="V159" s="353">
        <v>19502477.675000001</v>
      </c>
      <c r="W159" s="353">
        <v>774083</v>
      </c>
      <c r="X159" s="354">
        <v>0.54499914809010253</v>
      </c>
      <c r="Y159" s="353">
        <v>71646145.422842354</v>
      </c>
      <c r="Z159" s="354">
        <v>0.43666722927375295</v>
      </c>
      <c r="AA159" s="353">
        <v>52763261.245999999</v>
      </c>
      <c r="AB159" s="353">
        <v>64441</v>
      </c>
      <c r="AC159" s="354">
        <v>4.5370186533064662E-2</v>
      </c>
      <c r="AD159" s="353">
        <v>8714423.9082322419</v>
      </c>
      <c r="AE159" s="354">
        <v>5.3112464324026415E-2</v>
      </c>
      <c r="AF159" s="353">
        <v>6417671.4960000003</v>
      </c>
      <c r="AG159" s="353"/>
      <c r="AH159" s="354"/>
      <c r="AI159" s="353"/>
      <c r="AJ159" s="354"/>
      <c r="AK159" s="353"/>
      <c r="AL159" s="353">
        <v>1420338</v>
      </c>
      <c r="AM159" s="354">
        <v>1</v>
      </c>
      <c r="AN159" s="353">
        <v>164074930.79341283</v>
      </c>
      <c r="AO159" s="354">
        <v>1</v>
      </c>
      <c r="AP159" s="353">
        <v>120831740.302</v>
      </c>
    </row>
    <row r="160" spans="2:42" collapsed="1" x14ac:dyDescent="0.25">
      <c r="B160" s="355" t="s">
        <v>708</v>
      </c>
      <c r="C160" s="356"/>
      <c r="D160" s="343"/>
      <c r="E160" s="356"/>
      <c r="F160" s="343"/>
      <c r="G160" s="356"/>
      <c r="H160" s="356"/>
      <c r="I160" s="343"/>
      <c r="J160" s="356"/>
      <c r="K160" s="343"/>
      <c r="L160" s="356"/>
      <c r="M160" s="356">
        <v>399448.83333333331</v>
      </c>
      <c r="N160" s="343">
        <v>0.28628759977003276</v>
      </c>
      <c r="O160" s="356">
        <v>57177017.582914777</v>
      </c>
      <c r="P160" s="343">
        <v>0.35516302154967599</v>
      </c>
      <c r="Q160" s="356"/>
      <c r="R160" s="356">
        <v>182016</v>
      </c>
      <c r="S160" s="343">
        <v>0.13045206146905494</v>
      </c>
      <c r="T160" s="356">
        <v>26466868.420428541</v>
      </c>
      <c r="U160" s="343">
        <v>0.16440264561763285</v>
      </c>
      <c r="V160" s="356"/>
      <c r="W160" s="356">
        <v>749129.5</v>
      </c>
      <c r="X160" s="343">
        <v>0.53690602794414999</v>
      </c>
      <c r="Y160" s="356">
        <v>68586547.559066877</v>
      </c>
      <c r="Z160" s="343">
        <v>0.42603490875357664</v>
      </c>
      <c r="AA160" s="356"/>
      <c r="AB160" s="356">
        <v>64676.833333333336</v>
      </c>
      <c r="AC160" s="343">
        <v>4.635431081676239E-2</v>
      </c>
      <c r="AD160" s="356">
        <v>8757659.5488472953</v>
      </c>
      <c r="AE160" s="343">
        <v>5.4399424079114682E-2</v>
      </c>
      <c r="AF160" s="356"/>
      <c r="AG160" s="356"/>
      <c r="AH160" s="343"/>
      <c r="AI160" s="356"/>
      <c r="AJ160" s="343"/>
      <c r="AK160" s="356"/>
      <c r="AL160" s="356">
        <v>1395271.1666666665</v>
      </c>
      <c r="AM160" s="343">
        <v>1</v>
      </c>
      <c r="AN160" s="356">
        <v>160988093.11125746</v>
      </c>
      <c r="AO160" s="343">
        <v>1</v>
      </c>
      <c r="AP160" s="356"/>
    </row>
    <row r="161" spans="2:42" hidden="1" outlineLevel="1" x14ac:dyDescent="0.25">
      <c r="B161" s="352">
        <v>43101</v>
      </c>
      <c r="C161" s="353"/>
      <c r="D161" s="354"/>
      <c r="E161" s="353"/>
      <c r="F161" s="354"/>
      <c r="G161" s="353"/>
      <c r="H161" s="353"/>
      <c r="I161" s="354"/>
      <c r="J161" s="353"/>
      <c r="K161" s="354"/>
      <c r="L161" s="353"/>
      <c r="M161" s="353">
        <v>399710</v>
      </c>
      <c r="N161" s="354">
        <v>0.28044117337524294</v>
      </c>
      <c r="O161" s="353">
        <v>56922200.992561571</v>
      </c>
      <c r="P161" s="354">
        <v>0.34759402868734934</v>
      </c>
      <c r="Q161" s="353">
        <v>42112974.873999998</v>
      </c>
      <c r="R161" s="353">
        <v>182398</v>
      </c>
      <c r="S161" s="354">
        <v>0.12797255295413565</v>
      </c>
      <c r="T161" s="353">
        <v>26388151.061816998</v>
      </c>
      <c r="U161" s="354">
        <v>0.16113859930303723</v>
      </c>
      <c r="V161" s="353">
        <v>19522849.138999999</v>
      </c>
      <c r="W161" s="353">
        <v>778728</v>
      </c>
      <c r="X161" s="354">
        <v>0.54636459948501703</v>
      </c>
      <c r="Y161" s="353">
        <v>71767069.248571783</v>
      </c>
      <c r="Z161" s="354">
        <v>0.43824385375496805</v>
      </c>
      <c r="AA161" s="353">
        <v>53095711.890000001</v>
      </c>
      <c r="AB161" s="353">
        <v>64454</v>
      </c>
      <c r="AC161" s="354">
        <v>4.5221674185604334E-2</v>
      </c>
      <c r="AD161" s="353">
        <v>8683162.2937299497</v>
      </c>
      <c r="AE161" s="354">
        <v>5.3023518254645324E-2</v>
      </c>
      <c r="AF161" s="353">
        <v>6424097.9639999997</v>
      </c>
      <c r="AG161" s="353"/>
      <c r="AH161" s="354"/>
      <c r="AI161" s="353"/>
      <c r="AJ161" s="354"/>
      <c r="AK161" s="353"/>
      <c r="AL161" s="353">
        <v>1425290</v>
      </c>
      <c r="AM161" s="354">
        <v>0.99999999999999989</v>
      </c>
      <c r="AN161" s="353">
        <v>163760583.59668031</v>
      </c>
      <c r="AO161" s="354">
        <v>0.99999999999999989</v>
      </c>
      <c r="AP161" s="353">
        <v>121155633.867</v>
      </c>
    </row>
    <row r="162" spans="2:42" hidden="1" outlineLevel="1" x14ac:dyDescent="0.25">
      <c r="B162" s="352">
        <v>43132</v>
      </c>
      <c r="C162" s="353"/>
      <c r="D162" s="354"/>
      <c r="E162" s="353"/>
      <c r="F162" s="354"/>
      <c r="G162" s="353"/>
      <c r="H162" s="353"/>
      <c r="I162" s="354"/>
      <c r="J162" s="353"/>
      <c r="K162" s="354"/>
      <c r="L162" s="353"/>
      <c r="M162" s="353">
        <v>400174</v>
      </c>
      <c r="N162" s="354">
        <v>0.2797472743491014</v>
      </c>
      <c r="O162" s="353">
        <v>57002409.796311937</v>
      </c>
      <c r="P162" s="354">
        <v>0.34786388153891984</v>
      </c>
      <c r="Q162" s="353">
        <v>42191282.222000003</v>
      </c>
      <c r="R162" s="353">
        <v>182540</v>
      </c>
      <c r="S162" s="354">
        <v>0.1276071595348148</v>
      </c>
      <c r="T162" s="353">
        <v>26415965.35984714</v>
      </c>
      <c r="U162" s="354">
        <v>0.16120652227703916</v>
      </c>
      <c r="V162" s="353">
        <v>19552216.364999998</v>
      </c>
      <c r="W162" s="353">
        <v>783247</v>
      </c>
      <c r="X162" s="354">
        <v>0.54753985364394153</v>
      </c>
      <c r="Y162" s="353">
        <v>71762166.263309091</v>
      </c>
      <c r="Z162" s="354">
        <v>0.43793702394685713</v>
      </c>
      <c r="AA162" s="353">
        <v>53115961.597000003</v>
      </c>
      <c r="AB162" s="353">
        <v>64523</v>
      </c>
      <c r="AC162" s="354">
        <v>4.5105712472142297E-2</v>
      </c>
      <c r="AD162" s="353">
        <v>8683581.3636681084</v>
      </c>
      <c r="AE162" s="354">
        <v>5.2992572237183823E-2</v>
      </c>
      <c r="AF162" s="353">
        <v>6427297.2549999999</v>
      </c>
      <c r="AG162" s="353"/>
      <c r="AH162" s="354"/>
      <c r="AI162" s="353"/>
      <c r="AJ162" s="354"/>
      <c r="AK162" s="353"/>
      <c r="AL162" s="353">
        <v>1430484</v>
      </c>
      <c r="AM162" s="354">
        <v>1</v>
      </c>
      <c r="AN162" s="353">
        <v>163864122.78313628</v>
      </c>
      <c r="AO162" s="354">
        <v>1</v>
      </c>
      <c r="AP162" s="353">
        <v>121286757.439</v>
      </c>
    </row>
    <row r="163" spans="2:42" hidden="1" outlineLevel="1" x14ac:dyDescent="0.25">
      <c r="B163" s="352">
        <v>43160</v>
      </c>
      <c r="C163" s="353"/>
      <c r="D163" s="354"/>
      <c r="E163" s="353"/>
      <c r="F163" s="354"/>
      <c r="G163" s="353"/>
      <c r="H163" s="353"/>
      <c r="I163" s="354"/>
      <c r="J163" s="353"/>
      <c r="K163" s="354"/>
      <c r="L163" s="353"/>
      <c r="M163" s="353">
        <v>400670</v>
      </c>
      <c r="N163" s="354">
        <v>0.27826064008211632</v>
      </c>
      <c r="O163" s="353">
        <v>57069193.221493416</v>
      </c>
      <c r="P163" s="354">
        <v>0.34479091822043395</v>
      </c>
      <c r="Q163" s="353">
        <v>42327151.605999999</v>
      </c>
      <c r="R163" s="353">
        <v>182850</v>
      </c>
      <c r="S163" s="354">
        <v>0.12698719155168833</v>
      </c>
      <c r="T163" s="353">
        <v>26450329.494676061</v>
      </c>
      <c r="U163" s="354">
        <v>0.15980308952865435</v>
      </c>
      <c r="V163" s="353">
        <v>19617713.925000001</v>
      </c>
      <c r="W163" s="353">
        <v>791363</v>
      </c>
      <c r="X163" s="354">
        <v>0.54959237007338657</v>
      </c>
      <c r="Y163" s="353">
        <v>73193140.933378145</v>
      </c>
      <c r="Z163" s="354">
        <v>0.4422058355006247</v>
      </c>
      <c r="AA163" s="353">
        <v>54285981.593999997</v>
      </c>
      <c r="AB163" s="353">
        <v>65026</v>
      </c>
      <c r="AC163" s="354">
        <v>4.5159798292808778E-2</v>
      </c>
      <c r="AD163" s="353">
        <v>8805597.4347178359</v>
      </c>
      <c r="AE163" s="354">
        <v>5.3200156750286907E-2</v>
      </c>
      <c r="AF163" s="353">
        <v>6530946.6730000004</v>
      </c>
      <c r="AG163" s="353"/>
      <c r="AH163" s="354"/>
      <c r="AI163" s="353"/>
      <c r="AJ163" s="354"/>
      <c r="AK163" s="353"/>
      <c r="AL163" s="353">
        <v>1439909</v>
      </c>
      <c r="AM163" s="354">
        <v>1</v>
      </c>
      <c r="AN163" s="353">
        <v>165518261.08426547</v>
      </c>
      <c r="AO163" s="354">
        <v>0.99999999999999978</v>
      </c>
      <c r="AP163" s="353">
        <v>122761793.79800001</v>
      </c>
    </row>
    <row r="164" spans="2:42" hidden="1" outlineLevel="1" x14ac:dyDescent="0.25">
      <c r="B164" s="352">
        <v>43191</v>
      </c>
      <c r="C164" s="353"/>
      <c r="D164" s="354"/>
      <c r="E164" s="353"/>
      <c r="F164" s="354"/>
      <c r="G164" s="353"/>
      <c r="H164" s="353"/>
      <c r="I164" s="354"/>
      <c r="J164" s="353"/>
      <c r="K164" s="354"/>
      <c r="L164" s="353"/>
      <c r="M164" s="353">
        <v>401455</v>
      </c>
      <c r="N164" s="354">
        <v>0.27670750771283709</v>
      </c>
      <c r="O164" s="353">
        <v>56978026.872412421</v>
      </c>
      <c r="P164" s="354">
        <v>0.34337694172419087</v>
      </c>
      <c r="Q164" s="353">
        <v>42393135.082000002</v>
      </c>
      <c r="R164" s="353">
        <v>182960</v>
      </c>
      <c r="S164" s="354">
        <v>0.12610729872872595</v>
      </c>
      <c r="T164" s="353">
        <v>26259322.991206639</v>
      </c>
      <c r="U164" s="354">
        <v>0.15825128589761744</v>
      </c>
      <c r="V164" s="353">
        <v>19537619.813000001</v>
      </c>
      <c r="W164" s="353">
        <v>800876</v>
      </c>
      <c r="X164" s="354">
        <v>0.55201305737137685</v>
      </c>
      <c r="Y164" s="353">
        <v>73903777.726303622</v>
      </c>
      <c r="Z164" s="354">
        <v>0.44537964142470965</v>
      </c>
      <c r="AA164" s="353">
        <v>54986334.280000001</v>
      </c>
      <c r="AB164" s="353">
        <v>65537</v>
      </c>
      <c r="AC164" s="354">
        <v>4.5172136187060077E-2</v>
      </c>
      <c r="AD164" s="353">
        <v>8793214.3793136347</v>
      </c>
      <c r="AE164" s="354">
        <v>5.2992130953482E-2</v>
      </c>
      <c r="AF164" s="353">
        <v>6542380.3779999996</v>
      </c>
      <c r="AG164" s="353"/>
      <c r="AH164" s="354"/>
      <c r="AI164" s="353"/>
      <c r="AJ164" s="354"/>
      <c r="AK164" s="353"/>
      <c r="AL164" s="353">
        <v>1450828</v>
      </c>
      <c r="AM164" s="354">
        <v>1</v>
      </c>
      <c r="AN164" s="353">
        <v>165934341.96923631</v>
      </c>
      <c r="AO164" s="354">
        <v>0.99999999999999989</v>
      </c>
      <c r="AP164" s="353">
        <v>123459469.55300002</v>
      </c>
    </row>
    <row r="165" spans="2:42" hidden="1" outlineLevel="1" x14ac:dyDescent="0.25">
      <c r="B165" s="352">
        <v>43221</v>
      </c>
      <c r="C165" s="353"/>
      <c r="D165" s="354"/>
      <c r="E165" s="353"/>
      <c r="F165" s="354"/>
      <c r="G165" s="353"/>
      <c r="H165" s="353"/>
      <c r="I165" s="354"/>
      <c r="J165" s="353"/>
      <c r="K165" s="354"/>
      <c r="L165" s="353"/>
      <c r="M165" s="353">
        <v>402013</v>
      </c>
      <c r="N165" s="354">
        <v>0.27551063765628897</v>
      </c>
      <c r="O165" s="353">
        <v>56882372.013040498</v>
      </c>
      <c r="P165" s="354">
        <v>0.34253059651078199</v>
      </c>
      <c r="Q165" s="353">
        <v>42440351.505999997</v>
      </c>
      <c r="R165" s="353">
        <v>183081</v>
      </c>
      <c r="S165" s="354">
        <v>0.1254704774540899</v>
      </c>
      <c r="T165" s="353">
        <v>26221315.089409698</v>
      </c>
      <c r="U165" s="354">
        <v>0.15789782284067913</v>
      </c>
      <c r="V165" s="353">
        <v>19563913.914999999</v>
      </c>
      <c r="W165" s="353">
        <v>807792</v>
      </c>
      <c r="X165" s="354">
        <v>0.55360221936516729</v>
      </c>
      <c r="Y165" s="353">
        <v>74078884.429868266</v>
      </c>
      <c r="Z165" s="354">
        <v>0.44608344509260106</v>
      </c>
      <c r="AA165" s="353">
        <v>55270794.502999999</v>
      </c>
      <c r="AB165" s="353">
        <v>66270</v>
      </c>
      <c r="AC165" s="354">
        <v>4.5416665524453864E-2</v>
      </c>
      <c r="AD165" s="353">
        <v>8882511.6820798274</v>
      </c>
      <c r="AE165" s="354">
        <v>5.3488135555937802E-2</v>
      </c>
      <c r="AF165" s="353">
        <v>6627306.5750000002</v>
      </c>
      <c r="AG165" s="353"/>
      <c r="AH165" s="354"/>
      <c r="AI165" s="353"/>
      <c r="AJ165" s="354"/>
      <c r="AK165" s="353"/>
      <c r="AL165" s="353">
        <v>1459156</v>
      </c>
      <c r="AM165" s="354">
        <v>1</v>
      </c>
      <c r="AN165" s="353">
        <v>166065083.21439829</v>
      </c>
      <c r="AO165" s="354">
        <v>1</v>
      </c>
      <c r="AP165" s="353">
        <v>123902366.499</v>
      </c>
    </row>
    <row r="166" spans="2:42" hidden="1" outlineLevel="1" x14ac:dyDescent="0.25">
      <c r="B166" s="352">
        <v>43252</v>
      </c>
      <c r="C166" s="353"/>
      <c r="D166" s="354"/>
      <c r="E166" s="353"/>
      <c r="F166" s="354"/>
      <c r="G166" s="353"/>
      <c r="H166" s="353"/>
      <c r="I166" s="354"/>
      <c r="J166" s="353"/>
      <c r="K166" s="354"/>
      <c r="L166" s="353"/>
      <c r="M166" s="353">
        <v>402451</v>
      </c>
      <c r="N166" s="354">
        <v>0.27433306794199924</v>
      </c>
      <c r="O166" s="353">
        <v>56856618.039212175</v>
      </c>
      <c r="P166" s="354">
        <v>0.34123406467540307</v>
      </c>
      <c r="Q166" s="353">
        <v>42464860.903999999</v>
      </c>
      <c r="R166" s="353">
        <v>183271</v>
      </c>
      <c r="S166" s="354">
        <v>0.12492774448267777</v>
      </c>
      <c r="T166" s="353">
        <v>26278135.4083107</v>
      </c>
      <c r="U166" s="354">
        <v>0.15771242234781263</v>
      </c>
      <c r="V166" s="353">
        <v>19626516.726</v>
      </c>
      <c r="W166" s="353">
        <v>814687</v>
      </c>
      <c r="X166" s="354">
        <v>0.55533613811982963</v>
      </c>
      <c r="Y166" s="353">
        <v>74628562.246516898</v>
      </c>
      <c r="Z166" s="354">
        <v>0.44789522336163834</v>
      </c>
      <c r="AA166" s="353">
        <v>55738304.960000001</v>
      </c>
      <c r="AB166" s="353">
        <v>66607</v>
      </c>
      <c r="AC166" s="354">
        <v>4.5403049455493324E-2</v>
      </c>
      <c r="AD166" s="353">
        <v>8857265.0891147461</v>
      </c>
      <c r="AE166" s="354">
        <v>5.3158289615145932E-2</v>
      </c>
      <c r="AF166" s="353">
        <v>6615281.4390000002</v>
      </c>
      <c r="AG166" s="353"/>
      <c r="AH166" s="354"/>
      <c r="AI166" s="353"/>
      <c r="AJ166" s="354"/>
      <c r="AK166" s="353"/>
      <c r="AL166" s="353">
        <v>1467016</v>
      </c>
      <c r="AM166" s="354">
        <v>1</v>
      </c>
      <c r="AN166" s="353">
        <v>166620580.78315452</v>
      </c>
      <c r="AO166" s="354">
        <v>1</v>
      </c>
      <c r="AP166" s="353">
        <v>124444964.029</v>
      </c>
    </row>
    <row r="167" spans="2:42" hidden="1" outlineLevel="1" x14ac:dyDescent="0.25">
      <c r="B167" s="352">
        <v>43282</v>
      </c>
      <c r="C167" s="353"/>
      <c r="D167" s="354"/>
      <c r="E167" s="353"/>
      <c r="F167" s="354"/>
      <c r="G167" s="353"/>
      <c r="H167" s="353"/>
      <c r="I167" s="354"/>
      <c r="J167" s="353"/>
      <c r="K167" s="354"/>
      <c r="L167" s="353"/>
      <c r="M167" s="353">
        <v>402868</v>
      </c>
      <c r="N167" s="354">
        <v>0.27314547694418889</v>
      </c>
      <c r="O167" s="353">
        <v>58078720.665680528</v>
      </c>
      <c r="P167" s="354">
        <v>0.33798067304836188</v>
      </c>
      <c r="Q167" s="353">
        <v>43531265.906000003</v>
      </c>
      <c r="R167" s="353">
        <v>183335</v>
      </c>
      <c r="S167" s="354">
        <v>0.12430157276220218</v>
      </c>
      <c r="T167" s="353">
        <v>26776931.564856287</v>
      </c>
      <c r="U167" s="354">
        <v>0.15582446115773116</v>
      </c>
      <c r="V167" s="353">
        <v>20069893.322999999</v>
      </c>
      <c r="W167" s="353">
        <v>821872</v>
      </c>
      <c r="X167" s="354">
        <v>0.55723120085753741</v>
      </c>
      <c r="Y167" s="353">
        <v>77919008.831875652</v>
      </c>
      <c r="Z167" s="354">
        <v>0.45343834620345469</v>
      </c>
      <c r="AA167" s="353">
        <v>58401993.943999998</v>
      </c>
      <c r="AB167" s="353">
        <v>66846</v>
      </c>
      <c r="AC167" s="354">
        <v>4.5321749436071493E-2</v>
      </c>
      <c r="AD167" s="353">
        <v>9065699.3400002606</v>
      </c>
      <c r="AE167" s="354">
        <v>5.2756519590452237E-2</v>
      </c>
      <c r="AF167" s="353">
        <v>6794939.0769999996</v>
      </c>
      <c r="AG167" s="353"/>
      <c r="AH167" s="354"/>
      <c r="AI167" s="353"/>
      <c r="AJ167" s="354"/>
      <c r="AK167" s="353"/>
      <c r="AL167" s="353">
        <v>1474921</v>
      </c>
      <c r="AM167" s="354">
        <v>0.99999999999999989</v>
      </c>
      <c r="AN167" s="353">
        <v>171840360.40241274</v>
      </c>
      <c r="AO167" s="354">
        <v>1</v>
      </c>
      <c r="AP167" s="353">
        <v>128798092.25</v>
      </c>
    </row>
    <row r="168" spans="2:42" hidden="1" outlineLevel="1" x14ac:dyDescent="0.25">
      <c r="B168" s="352">
        <v>43313</v>
      </c>
      <c r="C168" s="353"/>
      <c r="D168" s="354"/>
      <c r="E168" s="353"/>
      <c r="F168" s="354"/>
      <c r="G168" s="353"/>
      <c r="H168" s="353"/>
      <c r="I168" s="354"/>
      <c r="J168" s="353"/>
      <c r="K168" s="354"/>
      <c r="L168" s="353"/>
      <c r="M168" s="353">
        <v>403017</v>
      </c>
      <c r="N168" s="354">
        <v>0.272088171752633</v>
      </c>
      <c r="O168" s="353">
        <v>58019464.238969781</v>
      </c>
      <c r="P168" s="354">
        <v>0.3371584092935454</v>
      </c>
      <c r="Q168" s="353">
        <v>43561591.549999997</v>
      </c>
      <c r="R168" s="353">
        <v>183284</v>
      </c>
      <c r="S168" s="354">
        <v>0.12374021064002161</v>
      </c>
      <c r="T168" s="353">
        <v>26708060.840437438</v>
      </c>
      <c r="U168" s="354">
        <v>0.15520390314512514</v>
      </c>
      <c r="V168" s="353">
        <v>20052678.057</v>
      </c>
      <c r="W168" s="353">
        <v>827986</v>
      </c>
      <c r="X168" s="354">
        <v>0.55899675938428306</v>
      </c>
      <c r="Y168" s="353">
        <v>78333599.360563278</v>
      </c>
      <c r="Z168" s="354">
        <v>0.45520640531709883</v>
      </c>
      <c r="AA168" s="353">
        <v>58813646.501999997</v>
      </c>
      <c r="AB168" s="353">
        <v>66913</v>
      </c>
      <c r="AC168" s="354">
        <v>4.5174858223062379E-2</v>
      </c>
      <c r="AD168" s="353">
        <v>9022568.6838020869</v>
      </c>
      <c r="AE168" s="354">
        <v>5.2431282244230611E-2</v>
      </c>
      <c r="AF168" s="353">
        <v>6774234.4210000001</v>
      </c>
      <c r="AG168" s="353"/>
      <c r="AH168" s="354"/>
      <c r="AI168" s="353"/>
      <c r="AJ168" s="354"/>
      <c r="AK168" s="353"/>
      <c r="AL168" s="353">
        <v>1481200</v>
      </c>
      <c r="AM168" s="354">
        <v>1</v>
      </c>
      <c r="AN168" s="353">
        <v>172083693.12377259</v>
      </c>
      <c r="AO168" s="354">
        <v>1</v>
      </c>
      <c r="AP168" s="353">
        <v>129202150.53</v>
      </c>
    </row>
    <row r="169" spans="2:42" hidden="1" outlineLevel="1" x14ac:dyDescent="0.25">
      <c r="B169" s="352">
        <v>43344</v>
      </c>
      <c r="C169" s="353"/>
      <c r="D169" s="354"/>
      <c r="E169" s="353"/>
      <c r="F169" s="354"/>
      <c r="G169" s="353"/>
      <c r="H169" s="353"/>
      <c r="I169" s="354"/>
      <c r="J169" s="353"/>
      <c r="K169" s="354"/>
      <c r="L169" s="353"/>
      <c r="M169" s="353">
        <v>403054</v>
      </c>
      <c r="N169" s="354">
        <v>0.2712004225584298</v>
      </c>
      <c r="O169" s="353">
        <v>57843646.907398365</v>
      </c>
      <c r="P169" s="354">
        <v>0.33632845295438335</v>
      </c>
      <c r="Q169" s="353">
        <v>43577194.887000002</v>
      </c>
      <c r="R169" s="353">
        <v>183113</v>
      </c>
      <c r="S169" s="354">
        <v>0.12321009833903586</v>
      </c>
      <c r="T169" s="353">
        <v>26608304.335617349</v>
      </c>
      <c r="U169" s="354">
        <v>0.15471240683119819</v>
      </c>
      <c r="V169" s="353">
        <v>20045680.478999998</v>
      </c>
      <c r="W169" s="353">
        <v>833175</v>
      </c>
      <c r="X169" s="354">
        <v>0.56061324801421086</v>
      </c>
      <c r="Y169" s="353">
        <v>78576202.943730831</v>
      </c>
      <c r="Z169" s="354">
        <v>0.45687666992024517</v>
      </c>
      <c r="AA169" s="353">
        <v>59196310.956</v>
      </c>
      <c r="AB169" s="353">
        <v>66843</v>
      </c>
      <c r="AC169" s="354">
        <v>4.4976231088323458E-2</v>
      </c>
      <c r="AD169" s="353">
        <v>8957434.3035729714</v>
      </c>
      <c r="AE169" s="354">
        <v>5.2082470294173254E-2</v>
      </c>
      <c r="AF169" s="353">
        <v>6748188.9749999996</v>
      </c>
      <c r="AG169" s="353"/>
      <c r="AH169" s="354"/>
      <c r="AI169" s="353"/>
      <c r="AJ169" s="354"/>
      <c r="AK169" s="353"/>
      <c r="AL169" s="353">
        <v>1486185</v>
      </c>
      <c r="AM169" s="354">
        <v>1</v>
      </c>
      <c r="AN169" s="353">
        <v>171985588.49031952</v>
      </c>
      <c r="AO169" s="354">
        <v>0.99999999999999989</v>
      </c>
      <c r="AP169" s="353">
        <v>129567375.29699999</v>
      </c>
    </row>
    <row r="170" spans="2:42" hidden="1" outlineLevel="1" x14ac:dyDescent="0.25">
      <c r="B170" s="352">
        <v>43374</v>
      </c>
      <c r="C170" s="353"/>
      <c r="D170" s="354"/>
      <c r="E170" s="353"/>
      <c r="F170" s="354"/>
      <c r="G170" s="353"/>
      <c r="H170" s="353"/>
      <c r="I170" s="354"/>
      <c r="J170" s="353"/>
      <c r="K170" s="354"/>
      <c r="L170" s="353"/>
      <c r="M170" s="353">
        <v>403364</v>
      </c>
      <c r="N170" s="354">
        <v>0.27008166782614401</v>
      </c>
      <c r="O170" s="353">
        <v>57749403.055498302</v>
      </c>
      <c r="P170" s="354">
        <v>0.33492968794201716</v>
      </c>
      <c r="Q170" s="353">
        <v>43665677.762999997</v>
      </c>
      <c r="R170" s="353">
        <v>183057</v>
      </c>
      <c r="S170" s="354">
        <v>0.12257003566815691</v>
      </c>
      <c r="T170" s="353">
        <v>26525434.765812434</v>
      </c>
      <c r="U170" s="354">
        <v>0.15383978220696143</v>
      </c>
      <c r="V170" s="353">
        <v>20056503.197000001</v>
      </c>
      <c r="W170" s="353">
        <v>840165</v>
      </c>
      <c r="X170" s="354">
        <v>0.56255185006384378</v>
      </c>
      <c r="Y170" s="353">
        <v>79190646.000846058</v>
      </c>
      <c r="Z170" s="354">
        <v>0.45928264102575589</v>
      </c>
      <c r="AA170" s="353">
        <v>59877904.310000002</v>
      </c>
      <c r="AB170" s="353">
        <v>66903</v>
      </c>
      <c r="AC170" s="354">
        <v>4.4796446441855278E-2</v>
      </c>
      <c r="AD170" s="353">
        <v>8956983.1449872106</v>
      </c>
      <c r="AE170" s="354">
        <v>5.1947888825265499E-2</v>
      </c>
      <c r="AF170" s="353">
        <v>6772584.9800000004</v>
      </c>
      <c r="AG170" s="353"/>
      <c r="AH170" s="354"/>
      <c r="AI170" s="353"/>
      <c r="AJ170" s="354"/>
      <c r="AK170" s="353"/>
      <c r="AL170" s="353">
        <v>1493489</v>
      </c>
      <c r="AM170" s="354">
        <v>1</v>
      </c>
      <c r="AN170" s="353">
        <v>172422466.96714401</v>
      </c>
      <c r="AO170" s="354">
        <v>0.99999999999999989</v>
      </c>
      <c r="AP170" s="353">
        <v>130372670.25</v>
      </c>
    </row>
    <row r="171" spans="2:42" hidden="1" outlineLevel="1" x14ac:dyDescent="0.25">
      <c r="B171" s="352">
        <v>43405</v>
      </c>
      <c r="C171" s="353"/>
      <c r="D171" s="354"/>
      <c r="E171" s="353"/>
      <c r="F171" s="354"/>
      <c r="G171" s="353"/>
      <c r="H171" s="353"/>
      <c r="I171" s="354"/>
      <c r="J171" s="353"/>
      <c r="K171" s="354"/>
      <c r="L171" s="353"/>
      <c r="M171" s="353">
        <v>403867</v>
      </c>
      <c r="N171" s="354">
        <v>0.26913808798382505</v>
      </c>
      <c r="O171" s="353">
        <v>57741682.837647922</v>
      </c>
      <c r="P171" s="354">
        <v>0.3337707751954741</v>
      </c>
      <c r="Q171" s="353">
        <v>43657533.101000004</v>
      </c>
      <c r="R171" s="353">
        <v>182917</v>
      </c>
      <c r="S171" s="354">
        <v>0.12189639569397186</v>
      </c>
      <c r="T171" s="353">
        <v>26493263.174696643</v>
      </c>
      <c r="U171" s="354">
        <v>0.15314200336244316</v>
      </c>
      <c r="V171" s="353">
        <v>20031118.892999999</v>
      </c>
      <c r="W171" s="353">
        <v>846814</v>
      </c>
      <c r="X171" s="354">
        <v>0.56431919626494575</v>
      </c>
      <c r="Y171" s="353">
        <v>79794293.553104892</v>
      </c>
      <c r="Z171" s="354">
        <v>0.46124397327107625</v>
      </c>
      <c r="AA171" s="353">
        <v>60331147.983000003</v>
      </c>
      <c r="AB171" s="353">
        <v>66996</v>
      </c>
      <c r="AC171" s="354">
        <v>4.4646320057257327E-2</v>
      </c>
      <c r="AD171" s="353">
        <v>8968779.2210404202</v>
      </c>
      <c r="AE171" s="354">
        <v>5.1843248171006384E-2</v>
      </c>
      <c r="AF171" s="353">
        <v>6781145.898</v>
      </c>
      <c r="AG171" s="353"/>
      <c r="AH171" s="354"/>
      <c r="AI171" s="353"/>
      <c r="AJ171" s="354"/>
      <c r="AK171" s="353"/>
      <c r="AL171" s="353">
        <v>1500594</v>
      </c>
      <c r="AM171" s="354">
        <v>1</v>
      </c>
      <c r="AN171" s="353">
        <v>172998018.7864899</v>
      </c>
      <c r="AO171" s="354">
        <v>0.99999999999999989</v>
      </c>
      <c r="AP171" s="353">
        <v>130800945.875</v>
      </c>
    </row>
    <row r="172" spans="2:42" hidden="1" outlineLevel="1" x14ac:dyDescent="0.25">
      <c r="B172" s="352">
        <v>43435</v>
      </c>
      <c r="C172" s="353"/>
      <c r="D172" s="354"/>
      <c r="E172" s="353"/>
      <c r="F172" s="354"/>
      <c r="G172" s="353"/>
      <c r="H172" s="353"/>
      <c r="I172" s="354"/>
      <c r="J172" s="353"/>
      <c r="K172" s="354"/>
      <c r="L172" s="353"/>
      <c r="M172" s="353">
        <v>404348</v>
      </c>
      <c r="N172" s="354">
        <v>0.26820784403207232</v>
      </c>
      <c r="O172" s="353">
        <v>57908584.803249136</v>
      </c>
      <c r="P172" s="354">
        <v>0.33237553991652674</v>
      </c>
      <c r="Q172" s="353">
        <v>43739459.228</v>
      </c>
      <c r="R172" s="353">
        <v>182911</v>
      </c>
      <c r="S172" s="354">
        <v>0.12132659234063327</v>
      </c>
      <c r="T172" s="353">
        <v>26624855.673062634</v>
      </c>
      <c r="U172" s="354">
        <v>0.15281759707305551</v>
      </c>
      <c r="V172" s="353">
        <v>20110261.598000001</v>
      </c>
      <c r="W172" s="353">
        <v>853431</v>
      </c>
      <c r="X172" s="354">
        <v>0.56608883570621227</v>
      </c>
      <c r="Y172" s="353">
        <v>80724193.92603229</v>
      </c>
      <c r="Z172" s="354">
        <v>0.46332936008800496</v>
      </c>
      <c r="AA172" s="353">
        <v>60972524.211000003</v>
      </c>
      <c r="AB172" s="353">
        <v>66902</v>
      </c>
      <c r="AC172" s="354">
        <v>4.4376727921082097E-2</v>
      </c>
      <c r="AD172" s="353">
        <v>8968738.6267674901</v>
      </c>
      <c r="AE172" s="354">
        <v>5.1477502922412904E-2</v>
      </c>
      <c r="AF172" s="353">
        <v>6774259.4440000001</v>
      </c>
      <c r="AG172" s="353"/>
      <c r="AH172" s="354"/>
      <c r="AI172" s="353"/>
      <c r="AJ172" s="354"/>
      <c r="AK172" s="353"/>
      <c r="AL172" s="353">
        <v>1507592</v>
      </c>
      <c r="AM172" s="354">
        <v>0.99999999999999989</v>
      </c>
      <c r="AN172" s="353">
        <v>174226373.02911153</v>
      </c>
      <c r="AO172" s="354">
        <v>1</v>
      </c>
      <c r="AP172" s="353">
        <v>131596504.48100001</v>
      </c>
    </row>
    <row r="173" spans="2:42" collapsed="1" x14ac:dyDescent="0.25">
      <c r="B173" s="355" t="s">
        <v>709</v>
      </c>
      <c r="C173" s="356"/>
      <c r="D173" s="343"/>
      <c r="E173" s="356"/>
      <c r="F173" s="343"/>
      <c r="G173" s="356"/>
      <c r="H173" s="356"/>
      <c r="I173" s="343"/>
      <c r="J173" s="356"/>
      <c r="K173" s="343"/>
      <c r="L173" s="356"/>
      <c r="M173" s="356">
        <v>402249.25</v>
      </c>
      <c r="N173" s="343">
        <v>0.27400142274382938</v>
      </c>
      <c r="O173" s="356">
        <v>57421026.953622997</v>
      </c>
      <c r="P173" s="343">
        <v>0.33988344323735409</v>
      </c>
      <c r="Q173" s="356"/>
      <c r="R173" s="356">
        <v>182976.41666666666</v>
      </c>
      <c r="S173" s="343">
        <v>0.12463863759903691</v>
      </c>
      <c r="T173" s="356">
        <v>26479172.479979169</v>
      </c>
      <c r="U173" s="343">
        <v>0.15673408843488579</v>
      </c>
      <c r="V173" s="356"/>
      <c r="W173" s="356">
        <v>816678</v>
      </c>
      <c r="X173" s="343">
        <v>0.55629919489864832</v>
      </c>
      <c r="Y173" s="356">
        <v>76155962.122008398</v>
      </c>
      <c r="Z173" s="343">
        <v>0.45077826020052675</v>
      </c>
      <c r="AA173" s="356"/>
      <c r="AB173" s="356">
        <v>66151.666666666672</v>
      </c>
      <c r="AC173" s="343">
        <v>4.5060744758485496E-2</v>
      </c>
      <c r="AD173" s="356">
        <v>8887127.963566212</v>
      </c>
      <c r="AE173" s="343">
        <v>5.2604208127233328E-2</v>
      </c>
      <c r="AF173" s="356"/>
      <c r="AG173" s="356"/>
      <c r="AH173" s="343"/>
      <c r="AI173" s="356"/>
      <c r="AJ173" s="343"/>
      <c r="AK173" s="356"/>
      <c r="AL173" s="356">
        <v>1468055.3333333333</v>
      </c>
      <c r="AM173" s="343">
        <v>1</v>
      </c>
      <c r="AN173" s="356">
        <v>168943289.51917678</v>
      </c>
      <c r="AO173" s="343">
        <v>1</v>
      </c>
      <c r="AP173" s="356"/>
    </row>
    <row r="174" spans="2:42" hidden="1" outlineLevel="1" x14ac:dyDescent="0.25">
      <c r="B174" s="352">
        <v>43466</v>
      </c>
      <c r="C174" s="353"/>
      <c r="D174" s="354"/>
      <c r="E174" s="353"/>
      <c r="F174" s="354"/>
      <c r="G174" s="353"/>
      <c r="H174" s="353"/>
      <c r="I174" s="354"/>
      <c r="J174" s="353"/>
      <c r="K174" s="354"/>
      <c r="L174" s="353"/>
      <c r="M174" s="353">
        <v>404952</v>
      </c>
      <c r="N174" s="354">
        <v>0.26742796914902256</v>
      </c>
      <c r="O174" s="353">
        <v>57981725.493605584</v>
      </c>
      <c r="P174" s="354">
        <v>0.33165858890406485</v>
      </c>
      <c r="Q174" s="353">
        <v>43843638.549999997</v>
      </c>
      <c r="R174" s="353">
        <v>182878</v>
      </c>
      <c r="S174" s="354">
        <v>0.12077157821676385</v>
      </c>
      <c r="T174" s="353">
        <v>26520190.033646993</v>
      </c>
      <c r="U174" s="354">
        <v>0.15169691362491478</v>
      </c>
      <c r="V174" s="353">
        <v>20053587.853999998</v>
      </c>
      <c r="W174" s="353">
        <v>859411</v>
      </c>
      <c r="X174" s="354">
        <v>0.567550076044397</v>
      </c>
      <c r="Y174" s="353">
        <v>81318100.780675232</v>
      </c>
      <c r="Z174" s="354">
        <v>0.46514391090778429</v>
      </c>
      <c r="AA174" s="353">
        <v>61489743.325999998</v>
      </c>
      <c r="AB174" s="353">
        <v>67006</v>
      </c>
      <c r="AC174" s="354">
        <v>4.4250376589816585E-2</v>
      </c>
      <c r="AD174" s="353">
        <v>9003514.3752389774</v>
      </c>
      <c r="AE174" s="354">
        <v>5.1500586563236E-2</v>
      </c>
      <c r="AF174" s="353">
        <v>6808124.915</v>
      </c>
      <c r="AG174" s="353"/>
      <c r="AH174" s="354"/>
      <c r="AI174" s="353"/>
      <c r="AJ174" s="354"/>
      <c r="AK174" s="353"/>
      <c r="AL174" s="353">
        <v>1514247</v>
      </c>
      <c r="AM174" s="354">
        <v>1</v>
      </c>
      <c r="AN174" s="353">
        <v>174823530.6831668</v>
      </c>
      <c r="AO174" s="354">
        <v>0.99999999999999989</v>
      </c>
      <c r="AP174" s="353">
        <v>132195094.645</v>
      </c>
    </row>
    <row r="175" spans="2:42" hidden="1" outlineLevel="1" x14ac:dyDescent="0.25">
      <c r="B175" s="352">
        <v>43497</v>
      </c>
      <c r="C175" s="353"/>
      <c r="D175" s="354"/>
      <c r="E175" s="353"/>
      <c r="F175" s="354"/>
      <c r="G175" s="353"/>
      <c r="H175" s="353"/>
      <c r="I175" s="354"/>
      <c r="J175" s="353"/>
      <c r="K175" s="354"/>
      <c r="L175" s="353"/>
      <c r="M175" s="353">
        <v>405530</v>
      </c>
      <c r="N175" s="354">
        <v>0.26675288078376791</v>
      </c>
      <c r="O175" s="353">
        <v>57962373.833006226</v>
      </c>
      <c r="P175" s="354">
        <v>0.33205456454160376</v>
      </c>
      <c r="Q175" s="353">
        <v>43849256.023000002</v>
      </c>
      <c r="R175" s="353">
        <v>182940</v>
      </c>
      <c r="S175" s="354">
        <v>0.12033578776066504</v>
      </c>
      <c r="T175" s="353">
        <v>26519393.686896913</v>
      </c>
      <c r="U175" s="354">
        <v>0.15192417322279281</v>
      </c>
      <c r="V175" s="353">
        <v>20062250.844000001</v>
      </c>
      <c r="W175" s="353">
        <v>864545</v>
      </c>
      <c r="X175" s="354">
        <v>0.5686875676699692</v>
      </c>
      <c r="Y175" s="353">
        <v>81052963.84112668</v>
      </c>
      <c r="Z175" s="354">
        <v>0.4643358239711311</v>
      </c>
      <c r="AA175" s="353">
        <v>61317574.278999999</v>
      </c>
      <c r="AB175" s="353">
        <v>67231</v>
      </c>
      <c r="AC175" s="354">
        <v>4.4223763785597857E-2</v>
      </c>
      <c r="AD175" s="353">
        <v>9022043.4058594815</v>
      </c>
      <c r="AE175" s="354">
        <v>5.1685438264472472E-2</v>
      </c>
      <c r="AF175" s="353">
        <v>6825287.9409999996</v>
      </c>
      <c r="AG175" s="353"/>
      <c r="AH175" s="354"/>
      <c r="AI175" s="353"/>
      <c r="AJ175" s="354"/>
      <c r="AK175" s="353"/>
      <c r="AL175" s="353">
        <v>1520246</v>
      </c>
      <c r="AM175" s="354">
        <v>1</v>
      </c>
      <c r="AN175" s="353">
        <v>174556774.76688927</v>
      </c>
      <c r="AO175" s="354">
        <v>1.0000000000000002</v>
      </c>
      <c r="AP175" s="353">
        <v>132054369.087</v>
      </c>
    </row>
    <row r="176" spans="2:42" hidden="1" outlineLevel="1" x14ac:dyDescent="0.25">
      <c r="B176" s="352">
        <v>43525</v>
      </c>
      <c r="C176" s="353"/>
      <c r="D176" s="354"/>
      <c r="E176" s="353"/>
      <c r="F176" s="354"/>
      <c r="G176" s="353"/>
      <c r="H176" s="353"/>
      <c r="I176" s="354"/>
      <c r="J176" s="353"/>
      <c r="K176" s="354"/>
      <c r="L176" s="353"/>
      <c r="M176" s="353">
        <v>406038</v>
      </c>
      <c r="N176" s="354">
        <v>0.26571237298861144</v>
      </c>
      <c r="O176" s="353">
        <v>57801852.836795978</v>
      </c>
      <c r="P176" s="354">
        <v>0.33060033547456974</v>
      </c>
      <c r="Q176" s="353">
        <v>43935210.077</v>
      </c>
      <c r="R176" s="353">
        <v>183105</v>
      </c>
      <c r="S176" s="354">
        <v>0.11982441066126741</v>
      </c>
      <c r="T176" s="353">
        <v>26397062.049302701</v>
      </c>
      <c r="U176" s="354">
        <v>0.15097920119763147</v>
      </c>
      <c r="V176" s="353">
        <v>20064416.789999999</v>
      </c>
      <c r="W176" s="353">
        <v>871259</v>
      </c>
      <c r="X176" s="354">
        <v>0.57015426235397826</v>
      </c>
      <c r="Y176" s="353">
        <v>81596207.647208333</v>
      </c>
      <c r="Z176" s="354">
        <v>0.46669323382739891</v>
      </c>
      <c r="AA176" s="353">
        <v>62021308.115999997</v>
      </c>
      <c r="AB176" s="353">
        <v>67709</v>
      </c>
      <c r="AC176" s="354">
        <v>4.4308953996142951E-2</v>
      </c>
      <c r="AD176" s="353">
        <v>9043940.33038502</v>
      </c>
      <c r="AE176" s="354">
        <v>5.1727229500399763E-2</v>
      </c>
      <c r="AF176" s="353">
        <v>6874302.4460000005</v>
      </c>
      <c r="AG176" s="353"/>
      <c r="AH176" s="354"/>
      <c r="AI176" s="353"/>
      <c r="AJ176" s="354"/>
      <c r="AK176" s="353"/>
      <c r="AL176" s="353">
        <v>1528111</v>
      </c>
      <c r="AM176" s="354">
        <v>1</v>
      </c>
      <c r="AN176" s="353">
        <v>174839062.86369205</v>
      </c>
      <c r="AO176" s="354">
        <v>0.99999999999999989</v>
      </c>
      <c r="AP176" s="353">
        <v>132895237.42899999</v>
      </c>
    </row>
    <row r="177" spans="2:42" hidden="1" outlineLevel="1" x14ac:dyDescent="0.25">
      <c r="B177" s="352">
        <v>43556</v>
      </c>
      <c r="C177" s="353"/>
      <c r="D177" s="354"/>
      <c r="E177" s="353"/>
      <c r="F177" s="354"/>
      <c r="G177" s="353"/>
      <c r="H177" s="353"/>
      <c r="I177" s="354"/>
      <c r="J177" s="353"/>
      <c r="K177" s="354"/>
      <c r="L177" s="353"/>
      <c r="M177" s="353">
        <v>406470</v>
      </c>
      <c r="N177" s="354">
        <v>0.26479561025723874</v>
      </c>
      <c r="O177" s="353">
        <v>57632537.145963535</v>
      </c>
      <c r="P177" s="354">
        <v>0.32959812906610336</v>
      </c>
      <c r="Q177" s="353">
        <v>43920676.696999997</v>
      </c>
      <c r="R177" s="353">
        <v>183115</v>
      </c>
      <c r="S177" s="354">
        <v>0.11929059505561118</v>
      </c>
      <c r="T177" s="353">
        <v>26276489.430625331</v>
      </c>
      <c r="U177" s="354">
        <v>0.15027417121728998</v>
      </c>
      <c r="V177" s="353">
        <v>20024820.252</v>
      </c>
      <c r="W177" s="353">
        <v>877406</v>
      </c>
      <c r="X177" s="354">
        <v>0.57158771179512102</v>
      </c>
      <c r="Y177" s="353">
        <v>81916417.714825392</v>
      </c>
      <c r="Z177" s="354">
        <v>0.46847665148288281</v>
      </c>
      <c r="AA177" s="353">
        <v>62426967.071000002</v>
      </c>
      <c r="AB177" s="353">
        <v>68042</v>
      </c>
      <c r="AC177" s="354">
        <v>4.432608289202903E-2</v>
      </c>
      <c r="AD177" s="353">
        <v>9031546.8852707651</v>
      </c>
      <c r="AE177" s="354">
        <v>5.165104823372374E-2</v>
      </c>
      <c r="AF177" s="353">
        <v>6882772.6569999997</v>
      </c>
      <c r="AG177" s="353"/>
      <c r="AH177" s="354"/>
      <c r="AI177" s="353"/>
      <c r="AJ177" s="354"/>
      <c r="AK177" s="353"/>
      <c r="AL177" s="353">
        <v>1535033</v>
      </c>
      <c r="AM177" s="354">
        <v>0.99999999999999989</v>
      </c>
      <c r="AN177" s="353">
        <v>174856991.17668504</v>
      </c>
      <c r="AO177" s="354">
        <v>1</v>
      </c>
      <c r="AP177" s="353">
        <v>133255236.67700002</v>
      </c>
    </row>
    <row r="178" spans="2:42" hidden="1" outlineLevel="1" x14ac:dyDescent="0.25">
      <c r="B178" s="352">
        <v>43586</v>
      </c>
      <c r="C178" s="353"/>
      <c r="D178" s="354"/>
      <c r="E178" s="353"/>
      <c r="F178" s="354"/>
      <c r="G178" s="353"/>
      <c r="H178" s="353"/>
      <c r="I178" s="354"/>
      <c r="J178" s="353"/>
      <c r="K178" s="354"/>
      <c r="L178" s="353"/>
      <c r="M178" s="353">
        <v>406993</v>
      </c>
      <c r="N178" s="354">
        <v>0.26389047384391939</v>
      </c>
      <c r="O178" s="353">
        <v>57376051.0320426</v>
      </c>
      <c r="P178" s="354">
        <v>0.32873382655854305</v>
      </c>
      <c r="Q178" s="353">
        <v>43989505.774999999</v>
      </c>
      <c r="R178" s="353">
        <v>183188</v>
      </c>
      <c r="S178" s="354">
        <v>0.11877739450683404</v>
      </c>
      <c r="T178" s="353">
        <v>26153773.315299135</v>
      </c>
      <c r="U178" s="354">
        <v>0.14984701502167708</v>
      </c>
      <c r="V178" s="353">
        <v>20051773.197999999</v>
      </c>
      <c r="W178" s="353">
        <v>883647</v>
      </c>
      <c r="X178" s="354">
        <v>0.57294849184324503</v>
      </c>
      <c r="Y178" s="353">
        <v>81977664.33661592</v>
      </c>
      <c r="Z178" s="354">
        <v>0.46968780187847958</v>
      </c>
      <c r="AA178" s="353">
        <v>62851257.169</v>
      </c>
      <c r="AB178" s="353">
        <v>68452</v>
      </c>
      <c r="AC178" s="354">
        <v>4.4383639806001504E-2</v>
      </c>
      <c r="AD178" s="353">
        <v>9029009.8343190998</v>
      </c>
      <c r="AE178" s="354">
        <v>5.1731356541300261E-2</v>
      </c>
      <c r="AF178" s="353">
        <v>6922429.7089999998</v>
      </c>
      <c r="AG178" s="353"/>
      <c r="AH178" s="354"/>
      <c r="AI178" s="353"/>
      <c r="AJ178" s="354"/>
      <c r="AK178" s="353"/>
      <c r="AL178" s="353">
        <v>1542280</v>
      </c>
      <c r="AM178" s="354">
        <v>0.99999999999999989</v>
      </c>
      <c r="AN178" s="353">
        <v>174536498.51827675</v>
      </c>
      <c r="AO178" s="354">
        <v>1</v>
      </c>
      <c r="AP178" s="353">
        <v>133814965.851</v>
      </c>
    </row>
    <row r="179" spans="2:42" hidden="1" outlineLevel="1" x14ac:dyDescent="0.25">
      <c r="B179" s="352">
        <v>43617</v>
      </c>
      <c r="C179" s="353"/>
      <c r="D179" s="354"/>
      <c r="E179" s="353"/>
      <c r="F179" s="354"/>
      <c r="G179" s="353"/>
      <c r="H179" s="353"/>
      <c r="I179" s="354"/>
      <c r="J179" s="353"/>
      <c r="K179" s="354"/>
      <c r="L179" s="353"/>
      <c r="M179" s="353">
        <v>406862</v>
      </c>
      <c r="N179" s="354">
        <v>0.2630198585934202</v>
      </c>
      <c r="O179" s="353">
        <v>57296752.952070214</v>
      </c>
      <c r="P179" s="354">
        <v>0.32756836601443401</v>
      </c>
      <c r="Q179" s="353">
        <v>43950137.347999997</v>
      </c>
      <c r="R179" s="353">
        <v>183151</v>
      </c>
      <c r="S179" s="354">
        <v>0.11839972796978707</v>
      </c>
      <c r="T179" s="353">
        <v>26124370.594997142</v>
      </c>
      <c r="U179" s="354">
        <v>0.14935431674666208</v>
      </c>
      <c r="V179" s="353">
        <v>20039000.756999999</v>
      </c>
      <c r="W179" s="353">
        <v>888301</v>
      </c>
      <c r="X179" s="354">
        <v>0.57425073712559482</v>
      </c>
      <c r="Y179" s="353">
        <v>82481245.404289678</v>
      </c>
      <c r="Z179" s="354">
        <v>0.47154935300644302</v>
      </c>
      <c r="AA179" s="353">
        <v>63268193.700000003</v>
      </c>
      <c r="AB179" s="353">
        <v>68573</v>
      </c>
      <c r="AC179" s="354">
        <v>4.4329676311197906E-2</v>
      </c>
      <c r="AD179" s="353">
        <v>9013034.6610463839</v>
      </c>
      <c r="AE179" s="354">
        <v>5.1527964232460893E-2</v>
      </c>
      <c r="AF179" s="353">
        <v>6913552.5290000001</v>
      </c>
      <c r="AG179" s="353"/>
      <c r="AH179" s="354"/>
      <c r="AI179" s="353"/>
      <c r="AJ179" s="354"/>
      <c r="AK179" s="353"/>
      <c r="AL179" s="353">
        <v>1546887</v>
      </c>
      <c r="AM179" s="354">
        <v>1</v>
      </c>
      <c r="AN179" s="353">
        <v>174915403.61240342</v>
      </c>
      <c r="AO179" s="354">
        <v>1</v>
      </c>
      <c r="AP179" s="353">
        <v>134170884.33400001</v>
      </c>
    </row>
    <row r="180" spans="2:42" hidden="1" outlineLevel="1" x14ac:dyDescent="0.25">
      <c r="B180" s="352">
        <v>43647</v>
      </c>
      <c r="C180" s="353"/>
      <c r="D180" s="354"/>
      <c r="E180" s="353"/>
      <c r="F180" s="354"/>
      <c r="G180" s="353"/>
      <c r="H180" s="353"/>
      <c r="I180" s="354"/>
      <c r="J180" s="353"/>
      <c r="K180" s="354"/>
      <c r="L180" s="353"/>
      <c r="M180" s="353">
        <v>407080</v>
      </c>
      <c r="N180" s="354">
        <v>0.26146863827945055</v>
      </c>
      <c r="O180" s="353">
        <v>58760486.712256864</v>
      </c>
      <c r="P180" s="354">
        <v>0.3248782150289119</v>
      </c>
      <c r="Q180" s="353">
        <v>45173691.493000001</v>
      </c>
      <c r="R180" s="353">
        <v>183153</v>
      </c>
      <c r="S180" s="354">
        <v>0.11763969123218092</v>
      </c>
      <c r="T180" s="353">
        <v>26723985.656637911</v>
      </c>
      <c r="U180" s="354">
        <v>0.14775304365843142</v>
      </c>
      <c r="V180" s="353">
        <v>20544776.789000001</v>
      </c>
      <c r="W180" s="353">
        <v>897298</v>
      </c>
      <c r="X180" s="354">
        <v>0.57633704969753963</v>
      </c>
      <c r="Y180" s="353">
        <v>86112438.488055557</v>
      </c>
      <c r="Z180" s="354">
        <v>0.47610319235070137</v>
      </c>
      <c r="AA180" s="353">
        <v>66201233.986000001</v>
      </c>
      <c r="AB180" s="353">
        <v>69367</v>
      </c>
      <c r="AC180" s="354">
        <v>4.455462079082894E-2</v>
      </c>
      <c r="AD180" s="353">
        <v>9272362.5938028637</v>
      </c>
      <c r="AE180" s="354">
        <v>5.126554896195526E-2</v>
      </c>
      <c r="AF180" s="353">
        <v>7128376.068</v>
      </c>
      <c r="AG180" s="353"/>
      <c r="AH180" s="354"/>
      <c r="AI180" s="353"/>
      <c r="AJ180" s="354"/>
      <c r="AK180" s="353"/>
      <c r="AL180" s="353">
        <v>1556898</v>
      </c>
      <c r="AM180" s="354">
        <v>1</v>
      </c>
      <c r="AN180" s="353">
        <v>180869273.45075321</v>
      </c>
      <c r="AO180" s="354">
        <v>0.99999999999999989</v>
      </c>
      <c r="AP180" s="353">
        <v>139048078.336</v>
      </c>
    </row>
    <row r="181" spans="2:42" hidden="1" outlineLevel="1" x14ac:dyDescent="0.25">
      <c r="B181" s="352">
        <v>43678</v>
      </c>
      <c r="C181" s="353"/>
      <c r="D181" s="354"/>
      <c r="E181" s="353"/>
      <c r="F181" s="354"/>
      <c r="G181" s="353"/>
      <c r="H181" s="353"/>
      <c r="I181" s="354"/>
      <c r="J181" s="353"/>
      <c r="K181" s="354"/>
      <c r="L181" s="353"/>
      <c r="M181" s="353">
        <v>406828</v>
      </c>
      <c r="N181" s="354">
        <v>0.26131248458439532</v>
      </c>
      <c r="O181" s="353">
        <v>58580267.361999974</v>
      </c>
      <c r="P181" s="354">
        <v>0.32440783689136204</v>
      </c>
      <c r="Q181" s="353">
        <v>45119452.409000002</v>
      </c>
      <c r="R181" s="353">
        <v>182738</v>
      </c>
      <c r="S181" s="354">
        <v>0.11737569884074653</v>
      </c>
      <c r="T181" s="353">
        <v>26568531.706609596</v>
      </c>
      <c r="U181" s="354">
        <v>0.14713213661281122</v>
      </c>
      <c r="V181" s="353">
        <v>20463505.134</v>
      </c>
      <c r="W181" s="353">
        <v>898613</v>
      </c>
      <c r="X181" s="354">
        <v>0.57719428286606922</v>
      </c>
      <c r="Y181" s="353">
        <v>86232565.137812465</v>
      </c>
      <c r="Z181" s="354">
        <v>0.47754169084072523</v>
      </c>
      <c r="AA181" s="353">
        <v>66417691.384000003</v>
      </c>
      <c r="AB181" s="353">
        <v>68685</v>
      </c>
      <c r="AC181" s="354">
        <v>4.4117533708788952E-2</v>
      </c>
      <c r="AD181" s="353">
        <v>9194629.0351265166</v>
      </c>
      <c r="AE181" s="354">
        <v>5.0918335655101545E-2</v>
      </c>
      <c r="AF181" s="353">
        <v>7081849.3300000001</v>
      </c>
      <c r="AG181" s="353"/>
      <c r="AH181" s="354"/>
      <c r="AI181" s="353"/>
      <c r="AJ181" s="354"/>
      <c r="AK181" s="353"/>
      <c r="AL181" s="353">
        <v>1556864</v>
      </c>
      <c r="AM181" s="354">
        <v>1</v>
      </c>
      <c r="AN181" s="353">
        <v>180575993.24154854</v>
      </c>
      <c r="AO181" s="354">
        <v>1</v>
      </c>
      <c r="AP181" s="353">
        <v>139082498.257</v>
      </c>
    </row>
    <row r="182" spans="2:42" hidden="1" outlineLevel="1" x14ac:dyDescent="0.25">
      <c r="B182" s="352">
        <v>43709</v>
      </c>
      <c r="C182" s="353"/>
      <c r="D182" s="354"/>
      <c r="E182" s="353"/>
      <c r="F182" s="354"/>
      <c r="G182" s="353"/>
      <c r="H182" s="353"/>
      <c r="I182" s="354"/>
      <c r="J182" s="353"/>
      <c r="K182" s="354"/>
      <c r="L182" s="353"/>
      <c r="M182" s="353">
        <v>406809</v>
      </c>
      <c r="N182" s="354">
        <v>0.26013733003202405</v>
      </c>
      <c r="O182" s="353">
        <v>58616153.902164556</v>
      </c>
      <c r="P182" s="354">
        <v>0.32239022758887476</v>
      </c>
      <c r="Q182" s="353">
        <v>45152557.960000001</v>
      </c>
      <c r="R182" s="353">
        <v>182386</v>
      </c>
      <c r="S182" s="354">
        <v>0.11662821391665558</v>
      </c>
      <c r="T182" s="353">
        <v>26579621.916548796</v>
      </c>
      <c r="U182" s="354">
        <v>0.14618854681603352</v>
      </c>
      <c r="V182" s="353">
        <v>20474525.182</v>
      </c>
      <c r="W182" s="353">
        <v>905524</v>
      </c>
      <c r="X182" s="354">
        <v>0.57904470068242975</v>
      </c>
      <c r="Y182" s="353">
        <v>87275147.327311724</v>
      </c>
      <c r="Z182" s="354">
        <v>0.48001536669681732</v>
      </c>
      <c r="AA182" s="353">
        <v>67228841.980000004</v>
      </c>
      <c r="AB182" s="353">
        <v>69105</v>
      </c>
      <c r="AC182" s="354">
        <v>4.4189755368890617E-2</v>
      </c>
      <c r="AD182" s="353">
        <v>9346479.7589857094</v>
      </c>
      <c r="AE182" s="354">
        <v>5.1405858898274509E-2</v>
      </c>
      <c r="AF182" s="353">
        <v>7199678.6030000001</v>
      </c>
      <c r="AG182" s="353"/>
      <c r="AH182" s="354"/>
      <c r="AI182" s="353"/>
      <c r="AJ182" s="354"/>
      <c r="AK182" s="353"/>
      <c r="AL182" s="353">
        <v>1563824</v>
      </c>
      <c r="AM182" s="354">
        <v>1</v>
      </c>
      <c r="AN182" s="353">
        <v>181817402.90501076</v>
      </c>
      <c r="AO182" s="354">
        <v>1</v>
      </c>
      <c r="AP182" s="353">
        <v>140055603.72500002</v>
      </c>
    </row>
    <row r="183" spans="2:42" hidden="1" outlineLevel="1" x14ac:dyDescent="0.25">
      <c r="B183" s="352">
        <v>43739</v>
      </c>
      <c r="C183" s="353"/>
      <c r="D183" s="354"/>
      <c r="E183" s="353"/>
      <c r="F183" s="354"/>
      <c r="G183" s="353"/>
      <c r="H183" s="353"/>
      <c r="I183" s="354"/>
      <c r="J183" s="353"/>
      <c r="K183" s="354"/>
      <c r="L183" s="353"/>
      <c r="M183" s="353">
        <v>406611</v>
      </c>
      <c r="N183" s="354">
        <v>0.25908856307227651</v>
      </c>
      <c r="O183" s="353">
        <v>58120993.375389948</v>
      </c>
      <c r="P183" s="354">
        <v>0.32148327168663376</v>
      </c>
      <c r="Q183" s="353">
        <v>45134308.623000003</v>
      </c>
      <c r="R183" s="353">
        <v>182277</v>
      </c>
      <c r="S183" s="354">
        <v>0.1161451264504043</v>
      </c>
      <c r="T183" s="353">
        <v>26434147.061707959</v>
      </c>
      <c r="U183" s="354">
        <v>0.14621457046950337</v>
      </c>
      <c r="V183" s="353">
        <v>20527642.120000001</v>
      </c>
      <c r="W183" s="353">
        <v>911097</v>
      </c>
      <c r="X183" s="354">
        <v>0.58054212146120465</v>
      </c>
      <c r="Y183" s="353">
        <v>87032133.140825748</v>
      </c>
      <c r="Z183" s="354">
        <v>0.48139877312948021</v>
      </c>
      <c r="AA183" s="353">
        <v>67585478.657000005</v>
      </c>
      <c r="AB183" s="353">
        <v>69405</v>
      </c>
      <c r="AC183" s="354">
        <v>4.4224189016114544E-2</v>
      </c>
      <c r="AD183" s="353">
        <v>9202828.0981705654</v>
      </c>
      <c r="AE183" s="354">
        <v>5.090338471438257E-2</v>
      </c>
      <c r="AF183" s="353">
        <v>7146527.6050000004</v>
      </c>
      <c r="AG183" s="353"/>
      <c r="AH183" s="354"/>
      <c r="AI183" s="353"/>
      <c r="AJ183" s="354"/>
      <c r="AK183" s="353"/>
      <c r="AL183" s="353">
        <v>1569390</v>
      </c>
      <c r="AM183" s="354">
        <v>1</v>
      </c>
      <c r="AN183" s="353">
        <v>180790101.67609423</v>
      </c>
      <c r="AO183" s="354">
        <v>0.99999999999999989</v>
      </c>
      <c r="AP183" s="353">
        <v>140393957.005</v>
      </c>
    </row>
    <row r="184" spans="2:42" hidden="1" outlineLevel="1" x14ac:dyDescent="0.25">
      <c r="B184" s="352">
        <v>43770</v>
      </c>
      <c r="C184" s="353"/>
      <c r="D184" s="354"/>
      <c r="E184" s="353"/>
      <c r="F184" s="354"/>
      <c r="G184" s="353"/>
      <c r="H184" s="353"/>
      <c r="I184" s="354"/>
      <c r="J184" s="353"/>
      <c r="K184" s="354"/>
      <c r="L184" s="353"/>
      <c r="M184" s="353">
        <v>407082</v>
      </c>
      <c r="N184" s="354">
        <v>0.25870359048925168</v>
      </c>
      <c r="O184" s="353">
        <v>58137013.847335234</v>
      </c>
      <c r="P184" s="354">
        <v>0.3209827704344444</v>
      </c>
      <c r="Q184" s="353">
        <v>45185052.594999999</v>
      </c>
      <c r="R184" s="353">
        <v>182107</v>
      </c>
      <c r="S184" s="354">
        <v>0.11573033136622635</v>
      </c>
      <c r="T184" s="353">
        <v>26411997.397079635</v>
      </c>
      <c r="U184" s="354">
        <v>0.14582441608515026</v>
      </c>
      <c r="V184" s="353">
        <v>20527842.978999998</v>
      </c>
      <c r="W184" s="353">
        <v>915536</v>
      </c>
      <c r="X184" s="354">
        <v>0.58182982893413981</v>
      </c>
      <c r="Y184" s="353">
        <v>87444394.518716574</v>
      </c>
      <c r="Z184" s="354">
        <v>0.48279301178567013</v>
      </c>
      <c r="AA184" s="353">
        <v>67963235.535999998</v>
      </c>
      <c r="AB184" s="353">
        <v>68821</v>
      </c>
      <c r="AC184" s="354">
        <v>4.3736249210382154E-2</v>
      </c>
      <c r="AD184" s="353">
        <v>9128508.5646931939</v>
      </c>
      <c r="AE184" s="354">
        <v>5.0399801694735284E-2</v>
      </c>
      <c r="AF184" s="353">
        <v>7094828.4460000005</v>
      </c>
      <c r="AG184" s="353"/>
      <c r="AH184" s="354"/>
      <c r="AI184" s="353"/>
      <c r="AJ184" s="354"/>
      <c r="AK184" s="353"/>
      <c r="AL184" s="353">
        <v>1573546</v>
      </c>
      <c r="AM184" s="354">
        <v>1</v>
      </c>
      <c r="AN184" s="353">
        <v>181121914.32782462</v>
      </c>
      <c r="AO184" s="354">
        <v>1</v>
      </c>
      <c r="AP184" s="353">
        <v>140770959.55599999</v>
      </c>
    </row>
    <row r="185" spans="2:42" hidden="1" outlineLevel="1" x14ac:dyDescent="0.25">
      <c r="B185" s="352">
        <v>43800</v>
      </c>
      <c r="C185" s="353"/>
      <c r="D185" s="354"/>
      <c r="E185" s="353"/>
      <c r="F185" s="354"/>
      <c r="G185" s="353"/>
      <c r="H185" s="353"/>
      <c r="I185" s="354"/>
      <c r="J185" s="353"/>
      <c r="K185" s="354"/>
      <c r="L185" s="353"/>
      <c r="M185" s="353">
        <v>407066</v>
      </c>
      <c r="N185" s="354">
        <v>0.25904934758149506</v>
      </c>
      <c r="O185" s="353">
        <v>74952756.00356935</v>
      </c>
      <c r="P185" s="354">
        <v>0.30351466915028957</v>
      </c>
      <c r="Q185" s="353">
        <v>58312359.814000003</v>
      </c>
      <c r="R185" s="353">
        <v>181957</v>
      </c>
      <c r="S185" s="354">
        <v>0.11579410252363521</v>
      </c>
      <c r="T185" s="353">
        <v>32355974.471059658</v>
      </c>
      <c r="U185" s="354">
        <v>0.13102270563808516</v>
      </c>
      <c r="V185" s="353">
        <v>25172566.375</v>
      </c>
      <c r="W185" s="353">
        <v>914029</v>
      </c>
      <c r="X185" s="354">
        <v>0.58167131649552239</v>
      </c>
      <c r="Y185" s="353">
        <v>128228015.66696087</v>
      </c>
      <c r="Z185" s="354">
        <v>0.51924820148177597</v>
      </c>
      <c r="AA185" s="353">
        <v>99759883.245000005</v>
      </c>
      <c r="AB185" s="353">
        <v>68332</v>
      </c>
      <c r="AC185" s="354">
        <v>4.3485233399347324E-2</v>
      </c>
      <c r="AD185" s="353">
        <v>11412622.774926757</v>
      </c>
      <c r="AE185" s="354">
        <v>4.6214423729849227E-2</v>
      </c>
      <c r="AF185" s="353">
        <v>8878885.8629999999</v>
      </c>
      <c r="AG185" s="353"/>
      <c r="AH185" s="354"/>
      <c r="AI185" s="353"/>
      <c r="AJ185" s="354"/>
      <c r="AK185" s="353"/>
      <c r="AL185" s="353">
        <v>1571384</v>
      </c>
      <c r="AM185" s="354">
        <v>0.99999999999999989</v>
      </c>
      <c r="AN185" s="353">
        <v>246949368.91651663</v>
      </c>
      <c r="AO185" s="354">
        <v>0.99999999999999989</v>
      </c>
      <c r="AP185" s="353">
        <v>192123695.29700002</v>
      </c>
    </row>
    <row r="186" spans="2:42" collapsed="1" x14ac:dyDescent="0.25">
      <c r="B186" s="355" t="s">
        <v>710</v>
      </c>
      <c r="C186" s="356"/>
      <c r="D186" s="343"/>
      <c r="E186" s="356"/>
      <c r="F186" s="343"/>
      <c r="G186" s="356"/>
      <c r="H186" s="356"/>
      <c r="I186" s="343"/>
      <c r="J186" s="356"/>
      <c r="K186" s="343"/>
      <c r="L186" s="356"/>
      <c r="M186" s="356">
        <v>406526.75</v>
      </c>
      <c r="N186" s="343">
        <v>0.26257587313650943</v>
      </c>
      <c r="O186" s="356">
        <v>59434913.708016686</v>
      </c>
      <c r="P186" s="343">
        <v>0.32409434205743748</v>
      </c>
      <c r="Q186" s="356"/>
      <c r="R186" s="356">
        <v>182749.58333333334</v>
      </c>
      <c r="S186" s="343">
        <v>0.1180380661520633</v>
      </c>
      <c r="T186" s="356">
        <v>26922128.110034317</v>
      </c>
      <c r="U186" s="343">
        <v>0.14680444291501898</v>
      </c>
      <c r="V186" s="356"/>
      <c r="W186" s="356">
        <v>890555.5</v>
      </c>
      <c r="X186" s="343">
        <v>0.5752103348402553</v>
      </c>
      <c r="Y186" s="356">
        <v>87722274.500368685</v>
      </c>
      <c r="Z186" s="343">
        <v>0.47834330134047431</v>
      </c>
      <c r="AA186" s="356"/>
      <c r="AB186" s="356">
        <v>68394</v>
      </c>
      <c r="AC186" s="343">
        <v>4.4175725871171891E-2</v>
      </c>
      <c r="AD186" s="356">
        <v>9308376.693152111</v>
      </c>
      <c r="AE186" s="343">
        <v>5.0757913687069237E-2</v>
      </c>
      <c r="AF186" s="356"/>
      <c r="AG186" s="356"/>
      <c r="AH186" s="343"/>
      <c r="AI186" s="356"/>
      <c r="AJ186" s="343"/>
      <c r="AK186" s="356"/>
      <c r="AL186" s="356">
        <v>1548225.8333333335</v>
      </c>
      <c r="AM186" s="343">
        <v>1</v>
      </c>
      <c r="AN186" s="356">
        <v>183387693.01157179</v>
      </c>
      <c r="AO186" s="343">
        <v>1</v>
      </c>
      <c r="AP186" s="356"/>
    </row>
    <row r="187" spans="2:42" hidden="1" outlineLevel="1" x14ac:dyDescent="0.25">
      <c r="B187" s="352">
        <v>43831</v>
      </c>
      <c r="C187" s="353"/>
      <c r="D187" s="354"/>
      <c r="E187" s="353"/>
      <c r="F187" s="354"/>
      <c r="G187" s="353"/>
      <c r="H187" s="353"/>
      <c r="I187" s="354"/>
      <c r="J187" s="353"/>
      <c r="K187" s="354"/>
      <c r="L187" s="353"/>
      <c r="M187" s="353">
        <v>407818</v>
      </c>
      <c r="N187" s="354">
        <v>0.25605353404834286</v>
      </c>
      <c r="O187" s="353">
        <v>78414999.451162711</v>
      </c>
      <c r="P187" s="354">
        <v>0.30799613003643972</v>
      </c>
      <c r="Q187" s="353">
        <v>61351356.659999996</v>
      </c>
      <c r="R187" s="353">
        <v>182081</v>
      </c>
      <c r="S187" s="354">
        <v>0.11432178945769024</v>
      </c>
      <c r="T187" s="353">
        <v>33344813.979709789</v>
      </c>
      <c r="U187" s="354">
        <v>0.13097078026419992</v>
      </c>
      <c r="V187" s="353">
        <v>26088753.294</v>
      </c>
      <c r="W187" s="353">
        <v>933220</v>
      </c>
      <c r="X187" s="354">
        <v>0.58593362491257017</v>
      </c>
      <c r="Y187" s="353">
        <v>131208954.92000142</v>
      </c>
      <c r="Z187" s="354">
        <v>0.51535867658399759</v>
      </c>
      <c r="AA187" s="353">
        <v>102656984.59</v>
      </c>
      <c r="AB187" s="353">
        <v>69587</v>
      </c>
      <c r="AC187" s="354">
        <v>4.3691051581396689E-2</v>
      </c>
      <c r="AD187" s="353">
        <v>11628584.680429623</v>
      </c>
      <c r="AE187" s="354">
        <v>4.56744131153628E-2</v>
      </c>
      <c r="AF187" s="353">
        <v>9098124.7359999996</v>
      </c>
      <c r="AG187" s="353"/>
      <c r="AH187" s="354"/>
      <c r="AI187" s="353"/>
      <c r="AJ187" s="354"/>
      <c r="AK187" s="353"/>
      <c r="AL187" s="353">
        <v>1592706</v>
      </c>
      <c r="AM187" s="354">
        <v>1</v>
      </c>
      <c r="AN187" s="353">
        <v>254597353.03130352</v>
      </c>
      <c r="AO187" s="354">
        <v>1</v>
      </c>
      <c r="AP187" s="353">
        <v>199195219.28</v>
      </c>
    </row>
    <row r="188" spans="2:42" hidden="1" outlineLevel="1" x14ac:dyDescent="0.25">
      <c r="B188" s="352">
        <v>43862</v>
      </c>
      <c r="C188" s="353"/>
      <c r="D188" s="354"/>
      <c r="E188" s="353"/>
      <c r="F188" s="354"/>
      <c r="G188" s="353"/>
      <c r="H188" s="353"/>
      <c r="I188" s="354"/>
      <c r="J188" s="353"/>
      <c r="K188" s="354"/>
      <c r="L188" s="353"/>
      <c r="M188" s="353">
        <v>409007</v>
      </c>
      <c r="N188" s="354">
        <v>0.25456148955133218</v>
      </c>
      <c r="O188" s="353">
        <v>76005673.203115627</v>
      </c>
      <c r="P188" s="354">
        <v>0.3051950051048265</v>
      </c>
      <c r="Q188" s="353">
        <v>59732945.196999997</v>
      </c>
      <c r="R188" s="353">
        <v>182190</v>
      </c>
      <c r="S188" s="354">
        <v>0.11339306608776184</v>
      </c>
      <c r="T188" s="353">
        <v>31917711.785369232</v>
      </c>
      <c r="U188" s="354">
        <v>0.12816314625933523</v>
      </c>
      <c r="V188" s="353">
        <v>25084166.07</v>
      </c>
      <c r="W188" s="353">
        <v>945855</v>
      </c>
      <c r="X188" s="354">
        <v>0.58868982120006574</v>
      </c>
      <c r="Y188" s="353">
        <v>129673660.54689029</v>
      </c>
      <c r="Z188" s="354">
        <v>0.520694730073747</v>
      </c>
      <c r="AA188" s="353">
        <v>101910677.618</v>
      </c>
      <c r="AB188" s="353">
        <v>69659</v>
      </c>
      <c r="AC188" s="354">
        <v>4.3355000771762457E-2</v>
      </c>
      <c r="AD188" s="353">
        <v>11442636.800323624</v>
      </c>
      <c r="AE188" s="354">
        <v>4.5947038550068257E-2</v>
      </c>
      <c r="AF188" s="353">
        <v>8992781.3029999994</v>
      </c>
      <c r="AG188" s="353">
        <v>1</v>
      </c>
      <c r="AH188" s="354">
        <v>6.2238907781855119E-7</v>
      </c>
      <c r="AI188" s="353">
        <v>19.92617036436652</v>
      </c>
      <c r="AJ188" s="354">
        <v>8.0012022915984052E-8</v>
      </c>
      <c r="AK188" s="353">
        <v>15.66</v>
      </c>
      <c r="AL188" s="353">
        <v>1606712</v>
      </c>
      <c r="AM188" s="354">
        <v>1</v>
      </c>
      <c r="AN188" s="353">
        <v>249039702.26186916</v>
      </c>
      <c r="AO188" s="354">
        <v>0.99999999999999989</v>
      </c>
      <c r="AP188" s="353">
        <v>195720585.84799999</v>
      </c>
    </row>
    <row r="189" spans="2:42" hidden="1" outlineLevel="1" x14ac:dyDescent="0.25">
      <c r="B189" s="352">
        <v>43891</v>
      </c>
      <c r="C189" s="353"/>
      <c r="D189" s="354"/>
      <c r="E189" s="353"/>
      <c r="F189" s="354"/>
      <c r="G189" s="353"/>
      <c r="H189" s="353"/>
      <c r="I189" s="354"/>
      <c r="J189" s="353"/>
      <c r="K189" s="354"/>
      <c r="L189" s="353"/>
      <c r="M189" s="353">
        <v>409402</v>
      </c>
      <c r="N189" s="354">
        <v>0.25176291600789846</v>
      </c>
      <c r="O189" s="353">
        <v>75831742.839129627</v>
      </c>
      <c r="P189" s="354">
        <v>0.30284486375512759</v>
      </c>
      <c r="Q189" s="353">
        <v>59793272.899999999</v>
      </c>
      <c r="R189" s="353">
        <v>182484</v>
      </c>
      <c r="S189" s="354">
        <v>0.11221905111549367</v>
      </c>
      <c r="T189" s="353">
        <v>31863622.619720727</v>
      </c>
      <c r="U189" s="354">
        <v>0.12725191443226075</v>
      </c>
      <c r="V189" s="353">
        <v>25124442.767000001</v>
      </c>
      <c r="W189" s="353">
        <v>963962</v>
      </c>
      <c r="X189" s="354">
        <v>0.59279115402661886</v>
      </c>
      <c r="Y189" s="353">
        <v>131244414.74165712</v>
      </c>
      <c r="Z189" s="354">
        <v>0.52414325997198474</v>
      </c>
      <c r="AA189" s="353">
        <v>103486123.53399999</v>
      </c>
      <c r="AB189" s="353">
        <v>70292</v>
      </c>
      <c r="AC189" s="354">
        <v>4.3226263897165128E-2</v>
      </c>
      <c r="AD189" s="353">
        <v>11458183.088477597</v>
      </c>
      <c r="AE189" s="354">
        <v>4.5759885852455148E-2</v>
      </c>
      <c r="AF189" s="353">
        <v>9034768.8540000003</v>
      </c>
      <c r="AG189" s="353">
        <v>1</v>
      </c>
      <c r="AH189" s="354">
        <v>6.1495282389411496E-7</v>
      </c>
      <c r="AI189" s="353">
        <v>19.027284887351627</v>
      </c>
      <c r="AJ189" s="354">
        <v>7.5988171754989824E-8</v>
      </c>
      <c r="AK189" s="353">
        <v>15.003</v>
      </c>
      <c r="AL189" s="353">
        <v>1626141</v>
      </c>
      <c r="AM189" s="354">
        <v>1</v>
      </c>
      <c r="AN189" s="353">
        <v>250397982.31626996</v>
      </c>
      <c r="AO189" s="354">
        <v>1</v>
      </c>
      <c r="AP189" s="353">
        <v>197438623.05799997</v>
      </c>
    </row>
    <row r="190" spans="2:42" hidden="1" outlineLevel="1" x14ac:dyDescent="0.25">
      <c r="B190" s="352">
        <v>43922</v>
      </c>
      <c r="C190" s="353"/>
      <c r="D190" s="354"/>
      <c r="E190" s="353"/>
      <c r="F190" s="354"/>
      <c r="G190" s="353"/>
      <c r="H190" s="353"/>
      <c r="I190" s="354"/>
      <c r="J190" s="353"/>
      <c r="K190" s="354"/>
      <c r="L190" s="353"/>
      <c r="M190" s="353">
        <v>409488</v>
      </c>
      <c r="N190" s="354">
        <v>0.24914727682260071</v>
      </c>
      <c r="O190" s="353">
        <v>75887980.650579304</v>
      </c>
      <c r="P190" s="354">
        <v>0.30091142109817437</v>
      </c>
      <c r="Q190" s="353">
        <v>59813276.497000001</v>
      </c>
      <c r="R190" s="353">
        <v>182549</v>
      </c>
      <c r="S190" s="354">
        <v>0.11106939943707493</v>
      </c>
      <c r="T190" s="353">
        <v>31892454.15199475</v>
      </c>
      <c r="U190" s="354">
        <v>0.12646012739979071</v>
      </c>
      <c r="V190" s="353">
        <v>25136947.405999999</v>
      </c>
      <c r="W190" s="353">
        <v>980826</v>
      </c>
      <c r="X190" s="354">
        <v>0.59676993449577076</v>
      </c>
      <c r="Y190" s="353">
        <v>132933844.48494473</v>
      </c>
      <c r="Z190" s="354">
        <v>0.52710998122603325</v>
      </c>
      <c r="AA190" s="353">
        <v>104775601.193</v>
      </c>
      <c r="AB190" s="353">
        <v>70693</v>
      </c>
      <c r="AC190" s="354">
        <v>4.3012172372377491E-2</v>
      </c>
      <c r="AD190" s="353">
        <v>11479280.350615503</v>
      </c>
      <c r="AE190" s="354">
        <v>4.5517702986364705E-2</v>
      </c>
      <c r="AF190" s="353">
        <v>9047722.2310000006</v>
      </c>
      <c r="AG190" s="353">
        <v>2</v>
      </c>
      <c r="AH190" s="354">
        <v>1.2168721760960063E-6</v>
      </c>
      <c r="AI190" s="353">
        <v>193.50565330533129</v>
      </c>
      <c r="AJ190" s="354">
        <v>7.6728963700779921E-7</v>
      </c>
      <c r="AK190" s="353">
        <v>152.517</v>
      </c>
      <c r="AL190" s="353">
        <v>1643558</v>
      </c>
      <c r="AM190" s="354">
        <v>1</v>
      </c>
      <c r="AN190" s="353">
        <v>252193753.14378759</v>
      </c>
      <c r="AO190" s="354">
        <v>1</v>
      </c>
      <c r="AP190" s="353">
        <v>198773699.84400001</v>
      </c>
    </row>
    <row r="191" spans="2:42" hidden="1" outlineLevel="1" x14ac:dyDescent="0.25">
      <c r="B191" s="352">
        <v>43952</v>
      </c>
      <c r="C191" s="353"/>
      <c r="D191" s="354"/>
      <c r="E191" s="353"/>
      <c r="F191" s="354"/>
      <c r="G191" s="353"/>
      <c r="H191" s="353"/>
      <c r="I191" s="354"/>
      <c r="J191" s="353"/>
      <c r="K191" s="354"/>
      <c r="L191" s="353"/>
      <c r="M191" s="353">
        <v>409485</v>
      </c>
      <c r="N191" s="354">
        <v>0.24864017079381964</v>
      </c>
      <c r="O191" s="353">
        <v>75945215.458358437</v>
      </c>
      <c r="P191" s="354">
        <v>0.3003703019777812</v>
      </c>
      <c r="Q191" s="353">
        <v>59828618.972000003</v>
      </c>
      <c r="R191" s="353">
        <v>182513</v>
      </c>
      <c r="S191" s="354">
        <v>0.11082228529028514</v>
      </c>
      <c r="T191" s="353">
        <v>31897380.698158965</v>
      </c>
      <c r="U191" s="354">
        <v>0.12615707012984426</v>
      </c>
      <c r="V191" s="353">
        <v>25128327.366999999</v>
      </c>
      <c r="W191" s="353">
        <v>983844</v>
      </c>
      <c r="X191" s="354">
        <v>0.59739218822295004</v>
      </c>
      <c r="Y191" s="353">
        <v>133466067.84845288</v>
      </c>
      <c r="Z191" s="354">
        <v>0.52787055591945997</v>
      </c>
      <c r="AA191" s="353">
        <v>105142772.59999999</v>
      </c>
      <c r="AB191" s="353">
        <v>71054</v>
      </c>
      <c r="AC191" s="354">
        <v>4.3144141288652973E-2</v>
      </c>
      <c r="AD191" s="353">
        <v>11529772.276503673</v>
      </c>
      <c r="AE191" s="354">
        <v>4.5601308252622812E-2</v>
      </c>
      <c r="AF191" s="353">
        <v>9082999.4780000001</v>
      </c>
      <c r="AG191" s="353">
        <v>2</v>
      </c>
      <c r="AH191" s="354">
        <v>1.2144042921905304E-6</v>
      </c>
      <c r="AI191" s="353">
        <v>193.097991797742</v>
      </c>
      <c r="AJ191" s="354">
        <v>7.63720291759438E-7</v>
      </c>
      <c r="AK191" s="353">
        <v>152.12</v>
      </c>
      <c r="AL191" s="353">
        <v>1646898</v>
      </c>
      <c r="AM191" s="354">
        <v>1</v>
      </c>
      <c r="AN191" s="353">
        <v>252838629.37946576</v>
      </c>
      <c r="AO191" s="354">
        <v>1</v>
      </c>
      <c r="AP191" s="353">
        <v>199182870.537</v>
      </c>
    </row>
    <row r="192" spans="2:42" hidden="1" outlineLevel="1" x14ac:dyDescent="0.25">
      <c r="B192" s="352">
        <v>43983</v>
      </c>
      <c r="C192" s="353"/>
      <c r="D192" s="354"/>
      <c r="E192" s="353"/>
      <c r="F192" s="354"/>
      <c r="G192" s="353"/>
      <c r="H192" s="353"/>
      <c r="I192" s="354"/>
      <c r="J192" s="353"/>
      <c r="K192" s="354"/>
      <c r="L192" s="353"/>
      <c r="M192" s="353">
        <v>409330</v>
      </c>
      <c r="N192" s="354">
        <v>0.24734021500646253</v>
      </c>
      <c r="O192" s="353">
        <v>75982525.51452069</v>
      </c>
      <c r="P192" s="354">
        <v>0.29893775853080767</v>
      </c>
      <c r="Q192" s="353">
        <v>59814978.178000003</v>
      </c>
      <c r="R192" s="353">
        <v>182392</v>
      </c>
      <c r="S192" s="354">
        <v>0.11021150781877388</v>
      </c>
      <c r="T192" s="353">
        <v>31898861.671184774</v>
      </c>
      <c r="U192" s="354">
        <v>0.12549956905349152</v>
      </c>
      <c r="V192" s="353">
        <v>25111427.947999999</v>
      </c>
      <c r="W192" s="353">
        <v>991698</v>
      </c>
      <c r="X192" s="354">
        <v>0.59923972477335863</v>
      </c>
      <c r="Y192" s="353">
        <v>134705384.41570508</v>
      </c>
      <c r="Z192" s="354">
        <v>0.5299708769428324</v>
      </c>
      <c r="AA192" s="353">
        <v>106042798.324</v>
      </c>
      <c r="AB192" s="353">
        <v>71502</v>
      </c>
      <c r="AC192" s="354">
        <v>4.3205531120103786E-2</v>
      </c>
      <c r="AD192" s="353">
        <v>11587688.794057287</v>
      </c>
      <c r="AE192" s="354">
        <v>4.558939955195427E-2</v>
      </c>
      <c r="AF192" s="353">
        <v>9122062.5749999993</v>
      </c>
      <c r="AG192" s="353">
        <v>5</v>
      </c>
      <c r="AH192" s="354">
        <v>3.021281301229601E-6</v>
      </c>
      <c r="AI192" s="353">
        <v>608.98336455735614</v>
      </c>
      <c r="AJ192" s="354">
        <v>2.3959209140598429E-6</v>
      </c>
      <c r="AK192" s="353">
        <v>479.404</v>
      </c>
      <c r="AL192" s="353">
        <v>1654927</v>
      </c>
      <c r="AM192" s="354">
        <v>1</v>
      </c>
      <c r="AN192" s="353">
        <v>254175069.3788324</v>
      </c>
      <c r="AO192" s="354">
        <v>1</v>
      </c>
      <c r="AP192" s="353">
        <v>200091746.42899999</v>
      </c>
    </row>
    <row r="193" spans="2:42" hidden="1" outlineLevel="1" x14ac:dyDescent="0.25">
      <c r="B193" s="352">
        <v>44013</v>
      </c>
      <c r="C193" s="353"/>
      <c r="D193" s="354"/>
      <c r="E193" s="353"/>
      <c r="F193" s="354"/>
      <c r="G193" s="353"/>
      <c r="H193" s="353"/>
      <c r="I193" s="354"/>
      <c r="J193" s="353"/>
      <c r="K193" s="354"/>
      <c r="L193" s="353"/>
      <c r="M193" s="353">
        <v>409166</v>
      </c>
      <c r="N193" s="354">
        <v>0.24686371954144209</v>
      </c>
      <c r="O193" s="353">
        <v>77864224.778612703</v>
      </c>
      <c r="P193" s="354">
        <v>0.29716532188930195</v>
      </c>
      <c r="Q193" s="353">
        <v>61357788.971000001</v>
      </c>
      <c r="R193" s="353">
        <v>182185</v>
      </c>
      <c r="S193" s="354">
        <v>0.10991838702301175</v>
      </c>
      <c r="T193" s="353">
        <v>32660593.618492942</v>
      </c>
      <c r="U193" s="354">
        <v>0.12464769081475545</v>
      </c>
      <c r="V193" s="353">
        <v>25736874.881999999</v>
      </c>
      <c r="W193" s="353">
        <v>994436</v>
      </c>
      <c r="X193" s="354">
        <v>0.59997695264492534</v>
      </c>
      <c r="Y193" s="353">
        <v>139591591.00385243</v>
      </c>
      <c r="Z193" s="354">
        <v>0.53274504679963852</v>
      </c>
      <c r="AA193" s="353">
        <v>109999571.78399999</v>
      </c>
      <c r="AB193" s="353">
        <v>71666</v>
      </c>
      <c r="AC193" s="354">
        <v>4.3238527455010896E-2</v>
      </c>
      <c r="AD193" s="353">
        <v>11906428.512347074</v>
      </c>
      <c r="AE193" s="354">
        <v>4.5440350449561365E-2</v>
      </c>
      <c r="AF193" s="353">
        <v>9382384.9159999993</v>
      </c>
      <c r="AG193" s="353">
        <v>4</v>
      </c>
      <c r="AH193" s="354">
        <v>2.4133356099132588E-6</v>
      </c>
      <c r="AI193" s="353">
        <v>416.62922242356268</v>
      </c>
      <c r="AJ193" s="354">
        <v>1.5900467428013793E-6</v>
      </c>
      <c r="AK193" s="353">
        <v>328.30799999999999</v>
      </c>
      <c r="AL193" s="353">
        <v>1657457</v>
      </c>
      <c r="AM193" s="354">
        <v>1</v>
      </c>
      <c r="AN193" s="353">
        <v>262023254.54252756</v>
      </c>
      <c r="AO193" s="354">
        <v>1.0000000000000002</v>
      </c>
      <c r="AP193" s="353">
        <v>206476948.861</v>
      </c>
    </row>
    <row r="194" spans="2:42" hidden="1" outlineLevel="1" x14ac:dyDescent="0.25">
      <c r="B194" s="352">
        <v>44044</v>
      </c>
      <c r="C194" s="353"/>
      <c r="D194" s="354"/>
      <c r="E194" s="353"/>
      <c r="F194" s="354"/>
      <c r="G194" s="353"/>
      <c r="H194" s="353"/>
      <c r="I194" s="354"/>
      <c r="J194" s="353"/>
      <c r="K194" s="354"/>
      <c r="L194" s="353"/>
      <c r="M194" s="353">
        <v>408248</v>
      </c>
      <c r="N194" s="354">
        <v>0.24574363320724552</v>
      </c>
      <c r="O194" s="353">
        <v>77616775.152923346</v>
      </c>
      <c r="P194" s="354">
        <v>0.29592355196117776</v>
      </c>
      <c r="Q194" s="353">
        <v>61243590.041000001</v>
      </c>
      <c r="R194" s="353">
        <v>181973</v>
      </c>
      <c r="S194" s="354">
        <v>0.10953808999829047</v>
      </c>
      <c r="T194" s="353">
        <v>32588333.014882471</v>
      </c>
      <c r="U194" s="354">
        <v>0.1242470489047949</v>
      </c>
      <c r="V194" s="353">
        <v>25713855.07</v>
      </c>
      <c r="W194" s="353">
        <v>999278</v>
      </c>
      <c r="X194" s="354">
        <v>0.60151233148495498</v>
      </c>
      <c r="Y194" s="353">
        <v>140185980.27240688</v>
      </c>
      <c r="Z194" s="354">
        <v>0.53447638265872699</v>
      </c>
      <c r="AA194" s="353">
        <v>110613880.677</v>
      </c>
      <c r="AB194" s="353">
        <v>71773</v>
      </c>
      <c r="AC194" s="354">
        <v>4.3203537521760385E-2</v>
      </c>
      <c r="AD194" s="353">
        <v>11895097.326507898</v>
      </c>
      <c r="AE194" s="354">
        <v>4.5351529290527964E-2</v>
      </c>
      <c r="AF194" s="353">
        <v>9385837.8259999994</v>
      </c>
      <c r="AG194" s="353">
        <v>4</v>
      </c>
      <c r="AH194" s="354">
        <v>2.4077877486943769E-6</v>
      </c>
      <c r="AI194" s="353">
        <v>390.06860159037939</v>
      </c>
      <c r="AJ194" s="354">
        <v>1.4871847724120114E-6</v>
      </c>
      <c r="AK194" s="353">
        <v>307.78399999999999</v>
      </c>
      <c r="AL194" s="353">
        <v>1661276</v>
      </c>
      <c r="AM194" s="354">
        <v>1</v>
      </c>
      <c r="AN194" s="353">
        <v>262286575.83532217</v>
      </c>
      <c r="AO194" s="354">
        <v>1</v>
      </c>
      <c r="AP194" s="353">
        <v>206957471.398</v>
      </c>
    </row>
    <row r="195" spans="2:42" hidden="1" outlineLevel="1" x14ac:dyDescent="0.25">
      <c r="B195" s="352">
        <v>44075</v>
      </c>
      <c r="C195" s="353"/>
      <c r="D195" s="354"/>
      <c r="E195" s="353"/>
      <c r="F195" s="354"/>
      <c r="G195" s="353"/>
      <c r="H195" s="353"/>
      <c r="I195" s="354"/>
      <c r="J195" s="353"/>
      <c r="K195" s="354"/>
      <c r="L195" s="353"/>
      <c r="M195" s="353">
        <v>407886</v>
      </c>
      <c r="N195" s="354">
        <v>0.24452893441915341</v>
      </c>
      <c r="O195" s="353">
        <v>77070091.761662304</v>
      </c>
      <c r="P195" s="354">
        <v>0.29481665048623656</v>
      </c>
      <c r="Q195" s="353">
        <v>61198526.460000001</v>
      </c>
      <c r="R195" s="353">
        <v>181745</v>
      </c>
      <c r="S195" s="354">
        <v>0.10895669668978351</v>
      </c>
      <c r="T195" s="353">
        <v>32340635.401603583</v>
      </c>
      <c r="U195" s="354">
        <v>0.12371281239917034</v>
      </c>
      <c r="V195" s="353">
        <v>25680509.600000001</v>
      </c>
      <c r="W195" s="353">
        <v>1006541</v>
      </c>
      <c r="X195" s="354">
        <v>0.60342448178949282</v>
      </c>
      <c r="Y195" s="353">
        <v>140187930.40382868</v>
      </c>
      <c r="Z195" s="354">
        <v>0.53626166954706356</v>
      </c>
      <c r="AA195" s="353">
        <v>111318081.65899999</v>
      </c>
      <c r="AB195" s="353">
        <v>71871</v>
      </c>
      <c r="AC195" s="354">
        <v>4.3086889585911198E-2</v>
      </c>
      <c r="AD195" s="353">
        <v>11817932.723777015</v>
      </c>
      <c r="AE195" s="354">
        <v>4.5207203749934623E-2</v>
      </c>
      <c r="AF195" s="353">
        <v>9384185.9010000005</v>
      </c>
      <c r="AG195" s="353">
        <v>5</v>
      </c>
      <c r="AH195" s="354">
        <v>2.9975156590218029E-6</v>
      </c>
      <c r="AI195" s="353">
        <v>434.95024622622918</v>
      </c>
      <c r="AJ195" s="354">
        <v>1.6638175949904301E-6</v>
      </c>
      <c r="AK195" s="353">
        <v>345.37799999999999</v>
      </c>
      <c r="AL195" s="353">
        <v>1668048</v>
      </c>
      <c r="AM195" s="354">
        <v>1</v>
      </c>
      <c r="AN195" s="353">
        <v>261417025.24111781</v>
      </c>
      <c r="AO195" s="354">
        <v>1</v>
      </c>
      <c r="AP195" s="353">
        <v>207581648.99799997</v>
      </c>
    </row>
    <row r="196" spans="2:42" hidden="1" outlineLevel="1" x14ac:dyDescent="0.25">
      <c r="B196" s="352">
        <v>44105</v>
      </c>
      <c r="C196" s="353"/>
      <c r="D196" s="354"/>
      <c r="E196" s="353"/>
      <c r="F196" s="354"/>
      <c r="G196" s="353"/>
      <c r="H196" s="353"/>
      <c r="I196" s="354"/>
      <c r="J196" s="353"/>
      <c r="K196" s="354"/>
      <c r="L196" s="353"/>
      <c r="M196" s="353">
        <v>406826</v>
      </c>
      <c r="N196" s="354">
        <v>0.24278176221559408</v>
      </c>
      <c r="O196" s="353">
        <v>76369633.462251157</v>
      </c>
      <c r="P196" s="354">
        <v>0.2933142830478811</v>
      </c>
      <c r="Q196" s="353">
        <v>61058773.178000003</v>
      </c>
      <c r="R196" s="353">
        <v>181526</v>
      </c>
      <c r="S196" s="354">
        <v>0.10832936480939746</v>
      </c>
      <c r="T196" s="353">
        <v>32081329.680871025</v>
      </c>
      <c r="U196" s="354">
        <v>0.12321536437933318</v>
      </c>
      <c r="V196" s="353">
        <v>25649548.693999998</v>
      </c>
      <c r="W196" s="353">
        <v>1015105</v>
      </c>
      <c r="X196" s="354">
        <v>0.60578473532630817</v>
      </c>
      <c r="Y196" s="353">
        <v>140166370.14382389</v>
      </c>
      <c r="Z196" s="354">
        <v>0.53833960570835171</v>
      </c>
      <c r="AA196" s="353">
        <v>112065309.388</v>
      </c>
      <c r="AB196" s="353">
        <v>72224</v>
      </c>
      <c r="AC196" s="354">
        <v>4.3101153796116932E-2</v>
      </c>
      <c r="AD196" s="353">
        <v>11750167.753072727</v>
      </c>
      <c r="AE196" s="354">
        <v>4.512908958622186E-2</v>
      </c>
      <c r="AF196" s="353">
        <v>9394451.6309999991</v>
      </c>
      <c r="AG196" s="353">
        <v>5</v>
      </c>
      <c r="AH196" s="354">
        <v>2.9838525833598895E-6</v>
      </c>
      <c r="AI196" s="353">
        <v>431.5021017575155</v>
      </c>
      <c r="AJ196" s="354">
        <v>1.6572782121996151E-6</v>
      </c>
      <c r="AK196" s="353">
        <v>344.99299999999999</v>
      </c>
      <c r="AL196" s="353">
        <v>1675686</v>
      </c>
      <c r="AM196" s="354">
        <v>1</v>
      </c>
      <c r="AN196" s="353">
        <v>260367932.54212055</v>
      </c>
      <c r="AO196" s="354">
        <v>1</v>
      </c>
      <c r="AP196" s="353">
        <v>208168427.884</v>
      </c>
    </row>
    <row r="197" spans="2:42" hidden="1" outlineLevel="1" x14ac:dyDescent="0.25">
      <c r="B197" s="352">
        <v>44136</v>
      </c>
      <c r="C197" s="353"/>
      <c r="D197" s="354"/>
      <c r="E197" s="353"/>
      <c r="F197" s="354"/>
      <c r="G197" s="353"/>
      <c r="H197" s="353"/>
      <c r="I197" s="354"/>
      <c r="J197" s="353"/>
      <c r="K197" s="354"/>
      <c r="L197" s="353"/>
      <c r="M197" s="353">
        <v>406489</v>
      </c>
      <c r="N197" s="354">
        <v>0.24108509614899878</v>
      </c>
      <c r="O197" s="353">
        <v>76427784.960100293</v>
      </c>
      <c r="P197" s="354">
        <v>0.29162810687250468</v>
      </c>
      <c r="Q197" s="353">
        <v>61021409.009000003</v>
      </c>
      <c r="R197" s="353">
        <v>181372</v>
      </c>
      <c r="S197" s="354">
        <v>0.10757015825455597</v>
      </c>
      <c r="T197" s="353">
        <v>32098143.782038514</v>
      </c>
      <c r="U197" s="354">
        <v>0.12247798245316391</v>
      </c>
      <c r="V197" s="353">
        <v>25627773.475000001</v>
      </c>
      <c r="W197" s="353">
        <v>1025590</v>
      </c>
      <c r="X197" s="354">
        <v>0.60826852327972381</v>
      </c>
      <c r="Y197" s="353">
        <v>141765644.56756973</v>
      </c>
      <c r="Z197" s="354">
        <v>0.54094000717650115</v>
      </c>
      <c r="AA197" s="353">
        <v>113188408.96799999</v>
      </c>
      <c r="AB197" s="353">
        <v>72626</v>
      </c>
      <c r="AC197" s="354">
        <v>4.3073849951455474E-2</v>
      </c>
      <c r="AD197" s="353">
        <v>11780810.394380411</v>
      </c>
      <c r="AE197" s="354">
        <v>4.4952440196071017E-2</v>
      </c>
      <c r="AF197" s="353">
        <v>9406024.9149999991</v>
      </c>
      <c r="AG197" s="353">
        <v>4</v>
      </c>
      <c r="AH197" s="354">
        <v>2.3723652659629045E-6</v>
      </c>
      <c r="AI197" s="353">
        <v>383.49154130686833</v>
      </c>
      <c r="AJ197" s="354">
        <v>1.4633017593186332E-6</v>
      </c>
      <c r="AK197" s="353">
        <v>306.18700000000001</v>
      </c>
      <c r="AL197" s="353">
        <v>1686081</v>
      </c>
      <c r="AM197" s="354">
        <v>1</v>
      </c>
      <c r="AN197" s="353">
        <v>262072767.19563025</v>
      </c>
      <c r="AO197" s="354">
        <v>1</v>
      </c>
      <c r="AP197" s="353">
        <v>209243922.55399999</v>
      </c>
    </row>
    <row r="198" spans="2:42" hidden="1" outlineLevel="1" x14ac:dyDescent="0.25">
      <c r="B198" s="352">
        <v>44166</v>
      </c>
      <c r="C198" s="353"/>
      <c r="D198" s="354"/>
      <c r="E198" s="353"/>
      <c r="F198" s="354"/>
      <c r="G198" s="353"/>
      <c r="H198" s="353"/>
      <c r="I198" s="354"/>
      <c r="J198" s="353"/>
      <c r="K198" s="354"/>
      <c r="L198" s="353"/>
      <c r="M198" s="353">
        <v>407108</v>
      </c>
      <c r="N198" s="354">
        <v>0.24004872816769943</v>
      </c>
      <c r="O198" s="353">
        <v>76334080.878668308</v>
      </c>
      <c r="P198" s="354">
        <v>0.29072688085151255</v>
      </c>
      <c r="Q198" s="353">
        <v>61152513.534000002</v>
      </c>
      <c r="R198" s="353">
        <v>181176</v>
      </c>
      <c r="S198" s="354">
        <v>0.10682931402603514</v>
      </c>
      <c r="T198" s="353">
        <v>31973042.357081182</v>
      </c>
      <c r="U198" s="354">
        <v>0.12177290626689301</v>
      </c>
      <c r="V198" s="353">
        <v>25614140.931000002</v>
      </c>
      <c r="W198" s="353">
        <v>1034956</v>
      </c>
      <c r="X198" s="354">
        <v>0.61025543961191997</v>
      </c>
      <c r="Y198" s="353">
        <v>142532953.52037337</v>
      </c>
      <c r="Z198" s="354">
        <v>0.54285268805943976</v>
      </c>
      <c r="AA198" s="353">
        <v>114185541.62</v>
      </c>
      <c r="AB198" s="353">
        <v>72694</v>
      </c>
      <c r="AC198" s="354">
        <v>4.2863569975099339E-2</v>
      </c>
      <c r="AD198" s="353">
        <v>11722225.234054422</v>
      </c>
      <c r="AE198" s="354">
        <v>4.4645405298747706E-2</v>
      </c>
      <c r="AF198" s="353">
        <v>9390871.4039999992</v>
      </c>
      <c r="AG198" s="353">
        <v>5</v>
      </c>
      <c r="AH198" s="354">
        <v>2.9482192460931674E-6</v>
      </c>
      <c r="AI198" s="353">
        <v>556.50812441345784</v>
      </c>
      <c r="AJ198" s="354">
        <v>2.1195234070665688E-6</v>
      </c>
      <c r="AK198" s="353">
        <v>445.82799999999997</v>
      </c>
      <c r="AL198" s="353">
        <v>1695939</v>
      </c>
      <c r="AM198" s="354">
        <v>0.99999999999999989</v>
      </c>
      <c r="AN198" s="353">
        <v>262562858.49830168</v>
      </c>
      <c r="AO198" s="354">
        <v>1</v>
      </c>
      <c r="AP198" s="353">
        <v>210343513.31700003</v>
      </c>
    </row>
    <row r="199" spans="2:42" collapsed="1" x14ac:dyDescent="0.25">
      <c r="B199" s="355" t="s">
        <v>711</v>
      </c>
      <c r="C199" s="356"/>
      <c r="D199" s="343"/>
      <c r="E199" s="356"/>
      <c r="F199" s="343"/>
      <c r="G199" s="356"/>
      <c r="H199" s="356"/>
      <c r="I199" s="343"/>
      <c r="J199" s="356"/>
      <c r="K199" s="343"/>
      <c r="L199" s="356"/>
      <c r="M199" s="356">
        <v>408354.41666666669</v>
      </c>
      <c r="N199" s="343">
        <v>0.24729477952301426</v>
      </c>
      <c r="O199" s="356">
        <v>76645894.009257048</v>
      </c>
      <c r="P199" s="343">
        <v>0.29823563890904287</v>
      </c>
      <c r="Q199" s="356"/>
      <c r="R199" s="356">
        <v>182015.5</v>
      </c>
      <c r="S199" s="343">
        <v>0.11022651183668566</v>
      </c>
      <c r="T199" s="356">
        <v>32213076.896758992</v>
      </c>
      <c r="U199" s="343">
        <v>0.12534379947829602</v>
      </c>
      <c r="V199" s="356"/>
      <c r="W199" s="356">
        <v>989609.25</v>
      </c>
      <c r="X199" s="343">
        <v>0.59929608032732717</v>
      </c>
      <c r="Y199" s="356">
        <v>136471899.73912552</v>
      </c>
      <c r="Z199" s="343">
        <v>0.53102367371320935</v>
      </c>
      <c r="AA199" s="356"/>
      <c r="AB199" s="356">
        <v>71303.416666666672</v>
      </c>
      <c r="AC199" s="343">
        <v>4.3180536279627084E-2</v>
      </c>
      <c r="AD199" s="356">
        <v>11666567.327878902</v>
      </c>
      <c r="AE199" s="343">
        <v>4.5395597583937117E-2</v>
      </c>
      <c r="AF199" s="356"/>
      <c r="AG199" s="356">
        <v>3.4545454545454546</v>
      </c>
      <c r="AH199" s="343">
        <v>2.0920333457085975E-6</v>
      </c>
      <c r="AI199" s="356">
        <v>331.60820933001463</v>
      </c>
      <c r="AJ199" s="343">
        <v>1.2903155146846619E-6</v>
      </c>
      <c r="AK199" s="356"/>
      <c r="AL199" s="356">
        <v>1651286.0378787881</v>
      </c>
      <c r="AM199" s="343">
        <v>0.99999999999999978</v>
      </c>
      <c r="AN199" s="356">
        <v>256997769.58122978</v>
      </c>
      <c r="AO199" s="343">
        <v>1</v>
      </c>
      <c r="AP199" s="356"/>
    </row>
    <row r="200" spans="2:42" hidden="1" outlineLevel="1" x14ac:dyDescent="0.25">
      <c r="B200" s="352">
        <v>44197</v>
      </c>
      <c r="C200" s="353"/>
      <c r="D200" s="354"/>
      <c r="E200" s="353"/>
      <c r="F200" s="354"/>
      <c r="G200" s="353"/>
      <c r="H200" s="353"/>
      <c r="I200" s="354"/>
      <c r="J200" s="353"/>
      <c r="K200" s="354"/>
      <c r="L200" s="353"/>
      <c r="M200" s="353">
        <v>408308</v>
      </c>
      <c r="N200" s="354">
        <v>0.23923310972926701</v>
      </c>
      <c r="O200" s="353">
        <v>82955989.710436046</v>
      </c>
      <c r="P200" s="354">
        <v>0.28375939391942179</v>
      </c>
      <c r="Q200" s="353">
        <v>66924148.736000001</v>
      </c>
      <c r="R200" s="353">
        <v>181008</v>
      </c>
      <c r="S200" s="354">
        <v>0.10605500437384319</v>
      </c>
      <c r="T200" s="353">
        <v>35523934.868265472</v>
      </c>
      <c r="U200" s="354">
        <v>0.12151322964186041</v>
      </c>
      <c r="V200" s="353">
        <v>28658679.248</v>
      </c>
      <c r="W200" s="353">
        <v>1044504</v>
      </c>
      <c r="X200" s="354">
        <v>0.61198884186608715</v>
      </c>
      <c r="Y200" s="353">
        <v>160691990.37860894</v>
      </c>
      <c r="Z200" s="354">
        <v>0.54966328479356708</v>
      </c>
      <c r="AA200" s="353">
        <v>129637108.81299999</v>
      </c>
      <c r="AB200" s="353">
        <v>72911</v>
      </c>
      <c r="AC200" s="354">
        <v>4.271952855067887E-2</v>
      </c>
      <c r="AD200" s="353">
        <v>13173615.458785582</v>
      </c>
      <c r="AE200" s="354">
        <v>4.5061690558581287E-2</v>
      </c>
      <c r="AF200" s="353">
        <v>10627719.630999999</v>
      </c>
      <c r="AG200" s="353">
        <v>6</v>
      </c>
      <c r="AH200" s="354">
        <v>3.5154801237683369E-6</v>
      </c>
      <c r="AI200" s="353">
        <v>701.9486121581715</v>
      </c>
      <c r="AJ200" s="354">
        <v>2.4010865694430279E-6</v>
      </c>
      <c r="AK200" s="353">
        <v>566.29200000000003</v>
      </c>
      <c r="AL200" s="353">
        <v>1706737</v>
      </c>
      <c r="AM200" s="354">
        <v>1</v>
      </c>
      <c r="AN200" s="353">
        <v>292346232.36470819</v>
      </c>
      <c r="AO200" s="354">
        <v>1</v>
      </c>
      <c r="AP200" s="353">
        <v>235848222.72</v>
      </c>
    </row>
    <row r="201" spans="2:42" hidden="1" outlineLevel="1" x14ac:dyDescent="0.25">
      <c r="B201" s="352">
        <v>44228</v>
      </c>
      <c r="C201" s="353"/>
      <c r="D201" s="354"/>
      <c r="E201" s="353"/>
      <c r="F201" s="354"/>
      <c r="G201" s="353"/>
      <c r="H201" s="353"/>
      <c r="I201" s="354"/>
      <c r="J201" s="353"/>
      <c r="K201" s="354"/>
      <c r="L201" s="353"/>
      <c r="M201" s="353">
        <v>408052</v>
      </c>
      <c r="N201" s="354">
        <v>0.23801210557291488</v>
      </c>
      <c r="O201" s="353">
        <v>82758896.614439487</v>
      </c>
      <c r="P201" s="354">
        <v>0.28327527171594585</v>
      </c>
      <c r="Q201" s="353">
        <v>66888862.207000002</v>
      </c>
      <c r="R201" s="353">
        <v>180639</v>
      </c>
      <c r="S201" s="354">
        <v>0.10536468082152708</v>
      </c>
      <c r="T201" s="353">
        <v>35389199.214468926</v>
      </c>
      <c r="U201" s="354">
        <v>0.12113362349419381</v>
      </c>
      <c r="V201" s="353">
        <v>28602885.813000001</v>
      </c>
      <c r="W201" s="353">
        <v>1052693</v>
      </c>
      <c r="X201" s="354">
        <v>0.61402389267021962</v>
      </c>
      <c r="Y201" s="353">
        <v>160854148.94087431</v>
      </c>
      <c r="Z201" s="354">
        <v>0.55058736416156129</v>
      </c>
      <c r="AA201" s="353">
        <v>130008391.171</v>
      </c>
      <c r="AB201" s="353">
        <v>73029</v>
      </c>
      <c r="AC201" s="354">
        <v>4.2596987780685797E-2</v>
      </c>
      <c r="AD201" s="353">
        <v>13147366.770654438</v>
      </c>
      <c r="AE201" s="354">
        <v>4.5002097015108419E-2</v>
      </c>
      <c r="AF201" s="353">
        <v>10626197.789999999</v>
      </c>
      <c r="AG201" s="353">
        <v>4</v>
      </c>
      <c r="AH201" s="354">
        <v>2.3331546525728571E-6</v>
      </c>
      <c r="AI201" s="353">
        <v>480.18174439210753</v>
      </c>
      <c r="AJ201" s="354">
        <v>1.6436131906086601E-6</v>
      </c>
      <c r="AK201" s="353">
        <v>388.101</v>
      </c>
      <c r="AL201" s="353">
        <v>1714417</v>
      </c>
      <c r="AM201" s="354">
        <v>1</v>
      </c>
      <c r="AN201" s="353">
        <v>292150091.72218156</v>
      </c>
      <c r="AO201" s="354">
        <v>1</v>
      </c>
      <c r="AP201" s="353">
        <v>236126725.08200002</v>
      </c>
    </row>
    <row r="202" spans="2:42" hidden="1" outlineLevel="1" x14ac:dyDescent="0.25">
      <c r="B202" s="352">
        <v>44256</v>
      </c>
      <c r="C202" s="353"/>
      <c r="D202" s="354"/>
      <c r="E202" s="353"/>
      <c r="F202" s="354"/>
      <c r="G202" s="353"/>
      <c r="H202" s="353"/>
      <c r="I202" s="354"/>
      <c r="J202" s="353"/>
      <c r="K202" s="354"/>
      <c r="L202" s="353"/>
      <c r="M202" s="353">
        <v>408360</v>
      </c>
      <c r="N202" s="354">
        <v>0.23711256401621164</v>
      </c>
      <c r="O202" s="353">
        <v>82505502.940299243</v>
      </c>
      <c r="P202" s="354">
        <v>0.28212473428605128</v>
      </c>
      <c r="Q202" s="353">
        <v>66934359.487999998</v>
      </c>
      <c r="R202" s="353">
        <v>180566</v>
      </c>
      <c r="S202" s="354">
        <v>0.10484490947730254</v>
      </c>
      <c r="T202" s="353">
        <v>35238181.422516473</v>
      </c>
      <c r="U202" s="354">
        <v>0.12049575138939296</v>
      </c>
      <c r="V202" s="353">
        <v>28587730.745000001</v>
      </c>
      <c r="W202" s="353">
        <v>1060194</v>
      </c>
      <c r="X202" s="354">
        <v>0.61559731044814248</v>
      </c>
      <c r="Y202" s="353">
        <v>161588347.04070583</v>
      </c>
      <c r="Z202" s="354">
        <v>0.55254580419403987</v>
      </c>
      <c r="AA202" s="353">
        <v>131092013.55599999</v>
      </c>
      <c r="AB202" s="353">
        <v>73094</v>
      </c>
      <c r="AC202" s="354">
        <v>4.2441732182880235E-2</v>
      </c>
      <c r="AD202" s="353">
        <v>13110830.569701292</v>
      </c>
      <c r="AE202" s="354">
        <v>4.4832034942237989E-2</v>
      </c>
      <c r="AF202" s="353">
        <v>10636442.604</v>
      </c>
      <c r="AG202" s="353">
        <v>6</v>
      </c>
      <c r="AH202" s="354">
        <v>3.4838754630651138E-6</v>
      </c>
      <c r="AI202" s="353">
        <v>489.89767496723869</v>
      </c>
      <c r="AJ202" s="354">
        <v>1.6751882777745932E-6</v>
      </c>
      <c r="AK202" s="353">
        <v>397.44</v>
      </c>
      <c r="AL202" s="353">
        <v>1722220</v>
      </c>
      <c r="AM202" s="354">
        <v>1</v>
      </c>
      <c r="AN202" s="353">
        <v>292443351.87089783</v>
      </c>
      <c r="AO202" s="354">
        <v>0.99999999999999989</v>
      </c>
      <c r="AP202" s="353">
        <v>237250943.83299997</v>
      </c>
    </row>
    <row r="203" spans="2:42" hidden="1" outlineLevel="1" x14ac:dyDescent="0.25">
      <c r="B203" s="352">
        <v>44287</v>
      </c>
      <c r="C203" s="353"/>
      <c r="D203" s="354"/>
      <c r="E203" s="353"/>
      <c r="F203" s="354"/>
      <c r="G203" s="353"/>
      <c r="H203" s="353"/>
      <c r="I203" s="354"/>
      <c r="J203" s="353"/>
      <c r="K203" s="354"/>
      <c r="L203" s="353"/>
      <c r="M203" s="353">
        <v>408797</v>
      </c>
      <c r="N203" s="354">
        <v>0.23586909861339339</v>
      </c>
      <c r="O203" s="353">
        <v>82271477.283606768</v>
      </c>
      <c r="P203" s="354">
        <v>0.28078174105248888</v>
      </c>
      <c r="Q203" s="353">
        <v>66996108.122000001</v>
      </c>
      <c r="R203" s="353">
        <v>180965</v>
      </c>
      <c r="S203" s="354">
        <v>0.10441380790605786</v>
      </c>
      <c r="T203" s="353">
        <v>35183004.135326318</v>
      </c>
      <c r="U203" s="354">
        <v>0.12007496987710292</v>
      </c>
      <c r="V203" s="353">
        <v>28650565.504999999</v>
      </c>
      <c r="W203" s="353">
        <v>1068719</v>
      </c>
      <c r="X203" s="354">
        <v>0.61663316316168459</v>
      </c>
      <c r="Y203" s="353">
        <v>162324685.24468356</v>
      </c>
      <c r="Z203" s="354">
        <v>0.55399282039975273</v>
      </c>
      <c r="AA203" s="353">
        <v>132185813.633</v>
      </c>
      <c r="AB203" s="353">
        <v>74665</v>
      </c>
      <c r="AC203" s="354">
        <v>4.308046841823452E-2</v>
      </c>
      <c r="AD203" s="353">
        <v>13228776.024385514</v>
      </c>
      <c r="AE203" s="354">
        <v>4.5148074238609906E-2</v>
      </c>
      <c r="AF203" s="353">
        <v>10772585.324999999</v>
      </c>
      <c r="AG203" s="353">
        <v>6</v>
      </c>
      <c r="AH203" s="354">
        <v>3.4619006296043278E-6</v>
      </c>
      <c r="AI203" s="353">
        <v>701.58928744730576</v>
      </c>
      <c r="AJ203" s="354">
        <v>2.3944320454360199E-6</v>
      </c>
      <c r="AK203" s="353">
        <v>571.32500000000005</v>
      </c>
      <c r="AL203" s="353">
        <v>1733152</v>
      </c>
      <c r="AM203" s="354">
        <v>1</v>
      </c>
      <c r="AN203" s="353">
        <v>293008644.27728963</v>
      </c>
      <c r="AO203" s="354">
        <v>0.99999999999999989</v>
      </c>
      <c r="AP203" s="353">
        <v>238605643.90999997</v>
      </c>
    </row>
    <row r="204" spans="2:42" hidden="1" outlineLevel="1" x14ac:dyDescent="0.25">
      <c r="B204" s="352">
        <v>44317</v>
      </c>
      <c r="C204" s="353"/>
      <c r="D204" s="354"/>
      <c r="E204" s="353"/>
      <c r="F204" s="354"/>
      <c r="G204" s="353"/>
      <c r="H204" s="353"/>
      <c r="I204" s="354"/>
      <c r="J204" s="353"/>
      <c r="K204" s="354"/>
      <c r="L204" s="353"/>
      <c r="M204" s="353">
        <v>408904</v>
      </c>
      <c r="N204" s="354">
        <v>0.23449355564794769</v>
      </c>
      <c r="O204" s="353">
        <v>82065186.907692567</v>
      </c>
      <c r="P204" s="354">
        <v>0.27940555047642218</v>
      </c>
      <c r="Q204" s="353">
        <v>67007658.256999999</v>
      </c>
      <c r="R204" s="353">
        <v>180572</v>
      </c>
      <c r="S204" s="354">
        <v>0.10355235050393542</v>
      </c>
      <c r="T204" s="353">
        <v>35012054.478084855</v>
      </c>
      <c r="U204" s="354">
        <v>0.11920477760884489</v>
      </c>
      <c r="V204" s="353">
        <v>28587953.914999999</v>
      </c>
      <c r="W204" s="353">
        <v>1076768</v>
      </c>
      <c r="X204" s="354">
        <v>0.61749250906797037</v>
      </c>
      <c r="Y204" s="353">
        <v>163187055.28343189</v>
      </c>
      <c r="Z204" s="354">
        <v>0.55559940493865667</v>
      </c>
      <c r="AA204" s="353">
        <v>133245080.45900001</v>
      </c>
      <c r="AB204" s="353">
        <v>77523</v>
      </c>
      <c r="AC204" s="354">
        <v>4.4456997032300612E-2</v>
      </c>
      <c r="AD204" s="353">
        <v>13448458.254264738</v>
      </c>
      <c r="AE204" s="354">
        <v>4.5787672253992009E-2</v>
      </c>
      <c r="AF204" s="353">
        <v>10980901.022</v>
      </c>
      <c r="AG204" s="353">
        <v>8</v>
      </c>
      <c r="AH204" s="354">
        <v>4.5877478459090196E-6</v>
      </c>
      <c r="AI204" s="353">
        <v>762.10494913227228</v>
      </c>
      <c r="AJ204" s="354">
        <v>2.5947220844402682E-6</v>
      </c>
      <c r="AK204" s="353">
        <v>622.27200000000005</v>
      </c>
      <c r="AL204" s="353">
        <v>1743775</v>
      </c>
      <c r="AM204" s="354">
        <v>1</v>
      </c>
      <c r="AN204" s="353">
        <v>293713517.02842313</v>
      </c>
      <c r="AO204" s="354">
        <v>1.0000000000000002</v>
      </c>
      <c r="AP204" s="353">
        <v>239822215.92500001</v>
      </c>
    </row>
    <row r="205" spans="2:42" hidden="1" outlineLevel="1" x14ac:dyDescent="0.25">
      <c r="B205" s="352">
        <v>44348</v>
      </c>
      <c r="C205" s="353"/>
      <c r="D205" s="354"/>
      <c r="E205" s="353"/>
      <c r="F205" s="354"/>
      <c r="G205" s="353"/>
      <c r="H205" s="353"/>
      <c r="I205" s="354"/>
      <c r="J205" s="353"/>
      <c r="K205" s="354"/>
      <c r="L205" s="353"/>
      <c r="M205" s="353">
        <v>408641</v>
      </c>
      <c r="N205" s="354">
        <v>0.23314477088664287</v>
      </c>
      <c r="O205" s="353">
        <v>81938800.043211713</v>
      </c>
      <c r="P205" s="354">
        <v>0.27771686886511859</v>
      </c>
      <c r="Q205" s="353">
        <v>66957803.270000003</v>
      </c>
      <c r="R205" s="353">
        <v>180850</v>
      </c>
      <c r="S205" s="354">
        <v>0.10318159904378015</v>
      </c>
      <c r="T205" s="353">
        <v>35037140.891400576</v>
      </c>
      <c r="U205" s="354">
        <v>0.11875210592801332</v>
      </c>
      <c r="V205" s="353">
        <v>28631246.561000001</v>
      </c>
      <c r="W205" s="353">
        <v>1083928</v>
      </c>
      <c r="X205" s="354">
        <v>0.61842092501148205</v>
      </c>
      <c r="Y205" s="353">
        <v>164442981.5983963</v>
      </c>
      <c r="Z205" s="354">
        <v>0.55734999697660803</v>
      </c>
      <c r="AA205" s="353">
        <v>134377618.48100001</v>
      </c>
      <c r="AB205" s="353">
        <v>79307</v>
      </c>
      <c r="AC205" s="354">
        <v>4.524757022596114E-2</v>
      </c>
      <c r="AD205" s="353">
        <v>13624485.594660381</v>
      </c>
      <c r="AE205" s="354">
        <v>4.6177750677964223E-2</v>
      </c>
      <c r="AF205" s="353">
        <v>11133499.948999999</v>
      </c>
      <c r="AG205" s="353">
        <v>9</v>
      </c>
      <c r="AH205" s="354">
        <v>5.134832133779493E-6</v>
      </c>
      <c r="AI205" s="353">
        <v>967.02336914863372</v>
      </c>
      <c r="AJ205" s="354">
        <v>3.2775522958321044E-6</v>
      </c>
      <c r="AK205" s="353">
        <v>790.221</v>
      </c>
      <c r="AL205" s="353">
        <v>1752735</v>
      </c>
      <c r="AM205" s="354">
        <v>1</v>
      </c>
      <c r="AN205" s="353">
        <v>295044375.15103811</v>
      </c>
      <c r="AO205" s="354">
        <v>1</v>
      </c>
      <c r="AP205" s="353">
        <v>241100958.48199999</v>
      </c>
    </row>
    <row r="206" spans="2:42" hidden="1" outlineLevel="1" x14ac:dyDescent="0.25">
      <c r="B206" s="352">
        <v>44378</v>
      </c>
      <c r="C206" s="353"/>
      <c r="D206" s="354"/>
      <c r="E206" s="353"/>
      <c r="F206" s="354"/>
      <c r="G206" s="353"/>
      <c r="H206" s="353"/>
      <c r="I206" s="354"/>
      <c r="J206" s="353"/>
      <c r="K206" s="354"/>
      <c r="L206" s="353"/>
      <c r="M206" s="353">
        <v>408548</v>
      </c>
      <c r="N206" s="354">
        <v>0.23197691518875649</v>
      </c>
      <c r="O206" s="353">
        <v>84277441.752716735</v>
      </c>
      <c r="P206" s="354">
        <v>0.27455465223323067</v>
      </c>
      <c r="Q206" s="353">
        <v>69426016.715000004</v>
      </c>
      <c r="R206" s="353">
        <v>180980</v>
      </c>
      <c r="S206" s="354">
        <v>0.10276193277377725</v>
      </c>
      <c r="T206" s="353">
        <v>36073193.029030211</v>
      </c>
      <c r="U206" s="354">
        <v>0.11751736598848918</v>
      </c>
      <c r="V206" s="353">
        <v>29716351.732000001</v>
      </c>
      <c r="W206" s="353">
        <v>1090775</v>
      </c>
      <c r="X206" s="354">
        <v>0.61935101790980707</v>
      </c>
      <c r="Y206" s="353">
        <v>172355409.17068207</v>
      </c>
      <c r="Z206" s="354">
        <v>0.5614904586712538</v>
      </c>
      <c r="AA206" s="353">
        <v>141982828.016</v>
      </c>
      <c r="AB206" s="353">
        <v>80846</v>
      </c>
      <c r="AC206" s="354">
        <v>4.5905023853623585E-2</v>
      </c>
      <c r="AD206" s="353">
        <v>14253548.228239944</v>
      </c>
      <c r="AE206" s="354">
        <v>4.6434465682720479E-2</v>
      </c>
      <c r="AF206" s="353">
        <v>11741778.784</v>
      </c>
      <c r="AG206" s="353">
        <v>9</v>
      </c>
      <c r="AH206" s="354">
        <v>5.1102740356061181E-6</v>
      </c>
      <c r="AI206" s="353">
        <v>938.50858742339085</v>
      </c>
      <c r="AJ206" s="354">
        <v>3.0574243057113613E-6</v>
      </c>
      <c r="AK206" s="353">
        <v>773.12400000000002</v>
      </c>
      <c r="AL206" s="353">
        <v>1761158</v>
      </c>
      <c r="AM206" s="354">
        <v>1</v>
      </c>
      <c r="AN206" s="353">
        <v>306960530.68925643</v>
      </c>
      <c r="AO206" s="354">
        <v>0.99999999999999978</v>
      </c>
      <c r="AP206" s="353">
        <v>252867748.37100002</v>
      </c>
    </row>
    <row r="207" spans="2:42" hidden="1" outlineLevel="1" x14ac:dyDescent="0.25">
      <c r="B207" s="352">
        <v>44409</v>
      </c>
      <c r="C207" s="353"/>
      <c r="D207" s="354"/>
      <c r="E207" s="353"/>
      <c r="F207" s="354"/>
      <c r="G207" s="353"/>
      <c r="H207" s="353"/>
      <c r="I207" s="354"/>
      <c r="J207" s="353"/>
      <c r="K207" s="354"/>
      <c r="L207" s="353"/>
      <c r="M207" s="353">
        <v>409302</v>
      </c>
      <c r="N207" s="354">
        <v>0.23134418624105121</v>
      </c>
      <c r="O207" s="353">
        <v>84185242.323995724</v>
      </c>
      <c r="P207" s="354">
        <v>0.27310070620740484</v>
      </c>
      <c r="Q207" s="353">
        <v>69599247.892000005</v>
      </c>
      <c r="R207" s="353">
        <v>181161</v>
      </c>
      <c r="S207" s="354">
        <v>0.10239516084361933</v>
      </c>
      <c r="T207" s="353">
        <v>36006926.644797325</v>
      </c>
      <c r="U207" s="354">
        <v>0.11680808682841406</v>
      </c>
      <c r="V207" s="353">
        <v>29768341.151000001</v>
      </c>
      <c r="W207" s="353">
        <v>1097020</v>
      </c>
      <c r="X207" s="354">
        <v>0.62005365033681248</v>
      </c>
      <c r="Y207" s="353">
        <v>173706432.42796037</v>
      </c>
      <c r="Z207" s="354">
        <v>0.56351146660918927</v>
      </c>
      <c r="AA207" s="353">
        <v>143609933.49000001</v>
      </c>
      <c r="AB207" s="353">
        <v>81743</v>
      </c>
      <c r="AC207" s="354">
        <v>4.6202480847643668E-2</v>
      </c>
      <c r="AD207" s="353">
        <v>14357651.550089369</v>
      </c>
      <c r="AE207" s="354">
        <v>4.6576866319616231E-2</v>
      </c>
      <c r="AF207" s="353">
        <v>11870034.721000001</v>
      </c>
      <c r="AG207" s="353">
        <v>8</v>
      </c>
      <c r="AH207" s="354">
        <v>4.5217308733610138E-6</v>
      </c>
      <c r="AI207" s="353">
        <v>885.94192194714708</v>
      </c>
      <c r="AJ207" s="354">
        <v>2.8740353755986855E-6</v>
      </c>
      <c r="AK207" s="353">
        <v>732.44299999999998</v>
      </c>
      <c r="AL207" s="353">
        <v>1769234</v>
      </c>
      <c r="AM207" s="354">
        <v>1</v>
      </c>
      <c r="AN207" s="353">
        <v>308257138.88876474</v>
      </c>
      <c r="AO207" s="354">
        <v>1</v>
      </c>
      <c r="AP207" s="353">
        <v>254848289.697</v>
      </c>
    </row>
    <row r="208" spans="2:42" hidden="1" outlineLevel="1" x14ac:dyDescent="0.25">
      <c r="B208" s="352">
        <v>44440</v>
      </c>
      <c r="C208" s="353"/>
      <c r="D208" s="354"/>
      <c r="E208" s="353"/>
      <c r="F208" s="354"/>
      <c r="G208" s="353"/>
      <c r="H208" s="353"/>
      <c r="I208" s="354"/>
      <c r="J208" s="353"/>
      <c r="K208" s="354"/>
      <c r="L208" s="353"/>
      <c r="M208" s="353">
        <v>409787</v>
      </c>
      <c r="N208" s="354">
        <v>0.23001763636751452</v>
      </c>
      <c r="O208" s="353">
        <v>83294550.043010533</v>
      </c>
      <c r="P208" s="354">
        <v>0.27124837567998128</v>
      </c>
      <c r="Q208" s="353">
        <v>69673997.915999994</v>
      </c>
      <c r="R208" s="353">
        <v>181169</v>
      </c>
      <c r="S208" s="354">
        <v>0.10169201356574571</v>
      </c>
      <c r="T208" s="353">
        <v>35589981.896917924</v>
      </c>
      <c r="U208" s="354">
        <v>0.11589863652584791</v>
      </c>
      <c r="V208" s="353">
        <v>29770210.934999999</v>
      </c>
      <c r="W208" s="353">
        <v>1108270</v>
      </c>
      <c r="X208" s="354">
        <v>0.62208329170282439</v>
      </c>
      <c r="Y208" s="353">
        <v>173928519.16319102</v>
      </c>
      <c r="Z208" s="354">
        <v>0.5663975408124422</v>
      </c>
      <c r="AA208" s="353">
        <v>145487253.07300001</v>
      </c>
      <c r="AB208" s="353">
        <v>82312</v>
      </c>
      <c r="AC208" s="354">
        <v>4.6202567882053E-2</v>
      </c>
      <c r="AD208" s="353">
        <v>14264616.706873996</v>
      </c>
      <c r="AE208" s="354">
        <v>4.6452668385136141E-2</v>
      </c>
      <c r="AF208" s="353">
        <v>11932027.655999999</v>
      </c>
      <c r="AG208" s="353">
        <v>8</v>
      </c>
      <c r="AH208" s="354">
        <v>4.4904818623824473E-6</v>
      </c>
      <c r="AI208" s="353">
        <v>853.24733220376334</v>
      </c>
      <c r="AJ208" s="354">
        <v>2.7785965923825661E-6</v>
      </c>
      <c r="AK208" s="353">
        <v>713.72199999999998</v>
      </c>
      <c r="AL208" s="353">
        <v>1781546</v>
      </c>
      <c r="AM208" s="354">
        <v>1</v>
      </c>
      <c r="AN208" s="353">
        <v>307078521.05732572</v>
      </c>
      <c r="AO208" s="354">
        <v>0.99999999999999989</v>
      </c>
      <c r="AP208" s="353">
        <v>256864203.30200002</v>
      </c>
    </row>
    <row r="209" spans="2:42" hidden="1" outlineLevel="1" x14ac:dyDescent="0.25">
      <c r="B209" s="352">
        <v>44470</v>
      </c>
      <c r="C209" s="353"/>
      <c r="D209" s="354"/>
      <c r="E209" s="353"/>
      <c r="F209" s="354"/>
      <c r="G209" s="353"/>
      <c r="H209" s="353"/>
      <c r="I209" s="354"/>
      <c r="J209" s="353"/>
      <c r="K209" s="354"/>
      <c r="L209" s="353"/>
      <c r="M209" s="353">
        <v>411102</v>
      </c>
      <c r="N209" s="354">
        <v>0.22884336413138473</v>
      </c>
      <c r="O209" s="353">
        <v>82439866.939491674</v>
      </c>
      <c r="P209" s="354">
        <v>0.26959178405164774</v>
      </c>
      <c r="Q209" s="353">
        <v>69883827.498999998</v>
      </c>
      <c r="R209" s="353">
        <v>181504</v>
      </c>
      <c r="S209" s="354">
        <v>0.1010357185401746</v>
      </c>
      <c r="T209" s="353">
        <v>35183696.078626268</v>
      </c>
      <c r="U209" s="354">
        <v>0.11505641320757698</v>
      </c>
      <c r="V209" s="353">
        <v>29825028.094000001</v>
      </c>
      <c r="W209" s="353">
        <v>1121224</v>
      </c>
      <c r="X209" s="354">
        <v>0.6241387103561834</v>
      </c>
      <c r="Y209" s="353">
        <v>174048633.21775571</v>
      </c>
      <c r="Z209" s="354">
        <v>0.56916736140980195</v>
      </c>
      <c r="AA209" s="353">
        <v>147540081.17399999</v>
      </c>
      <c r="AB209" s="353">
        <v>82592</v>
      </c>
      <c r="AC209" s="354">
        <v>4.5975527071965908E-2</v>
      </c>
      <c r="AD209" s="353">
        <v>14121809.603883868</v>
      </c>
      <c r="AE209" s="354">
        <v>4.6180616084000439E-2</v>
      </c>
      <c r="AF209" s="353">
        <v>11970981.310000001</v>
      </c>
      <c r="AG209" s="353">
        <v>12</v>
      </c>
      <c r="AH209" s="354">
        <v>6.6799002913549844E-6</v>
      </c>
      <c r="AI209" s="353">
        <v>1169.7420697299194</v>
      </c>
      <c r="AJ209" s="354">
        <v>3.8252469729265236E-6</v>
      </c>
      <c r="AK209" s="353">
        <v>991.58399999999995</v>
      </c>
      <c r="AL209" s="353">
        <v>1796434</v>
      </c>
      <c r="AM209" s="354">
        <v>1</v>
      </c>
      <c r="AN209" s="353">
        <v>305795175.58182722</v>
      </c>
      <c r="AO209" s="354">
        <v>1</v>
      </c>
      <c r="AP209" s="353">
        <v>259220909.66099998</v>
      </c>
    </row>
    <row r="210" spans="2:42" hidden="1" outlineLevel="1" x14ac:dyDescent="0.25">
      <c r="B210" s="352">
        <v>44501</v>
      </c>
      <c r="C210" s="353"/>
      <c r="D210" s="354"/>
      <c r="E210" s="353"/>
      <c r="F210" s="354"/>
      <c r="G210" s="353"/>
      <c r="H210" s="353"/>
      <c r="I210" s="354"/>
      <c r="J210" s="353"/>
      <c r="K210" s="354"/>
      <c r="L210" s="353"/>
      <c r="M210" s="353">
        <v>412375</v>
      </c>
      <c r="N210" s="354">
        <v>0.22735993966105658</v>
      </c>
      <c r="O210" s="353">
        <v>82273880.528636053</v>
      </c>
      <c r="P210" s="354">
        <v>0.26786164100864374</v>
      </c>
      <c r="Q210" s="353">
        <v>70090984.503999993</v>
      </c>
      <c r="R210" s="353">
        <v>181898</v>
      </c>
      <c r="S210" s="354">
        <v>0.10028813168709759</v>
      </c>
      <c r="T210" s="353">
        <v>35086175.410488173</v>
      </c>
      <c r="U210" s="354">
        <v>0.11423115649564332</v>
      </c>
      <c r="V210" s="353">
        <v>29890708.463</v>
      </c>
      <c r="W210" s="353">
        <v>1135385</v>
      </c>
      <c r="X210" s="354">
        <v>0.62598621422750822</v>
      </c>
      <c r="Y210" s="353">
        <v>175596689.72640839</v>
      </c>
      <c r="Z210" s="354">
        <v>0.57169562397667995</v>
      </c>
      <c r="AA210" s="353">
        <v>149594801.89199999</v>
      </c>
      <c r="AB210" s="353">
        <v>84083</v>
      </c>
      <c r="AC210" s="354">
        <v>4.6358546969434665E-2</v>
      </c>
      <c r="AD210" s="353">
        <v>14192892.727095371</v>
      </c>
      <c r="AE210" s="354">
        <v>4.6208243881436822E-2</v>
      </c>
      <c r="AF210" s="353">
        <v>12091247.159</v>
      </c>
      <c r="AG210" s="353">
        <v>13</v>
      </c>
      <c r="AH210" s="354">
        <v>7.1674549029250935E-6</v>
      </c>
      <c r="AI210" s="353">
        <v>1024.2361473575108</v>
      </c>
      <c r="AJ210" s="354">
        <v>3.3346375963883585E-6</v>
      </c>
      <c r="AK210" s="353">
        <v>872.57</v>
      </c>
      <c r="AL210" s="353">
        <v>1813754</v>
      </c>
      <c r="AM210" s="354">
        <v>0.99999999999999989</v>
      </c>
      <c r="AN210" s="353">
        <v>307150662.6287753</v>
      </c>
      <c r="AO210" s="354">
        <v>1.0000000000000002</v>
      </c>
      <c r="AP210" s="353">
        <v>261668614.58799997</v>
      </c>
    </row>
    <row r="211" spans="2:42" hidden="1" outlineLevel="1" x14ac:dyDescent="0.25">
      <c r="B211" s="352">
        <v>44531</v>
      </c>
      <c r="C211" s="353"/>
      <c r="D211" s="354"/>
      <c r="E211" s="353"/>
      <c r="F211" s="354"/>
      <c r="G211" s="353"/>
      <c r="H211" s="353"/>
      <c r="I211" s="354"/>
      <c r="J211" s="353"/>
      <c r="K211" s="354"/>
      <c r="L211" s="353"/>
      <c r="M211" s="353">
        <v>413523</v>
      </c>
      <c r="N211" s="354">
        <v>0.22621880569678629</v>
      </c>
      <c r="O211" s="353">
        <v>81842090.867737979</v>
      </c>
      <c r="P211" s="354">
        <v>0.26645991864583607</v>
      </c>
      <c r="Q211" s="353">
        <v>70267951.171000004</v>
      </c>
      <c r="R211" s="353">
        <v>182087</v>
      </c>
      <c r="S211" s="354">
        <v>9.961115505766481E-2</v>
      </c>
      <c r="T211" s="353">
        <v>34852022.439382628</v>
      </c>
      <c r="U211" s="354">
        <v>0.11347054999912688</v>
      </c>
      <c r="V211" s="353">
        <v>29923236.136999998</v>
      </c>
      <c r="W211" s="353">
        <v>1147603</v>
      </c>
      <c r="X211" s="354">
        <v>0.62779913106175234</v>
      </c>
      <c r="Y211" s="353">
        <v>176333004.16899437</v>
      </c>
      <c r="Z211" s="354">
        <v>0.57410163214644594</v>
      </c>
      <c r="AA211" s="353">
        <v>151395923.484</v>
      </c>
      <c r="AB211" s="353">
        <v>84750</v>
      </c>
      <c r="AC211" s="354">
        <v>4.6362702395761873E-2</v>
      </c>
      <c r="AD211" s="353">
        <v>14117631.64064406</v>
      </c>
      <c r="AE211" s="354">
        <v>4.5963915859837667E-2</v>
      </c>
      <c r="AF211" s="353">
        <v>12121110.790999999</v>
      </c>
      <c r="AG211" s="353">
        <v>15</v>
      </c>
      <c r="AH211" s="354">
        <v>8.205788034648119E-6</v>
      </c>
      <c r="AI211" s="353">
        <v>1223.4695270172115</v>
      </c>
      <c r="AJ211" s="354">
        <v>3.9833487534123667E-6</v>
      </c>
      <c r="AK211" s="353">
        <v>1050.4459999999999</v>
      </c>
      <c r="AL211" s="353">
        <v>1827978</v>
      </c>
      <c r="AM211" s="354">
        <v>0.99999999999999989</v>
      </c>
      <c r="AN211" s="353">
        <v>307145972.58628607</v>
      </c>
      <c r="AO211" s="354">
        <v>0.99999999999999989</v>
      </c>
      <c r="AP211" s="353">
        <v>263709272.02900001</v>
      </c>
    </row>
    <row r="212" spans="2:42" collapsed="1" x14ac:dyDescent="0.25">
      <c r="B212" s="355" t="s">
        <v>712</v>
      </c>
      <c r="C212" s="356"/>
      <c r="D212" s="343"/>
      <c r="E212" s="356"/>
      <c r="F212" s="343"/>
      <c r="G212" s="356"/>
      <c r="H212" s="356"/>
      <c r="I212" s="343"/>
      <c r="J212" s="356"/>
      <c r="K212" s="343"/>
      <c r="L212" s="356"/>
      <c r="M212" s="356">
        <v>409641.58333333331</v>
      </c>
      <c r="N212" s="343">
        <v>0.23271630070150556</v>
      </c>
      <c r="O212" s="356">
        <v>82734077.162939548</v>
      </c>
      <c r="P212" s="343">
        <v>0.27569645974208834</v>
      </c>
      <c r="Q212" s="356"/>
      <c r="R212" s="356">
        <v>181116.58333333334</v>
      </c>
      <c r="S212" s="343">
        <v>0.10289185225302679</v>
      </c>
      <c r="T212" s="356">
        <v>35347959.209108762</v>
      </c>
      <c r="U212" s="343">
        <v>0.11779072840646142</v>
      </c>
      <c r="V212" s="356"/>
      <c r="W212" s="356">
        <v>1090590.25</v>
      </c>
      <c r="X212" s="343">
        <v>0.61956143830888788</v>
      </c>
      <c r="Y212" s="356">
        <v>168254824.69680777</v>
      </c>
      <c r="Z212" s="343">
        <v>0.56067899823284195</v>
      </c>
      <c r="AA212" s="356"/>
      <c r="AB212" s="356">
        <v>78904.583333333328</v>
      </c>
      <c r="AC212" s="343">
        <v>4.4825485226154822E-2</v>
      </c>
      <c r="AD212" s="356">
        <v>13753473.594106548</v>
      </c>
      <c r="AE212" s="343">
        <v>4.5830981731793431E-2</v>
      </c>
      <c r="AF212" s="356"/>
      <c r="AG212" s="356">
        <v>8.6666666666666661</v>
      </c>
      <c r="AH212" s="343">
        <v>4.923510425059911E-6</v>
      </c>
      <c r="AI212" s="356">
        <v>849.82426857705593</v>
      </c>
      <c r="AJ212" s="343">
        <v>2.831886814766515E-6</v>
      </c>
      <c r="AK212" s="356"/>
      <c r="AL212" s="356">
        <v>1760261.6666666665</v>
      </c>
      <c r="AM212" s="343">
        <v>1</v>
      </c>
      <c r="AN212" s="356">
        <v>300091184.48723125</v>
      </c>
      <c r="AO212" s="343">
        <v>0.99999999999999989</v>
      </c>
      <c r="AP212" s="356"/>
    </row>
    <row r="213" spans="2:42" outlineLevel="1" x14ac:dyDescent="0.25">
      <c r="B213" s="352">
        <v>44562</v>
      </c>
      <c r="C213" s="353"/>
      <c r="D213" s="354"/>
      <c r="E213" s="353"/>
      <c r="F213" s="354"/>
      <c r="G213" s="353"/>
      <c r="H213" s="353"/>
      <c r="I213" s="354"/>
      <c r="J213" s="353"/>
      <c r="K213" s="354"/>
      <c r="L213" s="353"/>
      <c r="M213" s="353">
        <v>414941</v>
      </c>
      <c r="N213" s="354">
        <v>0.22500393135048669</v>
      </c>
      <c r="O213" s="353">
        <v>83970557.420477182</v>
      </c>
      <c r="P213" s="354">
        <v>0.26114788278481926</v>
      </c>
      <c r="Q213" s="353">
        <v>72961356.456</v>
      </c>
      <c r="R213" s="353">
        <v>182344</v>
      </c>
      <c r="S213" s="354">
        <v>9.887698939891007E-2</v>
      </c>
      <c r="T213" s="353">
        <v>36946402.296083204</v>
      </c>
      <c r="U213" s="354">
        <v>0.11490306879617573</v>
      </c>
      <c r="V213" s="353">
        <v>32102438.170000002</v>
      </c>
      <c r="W213" s="353">
        <v>1161305</v>
      </c>
      <c r="X213" s="354">
        <v>0.6297237209554537</v>
      </c>
      <c r="Y213" s="353">
        <v>185475675.94465718</v>
      </c>
      <c r="Z213" s="354">
        <v>0.57682813558670798</v>
      </c>
      <c r="AA213" s="353">
        <v>161158355.05000001</v>
      </c>
      <c r="AB213" s="353">
        <v>85544</v>
      </c>
      <c r="AC213" s="354">
        <v>4.6386682211316865E-2</v>
      </c>
      <c r="AD213" s="353">
        <v>15150259.727777807</v>
      </c>
      <c r="AE213" s="354">
        <v>4.7117208377426577E-2</v>
      </c>
      <c r="AF213" s="353">
        <v>13163941.437999999</v>
      </c>
      <c r="AG213" s="353">
        <v>16</v>
      </c>
      <c r="AH213" s="354">
        <v>8.6760838326600331E-6</v>
      </c>
      <c r="AI213" s="353">
        <v>1191.1455574401721</v>
      </c>
      <c r="AJ213" s="354">
        <v>3.7044548704899686E-6</v>
      </c>
      <c r="AK213" s="353">
        <v>1034.9770000000001</v>
      </c>
      <c r="AL213" s="353">
        <v>1844150</v>
      </c>
      <c r="AM213" s="354">
        <v>1</v>
      </c>
      <c r="AN213" s="353">
        <v>321544086.53455281</v>
      </c>
      <c r="AO213" s="354">
        <v>1</v>
      </c>
      <c r="AP213" s="353">
        <v>279387126.09100002</v>
      </c>
    </row>
    <row r="214" spans="2:42" outlineLevel="1" x14ac:dyDescent="0.25">
      <c r="B214" s="352">
        <v>44593</v>
      </c>
      <c r="C214" s="353">
        <v>415749</v>
      </c>
      <c r="D214" s="354">
        <v>0.22408092911749361</v>
      </c>
      <c r="E214" s="353">
        <v>88159452.497799769</v>
      </c>
      <c r="F214" s="354">
        <v>0.23857327342571813</v>
      </c>
      <c r="G214" s="353">
        <v>76822687.174999997</v>
      </c>
      <c r="H214" s="353">
        <v>857471</v>
      </c>
      <c r="I214" s="354">
        <v>0.46216081907907502</v>
      </c>
      <c r="J214" s="353">
        <v>164541351.05767968</v>
      </c>
      <c r="K214" s="354">
        <v>0.44527464297377073</v>
      </c>
      <c r="L214" s="353">
        <v>143382341.67199999</v>
      </c>
      <c r="M214" s="353"/>
      <c r="N214" s="354"/>
      <c r="O214" s="353"/>
      <c r="P214" s="354"/>
      <c r="Q214" s="353"/>
      <c r="R214" s="353">
        <v>182599</v>
      </c>
      <c r="S214" s="354">
        <v>9.8417443159033974E-2</v>
      </c>
      <c r="T214" s="353">
        <v>38755448.23802536</v>
      </c>
      <c r="U214" s="354">
        <v>0.10487830728596513</v>
      </c>
      <c r="V214" s="353">
        <v>33771735.100000001</v>
      </c>
      <c r="W214" s="353">
        <v>313314</v>
      </c>
      <c r="X214" s="354">
        <v>0.16887038146939234</v>
      </c>
      <c r="Y214" s="353">
        <v>62060337.748493984</v>
      </c>
      <c r="Z214" s="354">
        <v>0.16794498499106933</v>
      </c>
      <c r="AA214" s="353">
        <v>54079758.638999999</v>
      </c>
      <c r="AB214" s="353">
        <v>86219</v>
      </c>
      <c r="AC214" s="354">
        <v>4.6470427175005068E-2</v>
      </c>
      <c r="AD214" s="353">
        <v>16011192.140759494</v>
      </c>
      <c r="AE214" s="354">
        <v>4.3328791323476716E-2</v>
      </c>
      <c r="AF214" s="353">
        <v>13952250.953</v>
      </c>
      <c r="AG214" s="353"/>
      <c r="AH214" s="354"/>
      <c r="AI214" s="353"/>
      <c r="AJ214" s="354"/>
      <c r="AK214" s="353"/>
      <c r="AL214" s="353">
        <v>1855352</v>
      </c>
      <c r="AM214" s="354">
        <v>1</v>
      </c>
      <c r="AN214" s="353">
        <v>369527781.68275827</v>
      </c>
      <c r="AO214" s="354">
        <v>1</v>
      </c>
      <c r="AP214" s="353">
        <v>322008773.53899997</v>
      </c>
    </row>
    <row r="215" spans="2:42" outlineLevel="1" x14ac:dyDescent="0.25">
      <c r="B215" s="352">
        <v>44621</v>
      </c>
      <c r="C215" s="353">
        <v>420201</v>
      </c>
      <c r="D215" s="354">
        <v>0.22056047000998871</v>
      </c>
      <c r="E215" s="353">
        <v>87374614.574302033</v>
      </c>
      <c r="F215" s="354">
        <v>0.22413112352385664</v>
      </c>
      <c r="G215" s="353">
        <v>77550773.550999999</v>
      </c>
      <c r="H215" s="353">
        <v>897756</v>
      </c>
      <c r="I215" s="354">
        <v>0.47122564038231091</v>
      </c>
      <c r="J215" s="353">
        <v>186800222.23050594</v>
      </c>
      <c r="K215" s="354">
        <v>0.47917514585916382</v>
      </c>
      <c r="L215" s="353">
        <v>165797603.847</v>
      </c>
      <c r="M215" s="353"/>
      <c r="N215" s="354"/>
      <c r="O215" s="353"/>
      <c r="P215" s="354"/>
      <c r="Q215" s="353"/>
      <c r="R215" s="353">
        <v>182858</v>
      </c>
      <c r="S215" s="354">
        <v>9.5980843513191347E-2</v>
      </c>
      <c r="T215" s="353">
        <v>38102713.908739813</v>
      </c>
      <c r="U215" s="354">
        <v>9.7740105856623197E-2</v>
      </c>
      <c r="V215" s="353">
        <v>33818689.243000001</v>
      </c>
      <c r="W215" s="353">
        <v>316664</v>
      </c>
      <c r="X215" s="354">
        <v>0.16621464650308559</v>
      </c>
      <c r="Y215" s="353">
        <v>61714277.368499309</v>
      </c>
      <c r="Z215" s="354">
        <v>0.15830788371949922</v>
      </c>
      <c r="AA215" s="353">
        <v>54775520.011</v>
      </c>
      <c r="AB215" s="353">
        <v>87672</v>
      </c>
      <c r="AC215" s="354">
        <v>4.601839959142346E-2</v>
      </c>
      <c r="AD215" s="353">
        <v>15845215.522483047</v>
      </c>
      <c r="AE215" s="354">
        <v>4.0645741040857095E-2</v>
      </c>
      <c r="AF215" s="353">
        <v>14063681.16</v>
      </c>
      <c r="AG215" s="353"/>
      <c r="AH215" s="354"/>
      <c r="AI215" s="353"/>
      <c r="AJ215" s="354"/>
      <c r="AK215" s="353"/>
      <c r="AL215" s="353">
        <v>1905151</v>
      </c>
      <c r="AM215" s="354">
        <v>1</v>
      </c>
      <c r="AN215" s="353">
        <v>389837043.60453016</v>
      </c>
      <c r="AO215" s="354">
        <v>0.99999999999999989</v>
      </c>
      <c r="AP215" s="353">
        <v>346006267.81200004</v>
      </c>
    </row>
    <row r="216" spans="2:42" outlineLevel="1" x14ac:dyDescent="0.25">
      <c r="B216" s="352">
        <v>44652</v>
      </c>
      <c r="C216" s="353">
        <v>422364</v>
      </c>
      <c r="D216" s="354">
        <v>0.21851921984472639</v>
      </c>
      <c r="E216" s="353">
        <v>86543359.965565011</v>
      </c>
      <c r="F216" s="354">
        <v>0.22168081950708324</v>
      </c>
      <c r="G216" s="353">
        <v>77887039.350999996</v>
      </c>
      <c r="H216" s="353">
        <v>927426</v>
      </c>
      <c r="I216" s="354">
        <v>0.47982405220074442</v>
      </c>
      <c r="J216" s="353">
        <v>190261924.47103813</v>
      </c>
      <c r="K216" s="354">
        <v>0.48735592602964117</v>
      </c>
      <c r="L216" s="353">
        <v>171231368.92500001</v>
      </c>
      <c r="M216" s="353"/>
      <c r="N216" s="354"/>
      <c r="O216" s="353"/>
      <c r="P216" s="354"/>
      <c r="Q216" s="353"/>
      <c r="R216" s="353">
        <v>182742</v>
      </c>
      <c r="S216" s="354">
        <v>9.4545556138461107E-2</v>
      </c>
      <c r="T216" s="353">
        <v>37553254.509662382</v>
      </c>
      <c r="U216" s="354">
        <v>9.6192662708871252E-2</v>
      </c>
      <c r="V216" s="353">
        <v>33797067.884999998</v>
      </c>
      <c r="W216" s="353">
        <v>311879</v>
      </c>
      <c r="X216" s="354">
        <v>0.16135739733015461</v>
      </c>
      <c r="Y216" s="353">
        <v>60366868.447764099</v>
      </c>
      <c r="Z216" s="354">
        <v>0.15462973559035961</v>
      </c>
      <c r="AA216" s="353">
        <v>54328797.266000003</v>
      </c>
      <c r="AB216" s="353">
        <v>88435</v>
      </c>
      <c r="AC216" s="354">
        <v>4.5753774485913515E-2</v>
      </c>
      <c r="AD216" s="353">
        <v>15670839.597468616</v>
      </c>
      <c r="AE216" s="354">
        <v>4.0140856164044746E-2</v>
      </c>
      <c r="AF216" s="353">
        <v>14103396.273</v>
      </c>
      <c r="AG216" s="353"/>
      <c r="AH216" s="354"/>
      <c r="AI216" s="353"/>
      <c r="AJ216" s="354"/>
      <c r="AK216" s="353"/>
      <c r="AL216" s="353">
        <v>1932846</v>
      </c>
      <c r="AM216" s="354">
        <v>1</v>
      </c>
      <c r="AN216" s="353">
        <v>390396246.99149823</v>
      </c>
      <c r="AO216" s="354">
        <v>1</v>
      </c>
      <c r="AP216" s="353">
        <v>351347669.70000005</v>
      </c>
    </row>
    <row r="217" spans="2:42" outlineLevel="1" x14ac:dyDescent="0.25">
      <c r="B217" s="352">
        <v>44682</v>
      </c>
      <c r="C217" s="353">
        <v>425810</v>
      </c>
      <c r="D217" s="354">
        <v>0.21732173834934287</v>
      </c>
      <c r="E217" s="353">
        <v>86159315.15549314</v>
      </c>
      <c r="F217" s="354">
        <v>0.21765323912180198</v>
      </c>
      <c r="G217" s="353">
        <v>78471016.553000003</v>
      </c>
      <c r="H217" s="353">
        <v>1083427</v>
      </c>
      <c r="I217" s="354">
        <v>0.55295140793925346</v>
      </c>
      <c r="J217" s="353">
        <v>219611674.16577798</v>
      </c>
      <c r="K217" s="354">
        <v>0.55477683573597758</v>
      </c>
      <c r="L217" s="353">
        <v>200014952.389</v>
      </c>
      <c r="M217" s="353"/>
      <c r="N217" s="354"/>
      <c r="O217" s="353"/>
      <c r="P217" s="354"/>
      <c r="Q217" s="353"/>
      <c r="R217" s="353">
        <v>183254</v>
      </c>
      <c r="S217" s="354">
        <v>9.3527812497288643E-2</v>
      </c>
      <c r="T217" s="353">
        <v>37210651.405799903</v>
      </c>
      <c r="U217" s="354">
        <v>9.4000501207421969E-2</v>
      </c>
      <c r="V217" s="353">
        <v>33890214.159000002</v>
      </c>
      <c r="W217" s="353">
        <v>177591</v>
      </c>
      <c r="X217" s="354">
        <v>9.0637572708950356E-2</v>
      </c>
      <c r="Y217" s="353">
        <v>37365718.712772779</v>
      </c>
      <c r="Z217" s="354">
        <v>9.4392227877760873E-2</v>
      </c>
      <c r="AA217" s="353">
        <v>34031444.265000001</v>
      </c>
      <c r="AB217" s="353">
        <v>89271</v>
      </c>
      <c r="AC217" s="354">
        <v>4.5561468505164716E-2</v>
      </c>
      <c r="AD217" s="353">
        <v>15508523.537744714</v>
      </c>
      <c r="AE217" s="354">
        <v>3.9177196057037587E-2</v>
      </c>
      <c r="AF217" s="353">
        <v>14124643.459000001</v>
      </c>
      <c r="AG217" s="353"/>
      <c r="AH217" s="354"/>
      <c r="AI217" s="353"/>
      <c r="AJ217" s="354"/>
      <c r="AK217" s="353"/>
      <c r="AL217" s="353">
        <v>1959353</v>
      </c>
      <c r="AM217" s="354">
        <v>1</v>
      </c>
      <c r="AN217" s="353">
        <v>395855882.97758853</v>
      </c>
      <c r="AO217" s="354">
        <v>1</v>
      </c>
      <c r="AP217" s="353">
        <v>360532270.82499999</v>
      </c>
    </row>
    <row r="218" spans="2:42" outlineLevel="1" x14ac:dyDescent="0.25">
      <c r="B218" s="352">
        <v>44713</v>
      </c>
      <c r="C218" s="353">
        <v>426359</v>
      </c>
      <c r="D218" s="354">
        <v>0.2155740970702564</v>
      </c>
      <c r="E218" s="353">
        <v>85450748.943356588</v>
      </c>
      <c r="F218" s="354">
        <v>0.21594644405051636</v>
      </c>
      <c r="G218" s="353">
        <v>78551504.127000004</v>
      </c>
      <c r="H218" s="353">
        <v>1102129</v>
      </c>
      <c r="I218" s="354">
        <v>0.55725448279488554</v>
      </c>
      <c r="J218" s="353">
        <v>221288395.6491223</v>
      </c>
      <c r="K218" s="354">
        <v>0.55922789139915308</v>
      </c>
      <c r="L218" s="353">
        <v>203421696.58000001</v>
      </c>
      <c r="M218" s="353"/>
      <c r="N218" s="354"/>
      <c r="O218" s="353"/>
      <c r="P218" s="354"/>
      <c r="Q218" s="353"/>
      <c r="R218" s="353">
        <v>184170</v>
      </c>
      <c r="S218" s="354">
        <v>9.3119369961532708E-2</v>
      </c>
      <c r="T218" s="353">
        <v>37050442.563025385</v>
      </c>
      <c r="U218" s="354">
        <v>9.3631845488994586E-2</v>
      </c>
      <c r="V218" s="353">
        <v>34059010.925999999</v>
      </c>
      <c r="W218" s="353">
        <v>174924</v>
      </c>
      <c r="X218" s="354">
        <v>8.8444440848950132E-2</v>
      </c>
      <c r="Y218" s="353">
        <v>36492012.976134405</v>
      </c>
      <c r="Z218" s="354">
        <v>9.2220612878012517E-2</v>
      </c>
      <c r="AA218" s="353">
        <v>33545668.625999998</v>
      </c>
      <c r="AB218" s="353">
        <v>90202</v>
      </c>
      <c r="AC218" s="354">
        <v>4.5607609324375159E-2</v>
      </c>
      <c r="AD218" s="353">
        <v>15421831.425526021</v>
      </c>
      <c r="AE218" s="354">
        <v>3.8973206183323512E-2</v>
      </c>
      <c r="AF218" s="353">
        <v>14176681.537</v>
      </c>
      <c r="AG218" s="353"/>
      <c r="AH218" s="354"/>
      <c r="AI218" s="353"/>
      <c r="AJ218" s="354"/>
      <c r="AK218" s="353"/>
      <c r="AL218" s="353">
        <v>1977784</v>
      </c>
      <c r="AM218" s="354">
        <v>1</v>
      </c>
      <c r="AN218" s="353">
        <v>395703431.55716467</v>
      </c>
      <c r="AO218" s="354">
        <v>1</v>
      </c>
      <c r="AP218" s="353">
        <v>363754561.796</v>
      </c>
    </row>
    <row r="219" spans="2:42" outlineLevel="1" x14ac:dyDescent="0.25">
      <c r="B219" s="352">
        <v>44743</v>
      </c>
      <c r="C219" s="353">
        <v>427515</v>
      </c>
      <c r="D219" s="354">
        <v>0.2140233169596639</v>
      </c>
      <c r="E219" s="353">
        <v>88593835.487025335</v>
      </c>
      <c r="F219" s="354">
        <v>0.21331631981044435</v>
      </c>
      <c r="G219" s="353">
        <v>82560432.583000004</v>
      </c>
      <c r="H219" s="353">
        <v>1120062</v>
      </c>
      <c r="I219" s="354">
        <v>0.5607274234599372</v>
      </c>
      <c r="J219" s="353">
        <v>232553574.42449483</v>
      </c>
      <c r="K219" s="354">
        <v>0.55994271364696235</v>
      </c>
      <c r="L219" s="353">
        <v>216716248.90900001</v>
      </c>
      <c r="M219" s="353"/>
      <c r="N219" s="354"/>
      <c r="O219" s="353"/>
      <c r="P219" s="354"/>
      <c r="Q219" s="353"/>
      <c r="R219" s="353">
        <v>184681</v>
      </c>
      <c r="S219" s="354">
        <v>9.2455329519262927E-2</v>
      </c>
      <c r="T219" s="353">
        <v>38416047.541736268</v>
      </c>
      <c r="U219" s="354">
        <v>9.2498195142103098E-2</v>
      </c>
      <c r="V219" s="353">
        <v>35799844.151000001</v>
      </c>
      <c r="W219" s="353">
        <v>174528</v>
      </c>
      <c r="X219" s="354">
        <v>8.7372516665698799E-2</v>
      </c>
      <c r="Y219" s="353">
        <v>39696271.373907261</v>
      </c>
      <c r="Z219" s="354">
        <v>9.5580719280617635E-2</v>
      </c>
      <c r="AA219" s="353">
        <v>36992882.388999999</v>
      </c>
      <c r="AB219" s="353">
        <v>90730</v>
      </c>
      <c r="AC219" s="354">
        <v>4.5421413395437135E-2</v>
      </c>
      <c r="AD219" s="353">
        <v>16056996.896170348</v>
      </c>
      <c r="AE219" s="354">
        <v>3.8662052119872531E-2</v>
      </c>
      <c r="AF219" s="353">
        <v>14963485.918</v>
      </c>
      <c r="AG219" s="353"/>
      <c r="AH219" s="354"/>
      <c r="AI219" s="353"/>
      <c r="AJ219" s="354"/>
      <c r="AK219" s="353"/>
      <c r="AL219" s="353">
        <v>1997516</v>
      </c>
      <c r="AM219" s="354">
        <v>1</v>
      </c>
      <c r="AN219" s="353">
        <v>415316725.72333407</v>
      </c>
      <c r="AO219" s="354">
        <v>1</v>
      </c>
      <c r="AP219" s="353">
        <v>387032893.94999999</v>
      </c>
    </row>
    <row r="220" spans="2:42" outlineLevel="1" x14ac:dyDescent="0.25">
      <c r="B220" s="352">
        <v>44774</v>
      </c>
      <c r="C220" s="353">
        <v>432035</v>
      </c>
      <c r="D220" s="354">
        <v>0.20757560761394833</v>
      </c>
      <c r="E220" s="353">
        <v>88443460.541323721</v>
      </c>
      <c r="F220" s="354">
        <v>0.20746089589048339</v>
      </c>
      <c r="G220" s="353">
        <v>83418344.5</v>
      </c>
      <c r="H220" s="353">
        <v>1198254</v>
      </c>
      <c r="I220" s="354">
        <v>0.57571331518475133</v>
      </c>
      <c r="J220" s="353">
        <v>244649269.0330224</v>
      </c>
      <c r="K220" s="354">
        <v>0.57387121921612538</v>
      </c>
      <c r="L220" s="353">
        <v>230748965.28200001</v>
      </c>
      <c r="M220" s="353"/>
      <c r="N220" s="354"/>
      <c r="O220" s="353"/>
      <c r="P220" s="354"/>
      <c r="Q220" s="353"/>
      <c r="R220" s="353">
        <v>185109</v>
      </c>
      <c r="S220" s="354">
        <v>8.8937500780747775E-2</v>
      </c>
      <c r="T220" s="353">
        <v>38043673.265237778</v>
      </c>
      <c r="U220" s="354">
        <v>8.9238644556240407E-2</v>
      </c>
      <c r="V220" s="353">
        <v>35882135.582000002</v>
      </c>
      <c r="W220" s="353">
        <v>174548</v>
      </c>
      <c r="X220" s="354">
        <v>8.3863360972605119E-2</v>
      </c>
      <c r="Y220" s="353">
        <v>39255996.409531832</v>
      </c>
      <c r="Z220" s="354">
        <v>9.2082378214835753E-2</v>
      </c>
      <c r="AA220" s="353">
        <v>37025577.833999999</v>
      </c>
      <c r="AB220" s="353">
        <v>91392</v>
      </c>
      <c r="AC220" s="354">
        <v>4.3910215447947425E-2</v>
      </c>
      <c r="AD220" s="353">
        <v>15921485.889084866</v>
      </c>
      <c r="AE220" s="354">
        <v>3.7346862122315132E-2</v>
      </c>
      <c r="AF220" s="353">
        <v>15016870.515000001</v>
      </c>
      <c r="AG220" s="353"/>
      <c r="AH220" s="354"/>
      <c r="AI220" s="353"/>
      <c r="AJ220" s="354"/>
      <c r="AK220" s="353"/>
      <c r="AL220" s="353">
        <v>2081338</v>
      </c>
      <c r="AM220" s="354">
        <v>1</v>
      </c>
      <c r="AN220" s="353">
        <v>426313885.13820058</v>
      </c>
      <c r="AO220" s="354">
        <v>1.0000000000000002</v>
      </c>
      <c r="AP220" s="353">
        <v>402091893.713</v>
      </c>
    </row>
    <row r="221" spans="2:42" outlineLevel="1" x14ac:dyDescent="0.25">
      <c r="B221" s="352">
        <v>44805</v>
      </c>
      <c r="C221" s="353">
        <v>431499</v>
      </c>
      <c r="D221" s="354">
        <v>0.20403455024581138</v>
      </c>
      <c r="E221" s="353">
        <v>87562988.513810858</v>
      </c>
      <c r="F221" s="354">
        <v>0.20418217154666926</v>
      </c>
      <c r="G221" s="353">
        <v>83301888.025999993</v>
      </c>
      <c r="H221" s="353">
        <v>1232196</v>
      </c>
      <c r="I221" s="354">
        <v>0.58264458706668565</v>
      </c>
      <c r="J221" s="353">
        <v>248920499.69852778</v>
      </c>
      <c r="K221" s="354">
        <v>0.58044076651073928</v>
      </c>
      <c r="L221" s="353">
        <v>236807216.66999999</v>
      </c>
      <c r="M221" s="353"/>
      <c r="N221" s="354"/>
      <c r="O221" s="353"/>
      <c r="P221" s="354"/>
      <c r="Q221" s="353"/>
      <c r="R221" s="353">
        <v>185298</v>
      </c>
      <c r="S221" s="354">
        <v>8.7618265839430345E-2</v>
      </c>
      <c r="T221" s="353">
        <v>37753928.041199513</v>
      </c>
      <c r="U221" s="354">
        <v>8.8035814477174401E-2</v>
      </c>
      <c r="V221" s="353">
        <v>35916698.82</v>
      </c>
      <c r="W221" s="353">
        <v>173941</v>
      </c>
      <c r="X221" s="354">
        <v>8.2248101859579453E-2</v>
      </c>
      <c r="Y221" s="353">
        <v>38807512.058292143</v>
      </c>
      <c r="Z221" s="354">
        <v>9.0492595317665084E-2</v>
      </c>
      <c r="AA221" s="353">
        <v>36919012.004000001</v>
      </c>
      <c r="AB221" s="353">
        <v>91899</v>
      </c>
      <c r="AC221" s="354">
        <v>4.3454494988493179E-2</v>
      </c>
      <c r="AD221" s="353">
        <v>15802447.786316831</v>
      </c>
      <c r="AE221" s="354">
        <v>3.6848652147752077E-2</v>
      </c>
      <c r="AF221" s="353">
        <v>15033449.159</v>
      </c>
      <c r="AG221" s="353"/>
      <c r="AH221" s="354"/>
      <c r="AI221" s="353"/>
      <c r="AJ221" s="354"/>
      <c r="AK221" s="353"/>
      <c r="AL221" s="353">
        <v>2114833</v>
      </c>
      <c r="AM221" s="354">
        <v>1</v>
      </c>
      <c r="AN221" s="353">
        <v>428847376.09814709</v>
      </c>
      <c r="AO221" s="354">
        <v>1.0000000000000002</v>
      </c>
      <c r="AP221" s="353">
        <v>407978264.67899996</v>
      </c>
    </row>
    <row r="222" spans="2:42" outlineLevel="1" x14ac:dyDescent="0.25">
      <c r="B222" s="352">
        <v>44835</v>
      </c>
      <c r="C222" s="353">
        <v>432104</v>
      </c>
      <c r="D222" s="354">
        <v>0.20257005150697879</v>
      </c>
      <c r="E222" s="353">
        <v>87227395.846077934</v>
      </c>
      <c r="F222" s="354">
        <v>0.20286291169445309</v>
      </c>
      <c r="G222" s="353">
        <v>83411697.616999999</v>
      </c>
      <c r="H222" s="353">
        <v>1250284</v>
      </c>
      <c r="I222" s="354">
        <v>0.58613226047051514</v>
      </c>
      <c r="J222" s="353">
        <v>250980395.91033927</v>
      </c>
      <c r="K222" s="354">
        <v>0.58369980438762958</v>
      </c>
      <c r="L222" s="353">
        <v>240001443.22099999</v>
      </c>
      <c r="M222" s="353"/>
      <c r="N222" s="354"/>
      <c r="O222" s="353"/>
      <c r="P222" s="354"/>
      <c r="Q222" s="353"/>
      <c r="R222" s="353">
        <v>185393</v>
      </c>
      <c r="S222" s="354">
        <v>8.6912108101367541E-2</v>
      </c>
      <c r="T222" s="353">
        <v>37578738.946015753</v>
      </c>
      <c r="U222" s="354">
        <v>8.7396079252975559E-2</v>
      </c>
      <c r="V222" s="353">
        <v>35934884.670000002</v>
      </c>
      <c r="W222" s="353">
        <v>173208</v>
      </c>
      <c r="X222" s="354">
        <v>8.1199788665276829E-2</v>
      </c>
      <c r="Y222" s="353">
        <v>38469089.626192965</v>
      </c>
      <c r="Z222" s="354">
        <v>8.9466749019714992E-2</v>
      </c>
      <c r="AA222" s="353">
        <v>36786287.615000002</v>
      </c>
      <c r="AB222" s="353">
        <v>92120</v>
      </c>
      <c r="AC222" s="354">
        <v>4.318579125586175E-2</v>
      </c>
      <c r="AD222" s="353">
        <v>15726356.748867646</v>
      </c>
      <c r="AE222" s="354">
        <v>3.6574455645226635E-2</v>
      </c>
      <c r="AF222" s="353">
        <v>15038418.847999999</v>
      </c>
      <c r="AG222" s="353"/>
      <c r="AH222" s="354"/>
      <c r="AI222" s="353"/>
      <c r="AJ222" s="354"/>
      <c r="AK222" s="353"/>
      <c r="AL222" s="353">
        <v>2133109</v>
      </c>
      <c r="AM222" s="354">
        <v>1</v>
      </c>
      <c r="AN222" s="353">
        <v>429981977.07749361</v>
      </c>
      <c r="AO222" s="354">
        <v>0.99999999999999989</v>
      </c>
      <c r="AP222" s="353">
        <v>411172731.97100002</v>
      </c>
    </row>
    <row r="223" spans="2:42" outlineLevel="1" x14ac:dyDescent="0.25">
      <c r="B223" s="352">
        <v>44866</v>
      </c>
      <c r="C223" s="353">
        <v>449028</v>
      </c>
      <c r="D223" s="354">
        <v>0.20524095110679222</v>
      </c>
      <c r="E223" s="353">
        <v>89733826.878190175</v>
      </c>
      <c r="F223" s="354">
        <v>0.2057520939666993</v>
      </c>
      <c r="G223" s="353">
        <v>86645329.694000006</v>
      </c>
      <c r="H223" s="353">
        <v>1288292</v>
      </c>
      <c r="I223" s="354">
        <v>0.58885030640243274</v>
      </c>
      <c r="J223" s="353">
        <v>255569747.80408049</v>
      </c>
      <c r="K223" s="354">
        <v>0.58599986866281051</v>
      </c>
      <c r="L223" s="353">
        <v>246773439.05500001</v>
      </c>
      <c r="M223" s="353"/>
      <c r="N223" s="354"/>
      <c r="O223" s="353"/>
      <c r="P223" s="354"/>
      <c r="Q223" s="353"/>
      <c r="R223" s="353">
        <v>185356</v>
      </c>
      <c r="S223" s="354">
        <v>8.4722203812124364E-2</v>
      </c>
      <c r="T223" s="353">
        <v>37207811.184018143</v>
      </c>
      <c r="U223" s="354">
        <v>8.5314371729865432E-2</v>
      </c>
      <c r="V223" s="353">
        <v>35927176.844999999</v>
      </c>
      <c r="W223" s="353">
        <v>172557</v>
      </c>
      <c r="X223" s="354">
        <v>7.8872058758328534E-2</v>
      </c>
      <c r="Y223" s="353">
        <v>37987656.181251474</v>
      </c>
      <c r="Z223" s="354">
        <v>8.7102490511069566E-2</v>
      </c>
      <c r="AA223" s="353">
        <v>36680180.803999998</v>
      </c>
      <c r="AB223" s="353">
        <v>92576</v>
      </c>
      <c r="AC223" s="354">
        <v>4.2314479920322112E-2</v>
      </c>
      <c r="AD223" s="353">
        <v>15626905.194160596</v>
      </c>
      <c r="AE223" s="354">
        <v>3.5831175129555339E-2</v>
      </c>
      <c r="AF223" s="353">
        <v>15089051.696</v>
      </c>
      <c r="AG223" s="353"/>
      <c r="AH223" s="354"/>
      <c r="AI223" s="353"/>
      <c r="AJ223" s="354"/>
      <c r="AK223" s="353"/>
      <c r="AL223" s="353">
        <v>2187809</v>
      </c>
      <c r="AM223" s="354">
        <v>1</v>
      </c>
      <c r="AN223" s="353">
        <v>436125947.24170083</v>
      </c>
      <c r="AO223" s="354">
        <v>1</v>
      </c>
      <c r="AP223" s="353">
        <v>421115178.09399998</v>
      </c>
    </row>
    <row r="224" spans="2:42" outlineLevel="1" x14ac:dyDescent="0.25">
      <c r="B224" s="352">
        <v>44896</v>
      </c>
      <c r="C224" s="353">
        <v>454908</v>
      </c>
      <c r="D224" s="354">
        <v>0.20508182841954073</v>
      </c>
      <c r="E224" s="353">
        <v>90657228.621026382</v>
      </c>
      <c r="F224" s="354">
        <v>0.20588053148810603</v>
      </c>
      <c r="G224" s="353">
        <v>87785234.466000006</v>
      </c>
      <c r="H224" s="353">
        <v>1312809</v>
      </c>
      <c r="I224" s="354">
        <v>0.59184114169376845</v>
      </c>
      <c r="J224" s="353">
        <v>259132392.72578245</v>
      </c>
      <c r="K224" s="354">
        <v>0.58848384791452835</v>
      </c>
      <c r="L224" s="353">
        <v>250923155.26499999</v>
      </c>
      <c r="M224" s="353"/>
      <c r="N224" s="354"/>
      <c r="O224" s="353"/>
      <c r="P224" s="354"/>
      <c r="Q224" s="353"/>
      <c r="R224" s="353">
        <v>185584</v>
      </c>
      <c r="S224" s="354">
        <v>8.366506204641827E-2</v>
      </c>
      <c r="T224" s="353">
        <v>37146823.708229467</v>
      </c>
      <c r="U224" s="354">
        <v>8.4359602918321328E-2</v>
      </c>
      <c r="V224" s="353">
        <v>35970023.333999999</v>
      </c>
      <c r="W224" s="353">
        <v>172179</v>
      </c>
      <c r="X224" s="354">
        <v>7.7621813939187934E-2</v>
      </c>
      <c r="Y224" s="353">
        <v>37837712.128789641</v>
      </c>
      <c r="Z224" s="354">
        <v>8.5928595015118306E-2</v>
      </c>
      <c r="AA224" s="353">
        <v>36639024.614</v>
      </c>
      <c r="AB224" s="353">
        <v>92698</v>
      </c>
      <c r="AC224" s="354">
        <v>4.1790153901084585E-2</v>
      </c>
      <c r="AD224" s="353">
        <v>15564848.965783345</v>
      </c>
      <c r="AE224" s="354">
        <v>3.534742266392582E-2</v>
      </c>
      <c r="AF224" s="353">
        <v>15071759.16</v>
      </c>
      <c r="AG224" s="353"/>
      <c r="AH224" s="354"/>
      <c r="AI224" s="353"/>
      <c r="AJ224" s="354"/>
      <c r="AK224" s="353"/>
      <c r="AL224" s="353">
        <v>2218178</v>
      </c>
      <c r="AM224" s="354">
        <v>1</v>
      </c>
      <c r="AN224" s="353">
        <v>440339006.14961135</v>
      </c>
      <c r="AO224" s="354">
        <v>0.99999999999999978</v>
      </c>
      <c r="AP224" s="353">
        <v>426389196.83900005</v>
      </c>
    </row>
    <row r="225" spans="2:42" x14ac:dyDescent="0.25">
      <c r="B225" s="355" t="s">
        <v>713</v>
      </c>
      <c r="C225" s="356">
        <v>430688.36363636365</v>
      </c>
      <c r="D225" s="343">
        <v>0.17046782653232118</v>
      </c>
      <c r="E225" s="356">
        <v>87809657.002179161</v>
      </c>
      <c r="F225" s="343">
        <v>0.17341619122761037</v>
      </c>
      <c r="G225" s="356"/>
      <c r="H225" s="356">
        <v>1115464.1818181819</v>
      </c>
      <c r="I225" s="343">
        <v>0.44150427711519596</v>
      </c>
      <c r="J225" s="356">
        <v>224937222.47003374</v>
      </c>
      <c r="K225" s="343">
        <v>0.44423082514834167</v>
      </c>
      <c r="L225" s="356"/>
      <c r="M225" s="356">
        <v>414941</v>
      </c>
      <c r="N225" s="343">
        <v>0.16423496983278071</v>
      </c>
      <c r="O225" s="356">
        <v>83970557.420477182</v>
      </c>
      <c r="P225" s="343">
        <v>0.16583431413195393</v>
      </c>
      <c r="Q225" s="356"/>
      <c r="R225" s="356">
        <v>184115.66666666666</v>
      </c>
      <c r="S225" s="343">
        <v>7.2873567472827E-2</v>
      </c>
      <c r="T225" s="356">
        <v>37647161.30064775</v>
      </c>
      <c r="U225" s="343">
        <v>7.4349764549562047E-2</v>
      </c>
      <c r="V225" s="356"/>
      <c r="W225" s="356">
        <v>291386.5</v>
      </c>
      <c r="X225" s="343">
        <v>0.11533170507898607</v>
      </c>
      <c r="Y225" s="356">
        <v>56294094.081357263</v>
      </c>
      <c r="Z225" s="343">
        <v>0.11117578313687605</v>
      </c>
      <c r="AA225" s="356"/>
      <c r="AB225" s="356">
        <v>89896.5</v>
      </c>
      <c r="AC225" s="343">
        <v>3.5581321116911979E-2</v>
      </c>
      <c r="AD225" s="356">
        <v>15692241.952678612</v>
      </c>
      <c r="AE225" s="343">
        <v>3.0990769400091267E-2</v>
      </c>
      <c r="AF225" s="356"/>
      <c r="AG225" s="356">
        <v>16</v>
      </c>
      <c r="AH225" s="343">
        <v>6.3328509771858927E-6</v>
      </c>
      <c r="AI225" s="356">
        <v>1191.1455574401721</v>
      </c>
      <c r="AJ225" s="343">
        <v>2.3524055647300517E-6</v>
      </c>
      <c r="AK225" s="356"/>
      <c r="AL225" s="356">
        <v>2526508.2121212119</v>
      </c>
      <c r="AM225" s="343">
        <v>1.0000000000000002</v>
      </c>
      <c r="AN225" s="356">
        <v>506352125.37293112</v>
      </c>
      <c r="AO225" s="343">
        <v>0.99999999999999989</v>
      </c>
      <c r="AP225" s="356"/>
    </row>
    <row r="226" spans="2:42" outlineLevel="1" x14ac:dyDescent="0.25">
      <c r="B226" s="352">
        <v>44927</v>
      </c>
      <c r="C226" s="353">
        <v>457306</v>
      </c>
      <c r="D226" s="354">
        <v>0.20381334988895816</v>
      </c>
      <c r="E226" s="353">
        <v>90545862.26564613</v>
      </c>
      <c r="F226" s="354">
        <v>0.20500183171815828</v>
      </c>
      <c r="G226" s="353">
        <v>88383295.365999997</v>
      </c>
      <c r="H226" s="353">
        <v>1335289</v>
      </c>
      <c r="I226" s="354">
        <v>0.59511513988418485</v>
      </c>
      <c r="J226" s="353">
        <v>261215125.19488674</v>
      </c>
      <c r="K226" s="354">
        <v>0.59140835149743765</v>
      </c>
      <c r="L226" s="353">
        <v>254976351.06099999</v>
      </c>
      <c r="M226" s="353"/>
      <c r="N226" s="354"/>
      <c r="O226" s="353"/>
      <c r="P226" s="354"/>
      <c r="Q226" s="353"/>
      <c r="R226" s="353">
        <v>186106</v>
      </c>
      <c r="S226" s="354">
        <v>8.2944215239761671E-2</v>
      </c>
      <c r="T226" s="353">
        <v>36952976.676813938</v>
      </c>
      <c r="U226" s="354">
        <v>8.3663987692338987E-2</v>
      </c>
      <c r="V226" s="353">
        <v>36070404.218999997</v>
      </c>
      <c r="W226" s="353">
        <v>171688</v>
      </c>
      <c r="X226" s="354">
        <v>7.6518362793699293E-2</v>
      </c>
      <c r="Y226" s="353">
        <v>37457657.845999986</v>
      </c>
      <c r="Z226" s="354">
        <v>8.4806619299438446E-2</v>
      </c>
      <c r="AA226" s="353">
        <v>36563031.752999999</v>
      </c>
      <c r="AB226" s="353">
        <v>93360</v>
      </c>
      <c r="AC226" s="354">
        <v>4.160893219339596E-2</v>
      </c>
      <c r="AD226" s="353">
        <v>15511564.487547161</v>
      </c>
      <c r="AE226" s="354">
        <v>3.5119209792626643E-2</v>
      </c>
      <c r="AF226" s="353">
        <v>15141091.502</v>
      </c>
      <c r="AG226" s="353"/>
      <c r="AH226" s="354"/>
      <c r="AI226" s="353"/>
      <c r="AJ226" s="354"/>
      <c r="AK226" s="353"/>
      <c r="AL226" s="353">
        <v>2243749</v>
      </c>
      <c r="AM226" s="354">
        <v>1</v>
      </c>
      <c r="AN226" s="353">
        <v>441683186.47089398</v>
      </c>
      <c r="AO226" s="354">
        <v>0.99999999999999989</v>
      </c>
      <c r="AP226" s="353">
        <v>431134173.90099996</v>
      </c>
    </row>
    <row r="227" spans="2:42" outlineLevel="1" x14ac:dyDescent="0.25">
      <c r="B227" s="352">
        <v>44958</v>
      </c>
      <c r="C227" s="353">
        <v>459142</v>
      </c>
      <c r="D227" s="354">
        <v>0.20303144068384957</v>
      </c>
      <c r="E227" s="353">
        <v>96675492.084990114</v>
      </c>
      <c r="F227" s="354">
        <v>0.20488689956497974</v>
      </c>
      <c r="G227" s="353">
        <v>94305923.835999995</v>
      </c>
      <c r="H227" s="353">
        <v>1350704</v>
      </c>
      <c r="I227" s="354">
        <v>0.59727792068126717</v>
      </c>
      <c r="J227" s="353">
        <v>281611474.55338502</v>
      </c>
      <c r="K227" s="354">
        <v>0.59682656543853829</v>
      </c>
      <c r="L227" s="353">
        <v>274709026.01899999</v>
      </c>
      <c r="M227" s="353"/>
      <c r="N227" s="354"/>
      <c r="O227" s="353"/>
      <c r="P227" s="354"/>
      <c r="Q227" s="353"/>
      <c r="R227" s="353">
        <v>186512</v>
      </c>
      <c r="S227" s="354">
        <v>8.2475138551529048E-2</v>
      </c>
      <c r="T227" s="353">
        <v>39400824.29621774</v>
      </c>
      <c r="U227" s="354">
        <v>8.3503197721089759E-2</v>
      </c>
      <c r="V227" s="353">
        <v>38435088.924999997</v>
      </c>
      <c r="W227" s="353">
        <v>171323</v>
      </c>
      <c r="X227" s="354">
        <v>7.575860085176081E-2</v>
      </c>
      <c r="Y227" s="353">
        <v>37436392.408271872</v>
      </c>
      <c r="Z227" s="354">
        <v>7.9339925828209493E-2</v>
      </c>
      <c r="AA227" s="353">
        <v>36518806.318000004</v>
      </c>
      <c r="AB227" s="353">
        <v>93752</v>
      </c>
      <c r="AC227" s="354">
        <v>4.1456899231593416E-2</v>
      </c>
      <c r="AD227" s="353">
        <v>16723905.970085945</v>
      </c>
      <c r="AE227" s="354">
        <v>3.544341144718275E-2</v>
      </c>
      <c r="AF227" s="353">
        <v>16313994.050000001</v>
      </c>
      <c r="AG227" s="353"/>
      <c r="AH227" s="354"/>
      <c r="AI227" s="353"/>
      <c r="AJ227" s="354"/>
      <c r="AK227" s="353"/>
      <c r="AL227" s="353">
        <v>2261433</v>
      </c>
      <c r="AM227" s="354">
        <v>1</v>
      </c>
      <c r="AN227" s="353">
        <v>471848089.31295067</v>
      </c>
      <c r="AO227" s="354">
        <v>1</v>
      </c>
      <c r="AP227" s="353">
        <v>460282839.14800006</v>
      </c>
    </row>
    <row r="228" spans="2:42" outlineLevel="1" x14ac:dyDescent="0.25">
      <c r="B228" s="352">
        <v>44986</v>
      </c>
      <c r="C228" s="353">
        <v>461107</v>
      </c>
      <c r="D228" s="354">
        <v>0.20229376856031409</v>
      </c>
      <c r="E228" s="353">
        <v>96031828.442588583</v>
      </c>
      <c r="F228" s="354">
        <v>0.20416426225602519</v>
      </c>
      <c r="G228" s="353">
        <v>94696215.527999997</v>
      </c>
      <c r="H228" s="353">
        <v>1365633</v>
      </c>
      <c r="I228" s="354">
        <v>0.59912134502475001</v>
      </c>
      <c r="J228" s="353">
        <v>281569013.24347025</v>
      </c>
      <c r="K228" s="354">
        <v>0.59861746668061799</v>
      </c>
      <c r="L228" s="353">
        <v>277652944.82599998</v>
      </c>
      <c r="M228" s="353"/>
      <c r="N228" s="354"/>
      <c r="O228" s="353"/>
      <c r="P228" s="354"/>
      <c r="Q228" s="353"/>
      <c r="R228" s="353">
        <v>187117</v>
      </c>
      <c r="S228" s="354">
        <v>8.209071450162389E-2</v>
      </c>
      <c r="T228" s="353">
        <v>39103104.645388193</v>
      </c>
      <c r="U228" s="354">
        <v>8.3133442748292985E-2</v>
      </c>
      <c r="V228" s="353">
        <v>38559257.751999997</v>
      </c>
      <c r="W228" s="353">
        <v>171191</v>
      </c>
      <c r="X228" s="354">
        <v>7.5103766660685536E-2</v>
      </c>
      <c r="Y228" s="353">
        <v>37036582.499075219</v>
      </c>
      <c r="Z228" s="354">
        <v>7.8740003861622623E-2</v>
      </c>
      <c r="AA228" s="353">
        <v>36521476.843999997</v>
      </c>
      <c r="AB228" s="353">
        <v>94345</v>
      </c>
      <c r="AC228" s="354">
        <v>4.1390405252626467E-2</v>
      </c>
      <c r="AD228" s="353">
        <v>16624986.570812562</v>
      </c>
      <c r="AE228" s="354">
        <v>3.5344824453441177E-2</v>
      </c>
      <c r="AF228" s="353">
        <v>16393765.869000001</v>
      </c>
      <c r="AG228" s="353"/>
      <c r="AH228" s="354"/>
      <c r="AI228" s="353"/>
      <c r="AJ228" s="354"/>
      <c r="AK228" s="353"/>
      <c r="AL228" s="353">
        <v>2279393</v>
      </c>
      <c r="AM228" s="354">
        <v>1</v>
      </c>
      <c r="AN228" s="353">
        <v>470365515.40133482</v>
      </c>
      <c r="AO228" s="354">
        <v>1</v>
      </c>
      <c r="AP228" s="353">
        <v>463823660.81899995</v>
      </c>
    </row>
    <row r="229" spans="2:42" outlineLevel="1" x14ac:dyDescent="0.25">
      <c r="B229" s="352">
        <v>45017</v>
      </c>
      <c r="C229" s="353">
        <v>470695</v>
      </c>
      <c r="D229" s="354">
        <v>0.20188791005834525</v>
      </c>
      <c r="E229" s="353">
        <v>97735338.370160118</v>
      </c>
      <c r="F229" s="354">
        <v>0.20423114388414484</v>
      </c>
      <c r="G229" s="353">
        <v>96673533.216999993</v>
      </c>
      <c r="H229" s="353">
        <v>1407340</v>
      </c>
      <c r="I229" s="354">
        <v>0.60362853087776924</v>
      </c>
      <c r="J229" s="353">
        <v>288150000.34358698</v>
      </c>
      <c r="K229" s="354">
        <v>0.60212820829968017</v>
      </c>
      <c r="L229" s="353">
        <v>285019513.86500001</v>
      </c>
      <c r="M229" s="353"/>
      <c r="N229" s="354"/>
      <c r="O229" s="353"/>
      <c r="P229" s="354"/>
      <c r="Q229" s="353"/>
      <c r="R229" s="353">
        <v>187578</v>
      </c>
      <c r="S229" s="354">
        <v>8.0454923874110157E-2</v>
      </c>
      <c r="T229" s="353">
        <v>39076932.268522836</v>
      </c>
      <c r="U229" s="354">
        <v>8.165650940356585E-2</v>
      </c>
      <c r="V229" s="353">
        <v>38652397.103</v>
      </c>
      <c r="W229" s="353">
        <v>171064</v>
      </c>
      <c r="X229" s="354">
        <v>7.3371829839324346E-2</v>
      </c>
      <c r="Y229" s="353">
        <v>36941511.057139866</v>
      </c>
      <c r="Z229" s="354">
        <v>7.7194259372533436E-2</v>
      </c>
      <c r="AA229" s="353">
        <v>36540175.292000003</v>
      </c>
      <c r="AB229" s="353">
        <v>94790</v>
      </c>
      <c r="AC229" s="354">
        <v>4.0656805350451027E-2</v>
      </c>
      <c r="AD229" s="353">
        <v>16648785.954837451</v>
      </c>
      <c r="AE229" s="354">
        <v>3.4789879040075675E-2</v>
      </c>
      <c r="AF229" s="353">
        <v>16467912.107000001</v>
      </c>
      <c r="AG229" s="353"/>
      <c r="AH229" s="354"/>
      <c r="AI229" s="353"/>
      <c r="AJ229" s="354"/>
      <c r="AK229" s="353"/>
      <c r="AL229" s="353">
        <v>2331467</v>
      </c>
      <c r="AM229" s="354">
        <v>1</v>
      </c>
      <c r="AN229" s="353">
        <v>478552567.99424726</v>
      </c>
      <c r="AO229" s="354">
        <v>1</v>
      </c>
      <c r="AP229" s="353">
        <v>473353531.58399999</v>
      </c>
    </row>
    <row r="230" spans="2:42" outlineLevel="1" x14ac:dyDescent="0.25">
      <c r="B230" s="352">
        <v>45047</v>
      </c>
      <c r="C230" s="353">
        <v>475428</v>
      </c>
      <c r="D230" s="354">
        <v>0.20231168121573903</v>
      </c>
      <c r="E230" s="353">
        <v>98572930.701727256</v>
      </c>
      <c r="F230" s="354">
        <v>0.20469400468882393</v>
      </c>
      <c r="G230" s="353">
        <v>97611565.410999998</v>
      </c>
      <c r="H230" s="353">
        <v>1420853</v>
      </c>
      <c r="I230" s="354">
        <v>0.6046239581817362</v>
      </c>
      <c r="J230" s="353">
        <v>290463072.44925416</v>
      </c>
      <c r="K230" s="354">
        <v>0.60316812222786043</v>
      </c>
      <c r="L230" s="353">
        <v>287630234.73100001</v>
      </c>
      <c r="M230" s="353"/>
      <c r="N230" s="354"/>
      <c r="O230" s="353"/>
      <c r="P230" s="354"/>
      <c r="Q230" s="353"/>
      <c r="R230" s="353">
        <v>188110</v>
      </c>
      <c r="S230" s="354">
        <v>8.0047557892031329E-2</v>
      </c>
      <c r="T230" s="353">
        <v>39143550.860395543</v>
      </c>
      <c r="U230" s="354">
        <v>8.1284487803248651E-2</v>
      </c>
      <c r="V230" s="353">
        <v>38761790.362000003</v>
      </c>
      <c r="W230" s="353">
        <v>170272</v>
      </c>
      <c r="X230" s="354">
        <v>7.2456848532199025E-2</v>
      </c>
      <c r="Y230" s="353">
        <v>36708587.267115258</v>
      </c>
      <c r="Z230" s="354">
        <v>7.6228105228115406E-2</v>
      </c>
      <c r="AA230" s="353">
        <v>36350574.560999997</v>
      </c>
      <c r="AB230" s="353">
        <v>95315</v>
      </c>
      <c r="AC230" s="354">
        <v>4.0559954178294437E-2</v>
      </c>
      <c r="AD230" s="353">
        <v>16674232.038586307</v>
      </c>
      <c r="AE230" s="354">
        <v>3.4625280051951597E-2</v>
      </c>
      <c r="AF230" s="353">
        <v>16511611.045</v>
      </c>
      <c r="AG230" s="353"/>
      <c r="AH230" s="354"/>
      <c r="AI230" s="353"/>
      <c r="AJ230" s="354"/>
      <c r="AK230" s="353"/>
      <c r="AL230" s="353">
        <v>2349978</v>
      </c>
      <c r="AM230" s="354">
        <v>1</v>
      </c>
      <c r="AN230" s="353">
        <v>481562373.31707853</v>
      </c>
      <c r="AO230" s="354">
        <v>1</v>
      </c>
      <c r="AP230" s="353">
        <v>476865776.11000001</v>
      </c>
    </row>
    <row r="231" spans="2:42" outlineLevel="1" x14ac:dyDescent="0.25">
      <c r="B231" s="352">
        <v>45078</v>
      </c>
      <c r="C231" s="353">
        <v>475539</v>
      </c>
      <c r="D231" s="354">
        <v>0.20136007469401496</v>
      </c>
      <c r="E231" s="353">
        <v>98708271.076801732</v>
      </c>
      <c r="F231" s="354">
        <v>0.2021347643557509</v>
      </c>
      <c r="G231" s="353">
        <v>97596437.898000002</v>
      </c>
      <c r="H231" s="353">
        <v>1431559</v>
      </c>
      <c r="I231" s="354">
        <v>0.60617284211997202</v>
      </c>
      <c r="J231" s="353">
        <v>292936719.05074173</v>
      </c>
      <c r="K231" s="354">
        <v>0.59987571487699343</v>
      </c>
      <c r="L231" s="353">
        <v>289637129.66500002</v>
      </c>
      <c r="M231" s="353"/>
      <c r="N231" s="354"/>
      <c r="O231" s="353"/>
      <c r="P231" s="354"/>
      <c r="Q231" s="353"/>
      <c r="R231" s="353">
        <v>188897</v>
      </c>
      <c r="S231" s="354">
        <v>7.9985687881488882E-2</v>
      </c>
      <c r="T231" s="353">
        <v>39367057.405745342</v>
      </c>
      <c r="U231" s="354">
        <v>8.0615846932403631E-2</v>
      </c>
      <c r="V231" s="353">
        <v>38923633.566</v>
      </c>
      <c r="W231" s="353">
        <v>169773</v>
      </c>
      <c r="X231" s="354">
        <v>7.1887908165317677E-2</v>
      </c>
      <c r="Y231" s="353">
        <v>40568825.332293935</v>
      </c>
      <c r="Z231" s="354">
        <v>8.3076826888725544E-2</v>
      </c>
      <c r="AA231" s="353">
        <v>40111864.983000003</v>
      </c>
      <c r="AB231" s="353">
        <v>95867</v>
      </c>
      <c r="AC231" s="354">
        <v>4.0593487139206526E-2</v>
      </c>
      <c r="AD231" s="353">
        <v>16748145.605867546</v>
      </c>
      <c r="AE231" s="354">
        <v>3.4296846946126572E-2</v>
      </c>
      <c r="AF231" s="353">
        <v>16559497.342</v>
      </c>
      <c r="AG231" s="353"/>
      <c r="AH231" s="354"/>
      <c r="AI231" s="353"/>
      <c r="AJ231" s="354"/>
      <c r="AK231" s="353"/>
      <c r="AL231" s="353">
        <v>2361635</v>
      </c>
      <c r="AM231" s="354">
        <v>1</v>
      </c>
      <c r="AN231" s="353">
        <v>488329018.47145027</v>
      </c>
      <c r="AO231" s="354">
        <v>1</v>
      </c>
      <c r="AP231" s="353">
        <v>482828563.454</v>
      </c>
    </row>
    <row r="232" spans="2:42" outlineLevel="1" x14ac:dyDescent="0.25">
      <c r="B232" s="352">
        <v>45108</v>
      </c>
      <c r="C232" s="353">
        <v>477277</v>
      </c>
      <c r="D232" s="354">
        <v>0.2010089255970017</v>
      </c>
      <c r="E232" s="353">
        <v>98641677.173481748</v>
      </c>
      <c r="F232" s="354">
        <v>0.20167806453184214</v>
      </c>
      <c r="G232" s="353">
        <v>97873655.709999993</v>
      </c>
      <c r="H232" s="353">
        <v>1441966</v>
      </c>
      <c r="I232" s="354">
        <v>0.60729521097267658</v>
      </c>
      <c r="J232" s="353">
        <v>294000197.82470781</v>
      </c>
      <c r="K232" s="354">
        <v>0.60109877050231131</v>
      </c>
      <c r="L232" s="353">
        <v>291711120.13800001</v>
      </c>
      <c r="M232" s="353"/>
      <c r="N232" s="354"/>
      <c r="O232" s="353"/>
      <c r="P232" s="354"/>
      <c r="Q232" s="353"/>
      <c r="R232" s="353">
        <v>189616</v>
      </c>
      <c r="S232" s="354">
        <v>7.9858255134861042E-2</v>
      </c>
      <c r="T232" s="353">
        <v>39377900.318991452</v>
      </c>
      <c r="U232" s="354">
        <v>8.0510175305464046E-2</v>
      </c>
      <c r="V232" s="353">
        <v>39071305.038999997</v>
      </c>
      <c r="W232" s="353">
        <v>169312</v>
      </c>
      <c r="X232" s="354">
        <v>7.1307067406725128E-2</v>
      </c>
      <c r="Y232" s="353">
        <v>40351407.237856686</v>
      </c>
      <c r="Z232" s="354">
        <v>8.2500561081851456E-2</v>
      </c>
      <c r="AA232" s="353">
        <v>40037232.259000003</v>
      </c>
      <c r="AB232" s="353">
        <v>96236</v>
      </c>
      <c r="AC232" s="354">
        <v>4.0530540888735589E-2</v>
      </c>
      <c r="AD232" s="353">
        <v>16733457.56762477</v>
      </c>
      <c r="AE232" s="354">
        <v>3.421242857853115E-2</v>
      </c>
      <c r="AF232" s="353">
        <v>16603171.313999999</v>
      </c>
      <c r="AG232" s="353"/>
      <c r="AH232" s="354"/>
      <c r="AI232" s="353"/>
      <c r="AJ232" s="354"/>
      <c r="AK232" s="353"/>
      <c r="AL232" s="353">
        <v>2374407</v>
      </c>
      <c r="AM232" s="354">
        <v>1</v>
      </c>
      <c r="AN232" s="353">
        <v>489104640.12266243</v>
      </c>
      <c r="AO232" s="354">
        <v>1</v>
      </c>
      <c r="AP232" s="353">
        <v>485296484.45999998</v>
      </c>
    </row>
    <row r="233" spans="2:42" outlineLevel="1" x14ac:dyDescent="0.25">
      <c r="B233" s="352">
        <v>45139</v>
      </c>
      <c r="C233" s="353">
        <v>478208</v>
      </c>
      <c r="D233" s="354">
        <v>0.20048800529930152</v>
      </c>
      <c r="E233" s="353">
        <v>98669890.688520044</v>
      </c>
      <c r="F233" s="354">
        <v>0.20108635679308393</v>
      </c>
      <c r="G233" s="353">
        <v>98010765.216000006</v>
      </c>
      <c r="H233" s="353">
        <v>1451098</v>
      </c>
      <c r="I233" s="354">
        <v>0.60837071632805362</v>
      </c>
      <c r="J233" s="353">
        <v>295482231.47272307</v>
      </c>
      <c r="K233" s="354">
        <v>0.60218416184840928</v>
      </c>
      <c r="L233" s="353">
        <v>293508378.41500002</v>
      </c>
      <c r="M233" s="353"/>
      <c r="N233" s="354"/>
      <c r="O233" s="353"/>
      <c r="P233" s="354"/>
      <c r="Q233" s="353"/>
      <c r="R233" s="353">
        <v>190382</v>
      </c>
      <c r="S233" s="354">
        <v>7.981737533644695E-2</v>
      </c>
      <c r="T233" s="353">
        <v>39492905.050506584</v>
      </c>
      <c r="U233" s="354">
        <v>8.0485387592564975E-2</v>
      </c>
      <c r="V233" s="353">
        <v>39229088.200999998</v>
      </c>
      <c r="W233" s="353">
        <v>168920</v>
      </c>
      <c r="X233" s="354">
        <v>7.0819463194170762E-2</v>
      </c>
      <c r="Y233" s="353">
        <v>40268071.220820926</v>
      </c>
      <c r="Z233" s="354">
        <v>8.2065153618553835E-2</v>
      </c>
      <c r="AA233" s="353">
        <v>39999076.178000003</v>
      </c>
      <c r="AB233" s="353">
        <v>96612</v>
      </c>
      <c r="AC233" s="354">
        <v>4.0504439842027153E-2</v>
      </c>
      <c r="AD233" s="353">
        <v>16771064.640961466</v>
      </c>
      <c r="AE233" s="354">
        <v>3.4178940147388086E-2</v>
      </c>
      <c r="AF233" s="353">
        <v>16659032.127</v>
      </c>
      <c r="AG233" s="353"/>
      <c r="AH233" s="354"/>
      <c r="AI233" s="353"/>
      <c r="AJ233" s="354"/>
      <c r="AK233" s="353"/>
      <c r="AL233" s="353">
        <v>2385220</v>
      </c>
      <c r="AM233" s="354">
        <v>1</v>
      </c>
      <c r="AN233" s="353">
        <v>490684163.07353204</v>
      </c>
      <c r="AO233" s="354">
        <v>1</v>
      </c>
      <c r="AP233" s="353">
        <v>487406340.13699996</v>
      </c>
    </row>
    <row r="234" spans="2:42" outlineLevel="1" x14ac:dyDescent="0.25">
      <c r="B234" s="352">
        <v>45170</v>
      </c>
      <c r="C234" s="353">
        <v>482355</v>
      </c>
      <c r="D234" s="354">
        <v>0.20087997301360563</v>
      </c>
      <c r="E234" s="353">
        <v>98817812.332000002</v>
      </c>
      <c r="F234" s="354">
        <v>0.20147342867897175</v>
      </c>
      <c r="G234" s="353">
        <v>98817812.332000002</v>
      </c>
      <c r="H234" s="353">
        <v>1462419</v>
      </c>
      <c r="I234" s="354">
        <v>0.60903419525988978</v>
      </c>
      <c r="J234" s="353">
        <v>295710937.09200001</v>
      </c>
      <c r="K234" s="354">
        <v>0.60290644963513274</v>
      </c>
      <c r="L234" s="353">
        <v>295710937.09200001</v>
      </c>
      <c r="M234" s="353"/>
      <c r="N234" s="354"/>
      <c r="O234" s="353"/>
      <c r="P234" s="354"/>
      <c r="Q234" s="353"/>
      <c r="R234" s="353">
        <v>190911</v>
      </c>
      <c r="S234" s="354">
        <v>7.9506165641489088E-2</v>
      </c>
      <c r="T234" s="353">
        <v>39340688.876000002</v>
      </c>
      <c r="U234" s="354">
        <v>8.0209258709461495E-2</v>
      </c>
      <c r="V234" s="353">
        <v>39340688.876000002</v>
      </c>
      <c r="W234" s="353">
        <v>168514</v>
      </c>
      <c r="X234" s="354">
        <v>7.0178784862631752E-2</v>
      </c>
      <c r="Y234" s="353">
        <v>39912495.733000003</v>
      </c>
      <c r="Z234" s="354">
        <v>8.1375079782638915E-2</v>
      </c>
      <c r="AA234" s="353">
        <v>39912495.733000003</v>
      </c>
      <c r="AB234" s="353">
        <v>97011</v>
      </c>
      <c r="AC234" s="354">
        <v>4.0400881222383715E-2</v>
      </c>
      <c r="AD234" s="353">
        <v>16693723.129000001</v>
      </c>
      <c r="AE234" s="354">
        <v>3.4035783193795084E-2</v>
      </c>
      <c r="AF234" s="353">
        <v>16693723.129000001</v>
      </c>
      <c r="AG234" s="353"/>
      <c r="AH234" s="354"/>
      <c r="AI234" s="353"/>
      <c r="AJ234" s="354"/>
      <c r="AK234" s="353"/>
      <c r="AL234" s="353">
        <v>2401210</v>
      </c>
      <c r="AM234" s="354">
        <v>1</v>
      </c>
      <c r="AN234" s="353">
        <v>490475657.162</v>
      </c>
      <c r="AO234" s="354">
        <v>1</v>
      </c>
      <c r="AP234" s="353">
        <v>490475657.162</v>
      </c>
    </row>
    <row r="235" spans="2:42" ht="30" x14ac:dyDescent="0.25">
      <c r="B235" s="355" t="s">
        <v>861</v>
      </c>
      <c r="C235" s="356">
        <v>470784.11111111112</v>
      </c>
      <c r="D235" s="343">
        <v>0.20187524668280124</v>
      </c>
      <c r="E235" s="356">
        <v>97155455.903990641</v>
      </c>
      <c r="F235" s="343">
        <v>0.20322550180391943</v>
      </c>
      <c r="G235" s="356"/>
      <c r="H235" s="356">
        <v>1407429</v>
      </c>
      <c r="I235" s="343">
        <v>0.60351458313441486</v>
      </c>
      <c r="J235" s="356">
        <v>286793196.80275065</v>
      </c>
      <c r="K235" s="343">
        <v>0.59990137241273789</v>
      </c>
      <c r="L235" s="356"/>
      <c r="M235" s="356"/>
      <c r="N235" s="343"/>
      <c r="O235" s="356"/>
      <c r="P235" s="343"/>
      <c r="Q235" s="356"/>
      <c r="R235" s="356">
        <v>188358.77777777778</v>
      </c>
      <c r="S235" s="343">
        <v>8.0769452135960984E-2</v>
      </c>
      <c r="T235" s="356">
        <v>39028437.822064616</v>
      </c>
      <c r="U235" s="343">
        <v>8.1637966568240489E-2</v>
      </c>
      <c r="V235" s="356"/>
      <c r="W235" s="356">
        <v>170228.55555555556</v>
      </c>
      <c r="X235" s="343">
        <v>7.2995096551005195E-2</v>
      </c>
      <c r="Y235" s="356">
        <v>38520170.06684152</v>
      </c>
      <c r="Z235" s="343">
        <v>8.0574794473118619E-2</v>
      </c>
      <c r="AA235" s="356"/>
      <c r="AB235" s="356">
        <v>95254.222222222219</v>
      </c>
      <c r="AC235" s="343">
        <v>4.0845621495817802E-2</v>
      </c>
      <c r="AD235" s="356">
        <v>16569985.107258134</v>
      </c>
      <c r="AE235" s="343">
        <v>3.466036474198346E-2</v>
      </c>
      <c r="AF235" s="356"/>
      <c r="AG235" s="356"/>
      <c r="AH235" s="343"/>
      <c r="AI235" s="356"/>
      <c r="AJ235" s="343"/>
      <c r="AK235" s="356"/>
      <c r="AL235" s="356">
        <v>2332054.6666666665</v>
      </c>
      <c r="AM235" s="343">
        <v>1</v>
      </c>
      <c r="AN235" s="356">
        <v>478067245.7029056</v>
      </c>
      <c r="AO235" s="343">
        <v>0.99999999999999989</v>
      </c>
      <c r="AP235" s="356"/>
    </row>
    <row r="236" spans="2:42" x14ac:dyDescent="0.25">
      <c r="B236" s="4" t="s">
        <v>812</v>
      </c>
      <c r="N236" s="226"/>
      <c r="O236" s="226"/>
      <c r="P236" s="226"/>
      <c r="Q236" s="226"/>
      <c r="R236" s="226"/>
      <c r="S236" s="226"/>
      <c r="T236" s="226"/>
      <c r="U236" s="226"/>
      <c r="V236" s="226"/>
      <c r="W236" s="226"/>
      <c r="X236" s="226"/>
      <c r="Y236" s="226"/>
      <c r="Z236" s="226"/>
    </row>
    <row r="237" spans="2:42" ht="15" customHeight="1" x14ac:dyDescent="0.25">
      <c r="B237" s="258" t="s">
        <v>876</v>
      </c>
      <c r="C237" s="260"/>
      <c r="D237" s="260"/>
      <c r="E237" s="260"/>
      <c r="F237" s="260"/>
      <c r="G237" s="260"/>
      <c r="H237" s="260"/>
      <c r="I237" s="260"/>
      <c r="J237" s="260"/>
      <c r="K237" s="260"/>
      <c r="L237" s="260"/>
      <c r="M237" s="260"/>
      <c r="N237" s="260"/>
      <c r="O237" s="260"/>
      <c r="P237" s="260"/>
    </row>
  </sheetData>
  <mergeCells count="31">
    <mergeCell ref="AI35:AJ35"/>
    <mergeCell ref="AL35:AM35"/>
    <mergeCell ref="AN35:AO35"/>
    <mergeCell ref="M34:Q34"/>
    <mergeCell ref="R34:V34"/>
    <mergeCell ref="W34:AA34"/>
    <mergeCell ref="AB34:AF34"/>
    <mergeCell ref="AG34:AK34"/>
    <mergeCell ref="AL34:AP34"/>
    <mergeCell ref="O35:P35"/>
    <mergeCell ref="R35:S35"/>
    <mergeCell ref="T35:U35"/>
    <mergeCell ref="AB35:AC35"/>
    <mergeCell ref="AD35:AE35"/>
    <mergeCell ref="B21:B26"/>
    <mergeCell ref="B28:L28"/>
    <mergeCell ref="AG35:AH35"/>
    <mergeCell ref="C35:D35"/>
    <mergeCell ref="E35:F35"/>
    <mergeCell ref="W35:X35"/>
    <mergeCell ref="Y35:Z35"/>
    <mergeCell ref="C34:G34"/>
    <mergeCell ref="H34:L34"/>
    <mergeCell ref="H35:I35"/>
    <mergeCell ref="J35:K35"/>
    <mergeCell ref="M35:N35"/>
    <mergeCell ref="D7:F7"/>
    <mergeCell ref="G7:I7"/>
    <mergeCell ref="J7:L7"/>
    <mergeCell ref="B9:B14"/>
    <mergeCell ref="B15:B20"/>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67"/>
  <sheetViews>
    <sheetView showGridLines="0" workbookViewId="0"/>
    <sheetView workbookViewId="1"/>
  </sheetViews>
  <sheetFormatPr baseColWidth="10" defaultRowHeight="15" outlineLevelRow="1" x14ac:dyDescent="0.25"/>
  <cols>
    <col min="2" max="2" width="20.7109375" customWidth="1"/>
    <col min="3" max="3" width="13.85546875" customWidth="1"/>
    <col min="4" max="4" width="14.2851562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14.85546875" customWidth="1"/>
    <col min="14" max="14" width="15.7109375" customWidth="1"/>
    <col min="18" max="18" width="13.5703125" bestFit="1" customWidth="1"/>
    <col min="22" max="23" width="12" bestFit="1" customWidth="1"/>
  </cols>
  <sheetData>
    <row r="2" spans="2:12" ht="23.25" x14ac:dyDescent="0.25">
      <c r="B2" s="1" t="s">
        <v>720</v>
      </c>
      <c r="C2" s="4"/>
      <c r="D2" s="4"/>
      <c r="E2" s="4"/>
    </row>
    <row r="3" spans="2:12" x14ac:dyDescent="0.25">
      <c r="B3" s="4"/>
      <c r="C3" s="4"/>
      <c r="D3" s="4"/>
      <c r="E3" s="4"/>
    </row>
    <row r="4" spans="2:12" ht="15.75" x14ac:dyDescent="0.25">
      <c r="B4" s="247"/>
      <c r="C4" s="247"/>
      <c r="D4" s="247"/>
      <c r="E4" s="247"/>
      <c r="F4" s="247"/>
      <c r="G4" s="247"/>
      <c r="H4" s="247"/>
      <c r="I4" s="247"/>
      <c r="J4" s="247"/>
      <c r="K4" s="247"/>
      <c r="L4" s="247"/>
    </row>
    <row r="5" spans="2:12" ht="18.75" x14ac:dyDescent="0.3">
      <c r="B5" s="2" t="s">
        <v>815</v>
      </c>
      <c r="C5" s="2"/>
      <c r="D5" s="2"/>
      <c r="E5" s="2"/>
      <c r="F5" s="2"/>
      <c r="G5" s="2"/>
      <c r="J5" s="4"/>
      <c r="K5" s="4"/>
    </row>
    <row r="6" spans="2:12" x14ac:dyDescent="0.25">
      <c r="B6" s="3" t="s">
        <v>857</v>
      </c>
      <c r="J6" s="4"/>
      <c r="K6" s="4"/>
    </row>
    <row r="7" spans="2:12" x14ac:dyDescent="0.25">
      <c r="J7" s="4"/>
      <c r="K7" s="4"/>
    </row>
    <row r="8" spans="2:12" x14ac:dyDescent="0.25">
      <c r="D8" s="406" t="s">
        <v>658</v>
      </c>
      <c r="E8" s="406"/>
      <c r="F8" s="406"/>
      <c r="G8" s="406" t="s">
        <v>490</v>
      </c>
      <c r="H8" s="406"/>
      <c r="I8" s="406"/>
      <c r="J8" s="414" t="s">
        <v>659</v>
      </c>
      <c r="K8" s="414"/>
      <c r="L8" s="414"/>
    </row>
    <row r="9" spans="2:12" ht="30" x14ac:dyDescent="0.25">
      <c r="B9" s="138" t="s">
        <v>476</v>
      </c>
      <c r="C9" s="161" t="s">
        <v>594</v>
      </c>
      <c r="D9" s="138" t="s">
        <v>2</v>
      </c>
      <c r="E9" s="161" t="s">
        <v>595</v>
      </c>
      <c r="F9" s="161" t="s">
        <v>596</v>
      </c>
      <c r="G9" s="138" t="s">
        <v>2</v>
      </c>
      <c r="H9" s="161" t="s">
        <v>595</v>
      </c>
      <c r="I9" s="161" t="s">
        <v>596</v>
      </c>
      <c r="J9" s="340" t="s">
        <v>2</v>
      </c>
      <c r="K9" s="328" t="s">
        <v>595</v>
      </c>
      <c r="L9" s="328" t="s">
        <v>596</v>
      </c>
    </row>
    <row r="10" spans="2:12" x14ac:dyDescent="0.25">
      <c r="B10" s="407">
        <v>45108</v>
      </c>
      <c r="C10" s="251" t="s">
        <v>76</v>
      </c>
      <c r="D10" s="253">
        <v>340958</v>
      </c>
      <c r="E10" s="253">
        <v>69854324.103</v>
      </c>
      <c r="F10" s="253">
        <v>70402475.899711043</v>
      </c>
      <c r="G10" s="253">
        <v>785041</v>
      </c>
      <c r="H10" s="253">
        <v>159460336.03400001</v>
      </c>
      <c r="I10" s="253">
        <v>160711632.51168549</v>
      </c>
      <c r="J10" s="323">
        <v>1125999</v>
      </c>
      <c r="K10" s="323">
        <v>229314660.13699999</v>
      </c>
      <c r="L10" s="323">
        <v>231114108.4113965</v>
      </c>
    </row>
    <row r="11" spans="2:12" x14ac:dyDescent="0.25">
      <c r="B11" s="415"/>
      <c r="C11" s="251" t="s">
        <v>77</v>
      </c>
      <c r="D11" s="253">
        <v>136319</v>
      </c>
      <c r="E11" s="253">
        <v>28019331.607000001</v>
      </c>
      <c r="F11" s="253">
        <v>28239201.273770705</v>
      </c>
      <c r="G11" s="253">
        <v>656925</v>
      </c>
      <c r="H11" s="253">
        <v>132250784.104</v>
      </c>
      <c r="I11" s="253">
        <v>133288565.31302238</v>
      </c>
      <c r="J11" s="323">
        <v>793244</v>
      </c>
      <c r="K11" s="323">
        <v>160270115.711</v>
      </c>
      <c r="L11" s="323">
        <v>161527766.58679309</v>
      </c>
    </row>
    <row r="12" spans="2:12" x14ac:dyDescent="0.25">
      <c r="B12" s="415"/>
      <c r="C12" s="251" t="s">
        <v>28</v>
      </c>
      <c r="D12" s="253">
        <v>477277</v>
      </c>
      <c r="E12" s="253">
        <v>97873655.709999993</v>
      </c>
      <c r="F12" s="253">
        <v>98641677.173481748</v>
      </c>
      <c r="G12" s="253">
        <v>1441966</v>
      </c>
      <c r="H12" s="253">
        <v>291711120.13800001</v>
      </c>
      <c r="I12" s="253">
        <v>294000197.82470781</v>
      </c>
      <c r="J12" s="323">
        <v>1919243</v>
      </c>
      <c r="K12" s="323">
        <v>389584775.84799999</v>
      </c>
      <c r="L12" s="323">
        <v>392641874.99818957</v>
      </c>
    </row>
    <row r="13" spans="2:12" x14ac:dyDescent="0.25">
      <c r="B13" s="407">
        <v>45139</v>
      </c>
      <c r="C13" s="251" t="s">
        <v>76</v>
      </c>
      <c r="D13" s="253">
        <v>342010</v>
      </c>
      <c r="E13" s="253">
        <v>70033843.935000002</v>
      </c>
      <c r="F13" s="253">
        <v>70504823.733742729</v>
      </c>
      <c r="G13" s="253">
        <v>789396</v>
      </c>
      <c r="H13" s="253">
        <v>160322398.75600001</v>
      </c>
      <c r="I13" s="253">
        <v>161400571.9199653</v>
      </c>
      <c r="J13" s="323">
        <v>1131406</v>
      </c>
      <c r="K13" s="323">
        <v>230356242.69100001</v>
      </c>
      <c r="L13" s="323">
        <v>231905395.65370804</v>
      </c>
    </row>
    <row r="14" spans="2:12" x14ac:dyDescent="0.25">
      <c r="B14" s="415"/>
      <c r="C14" s="251" t="s">
        <v>77</v>
      </c>
      <c r="D14" s="253">
        <v>136198</v>
      </c>
      <c r="E14" s="253">
        <v>27976921.280999999</v>
      </c>
      <c r="F14" s="253">
        <v>28165066.954777326</v>
      </c>
      <c r="G14" s="253">
        <v>661702</v>
      </c>
      <c r="H14" s="253">
        <v>133185979.65899999</v>
      </c>
      <c r="I14" s="253">
        <v>134081659.55275777</v>
      </c>
      <c r="J14" s="323">
        <v>797900</v>
      </c>
      <c r="K14" s="323">
        <v>161162900.94</v>
      </c>
      <c r="L14" s="323">
        <v>162246726.5075351</v>
      </c>
    </row>
    <row r="15" spans="2:12" x14ac:dyDescent="0.25">
      <c r="B15" s="415"/>
      <c r="C15" s="251" t="s">
        <v>28</v>
      </c>
      <c r="D15" s="253">
        <v>478208</v>
      </c>
      <c r="E15" s="253">
        <v>98010765.216000006</v>
      </c>
      <c r="F15" s="253">
        <v>98669890.688520044</v>
      </c>
      <c r="G15" s="253">
        <v>1451098</v>
      </c>
      <c r="H15" s="253">
        <v>293508378.41500002</v>
      </c>
      <c r="I15" s="253">
        <v>295482231.47272307</v>
      </c>
      <c r="J15" s="323">
        <v>1929306</v>
      </c>
      <c r="K15" s="323">
        <v>391519143.63099998</v>
      </c>
      <c r="L15" s="323">
        <v>394152122.16124308</v>
      </c>
    </row>
    <row r="16" spans="2:12" x14ac:dyDescent="0.25">
      <c r="B16" s="416">
        <v>45170</v>
      </c>
      <c r="C16" s="251" t="s">
        <v>76</v>
      </c>
      <c r="D16" s="253">
        <v>343880</v>
      </c>
      <c r="E16" s="253">
        <v>70389110.717999995</v>
      </c>
      <c r="F16" s="253">
        <v>70389110.717999995</v>
      </c>
      <c r="G16" s="253">
        <v>795862</v>
      </c>
      <c r="H16" s="253">
        <v>161602425.697</v>
      </c>
      <c r="I16" s="253">
        <v>161602425.697</v>
      </c>
      <c r="J16" s="323">
        <v>1139742</v>
      </c>
      <c r="K16" s="323">
        <v>231991536.41499999</v>
      </c>
      <c r="L16" s="323">
        <v>231991536.41499999</v>
      </c>
    </row>
    <row r="17" spans="2:29" x14ac:dyDescent="0.25">
      <c r="B17" s="417"/>
      <c r="C17" s="251" t="s">
        <v>77</v>
      </c>
      <c r="D17" s="253">
        <v>138475</v>
      </c>
      <c r="E17" s="253">
        <v>28428701.614</v>
      </c>
      <c r="F17" s="253">
        <v>28428701.614</v>
      </c>
      <c r="G17" s="253">
        <v>666557</v>
      </c>
      <c r="H17" s="253">
        <v>134108511.395</v>
      </c>
      <c r="I17" s="253">
        <v>134108511.395</v>
      </c>
      <c r="J17" s="323">
        <v>805032</v>
      </c>
      <c r="K17" s="323">
        <v>162537213.009</v>
      </c>
      <c r="L17" s="323">
        <v>162537213.009</v>
      </c>
    </row>
    <row r="18" spans="2:29" x14ac:dyDescent="0.25">
      <c r="B18" s="417"/>
      <c r="C18" s="252" t="s">
        <v>28</v>
      </c>
      <c r="D18" s="253">
        <v>482355</v>
      </c>
      <c r="E18" s="253">
        <v>98817812.332000002</v>
      </c>
      <c r="F18" s="253">
        <v>98817812.332000002</v>
      </c>
      <c r="G18" s="253">
        <v>1462419</v>
      </c>
      <c r="H18" s="253">
        <v>295710937.09200001</v>
      </c>
      <c r="I18" s="253">
        <v>295710937.09200001</v>
      </c>
      <c r="J18" s="323">
        <v>1944774</v>
      </c>
      <c r="K18" s="323">
        <v>394528749.42400002</v>
      </c>
      <c r="L18" s="323">
        <v>394528749.42400002</v>
      </c>
    </row>
    <row r="19" spans="2:29" x14ac:dyDescent="0.25">
      <c r="B19" s="4" t="s">
        <v>812</v>
      </c>
    </row>
    <row r="20" spans="2:29" ht="66" customHeight="1" x14ac:dyDescent="0.25">
      <c r="B20" s="410" t="s">
        <v>813</v>
      </c>
      <c r="C20" s="410"/>
      <c r="D20" s="410"/>
      <c r="E20" s="410"/>
      <c r="F20" s="410"/>
      <c r="G20" s="410"/>
      <c r="H20" s="410"/>
      <c r="I20" s="410"/>
      <c r="J20" s="410"/>
      <c r="K20" s="410"/>
      <c r="L20" s="410"/>
    </row>
    <row r="21" spans="2:29" ht="15" customHeight="1" x14ac:dyDescent="0.25">
      <c r="B21" s="258" t="s">
        <v>859</v>
      </c>
      <c r="C21" s="246"/>
      <c r="D21" s="246"/>
      <c r="E21" s="246"/>
      <c r="F21" s="246"/>
      <c r="G21" s="246"/>
      <c r="H21" s="246"/>
      <c r="I21" s="246"/>
      <c r="J21" s="246"/>
      <c r="K21" s="246"/>
      <c r="L21" s="246"/>
    </row>
    <row r="22" spans="2:29" x14ac:dyDescent="0.25">
      <c r="B22" s="259"/>
      <c r="C22" s="4"/>
      <c r="D22" s="4"/>
      <c r="E22" s="4"/>
      <c r="F22" s="260"/>
      <c r="G22" s="260"/>
      <c r="H22" s="260"/>
      <c r="I22" s="260"/>
      <c r="J22" s="260"/>
      <c r="K22" s="260"/>
      <c r="L22" s="260"/>
    </row>
    <row r="23" spans="2:29" ht="18.75" x14ac:dyDescent="0.3">
      <c r="B23" s="2" t="s">
        <v>819</v>
      </c>
      <c r="C23" s="2"/>
      <c r="D23" s="2"/>
      <c r="E23" s="2"/>
      <c r="F23" s="2"/>
      <c r="G23" s="8"/>
    </row>
    <row r="24" spans="2:29" x14ac:dyDescent="0.25">
      <c r="B24" s="3" t="s">
        <v>863</v>
      </c>
    </row>
    <row r="26" spans="2:29" x14ac:dyDescent="0.25">
      <c r="C26" s="403" t="s">
        <v>658</v>
      </c>
      <c r="D26" s="404"/>
      <c r="E26" s="404"/>
      <c r="F26" s="404"/>
      <c r="G26" s="404"/>
      <c r="H26" s="404"/>
      <c r="I26" s="404"/>
      <c r="J26" s="404"/>
      <c r="K26" s="405"/>
      <c r="L26" s="403" t="s">
        <v>490</v>
      </c>
      <c r="M26" s="404"/>
      <c r="N26" s="404"/>
      <c r="O26" s="404"/>
      <c r="P26" s="404"/>
      <c r="Q26" s="404"/>
      <c r="R26" s="404"/>
      <c r="S26" s="404"/>
      <c r="T26" s="405"/>
      <c r="U26" s="403" t="s">
        <v>659</v>
      </c>
      <c r="V26" s="404"/>
      <c r="W26" s="404"/>
      <c r="X26" s="404"/>
      <c r="Y26" s="404"/>
      <c r="Z26" s="404"/>
      <c r="AA26" s="404"/>
      <c r="AB26" s="404"/>
      <c r="AC26" s="405"/>
    </row>
    <row r="27" spans="2:29" x14ac:dyDescent="0.25">
      <c r="C27" s="403" t="s">
        <v>76</v>
      </c>
      <c r="D27" s="404"/>
      <c r="E27" s="405"/>
      <c r="F27" s="403" t="s">
        <v>77</v>
      </c>
      <c r="G27" s="404"/>
      <c r="H27" s="405"/>
      <c r="I27" s="403" t="s">
        <v>28</v>
      </c>
      <c r="J27" s="404"/>
      <c r="K27" s="405"/>
      <c r="L27" s="403" t="s">
        <v>76</v>
      </c>
      <c r="M27" s="404"/>
      <c r="N27" s="405"/>
      <c r="O27" s="403" t="s">
        <v>77</v>
      </c>
      <c r="P27" s="404"/>
      <c r="Q27" s="405"/>
      <c r="R27" s="403" t="s">
        <v>28</v>
      </c>
      <c r="S27" s="404"/>
      <c r="T27" s="405"/>
      <c r="U27" s="403" t="s">
        <v>76</v>
      </c>
      <c r="V27" s="404"/>
      <c r="W27" s="405"/>
      <c r="X27" s="403" t="s">
        <v>77</v>
      </c>
      <c r="Y27" s="404"/>
      <c r="Z27" s="405"/>
      <c r="AA27" s="403" t="s">
        <v>28</v>
      </c>
      <c r="AB27" s="404"/>
      <c r="AC27" s="405"/>
    </row>
    <row r="28" spans="2:29" ht="45" x14ac:dyDescent="0.25">
      <c r="B28" s="138" t="s">
        <v>476</v>
      </c>
      <c r="C28" s="214" t="s">
        <v>835</v>
      </c>
      <c r="D28" s="161" t="s">
        <v>838</v>
      </c>
      <c r="E28" s="214" t="s">
        <v>847</v>
      </c>
      <c r="F28" s="214" t="s">
        <v>835</v>
      </c>
      <c r="G28" s="161" t="s">
        <v>838</v>
      </c>
      <c r="H28" s="214" t="s">
        <v>847</v>
      </c>
      <c r="I28" s="214" t="s">
        <v>835</v>
      </c>
      <c r="J28" s="161" t="s">
        <v>838</v>
      </c>
      <c r="K28" s="214" t="s">
        <v>847</v>
      </c>
      <c r="L28" s="214" t="s">
        <v>835</v>
      </c>
      <c r="M28" s="161" t="s">
        <v>838</v>
      </c>
      <c r="N28" s="214" t="s">
        <v>847</v>
      </c>
      <c r="O28" s="214" t="s">
        <v>835</v>
      </c>
      <c r="P28" s="161" t="s">
        <v>838</v>
      </c>
      <c r="Q28" s="214" t="s">
        <v>847</v>
      </c>
      <c r="R28" s="214" t="s">
        <v>835</v>
      </c>
      <c r="S28" s="161" t="s">
        <v>838</v>
      </c>
      <c r="T28" s="214" t="s">
        <v>847</v>
      </c>
      <c r="U28" s="214" t="s">
        <v>835</v>
      </c>
      <c r="V28" s="161" t="s">
        <v>838</v>
      </c>
      <c r="W28" s="214" t="s">
        <v>847</v>
      </c>
      <c r="X28" s="214" t="s">
        <v>835</v>
      </c>
      <c r="Y28" s="161" t="s">
        <v>838</v>
      </c>
      <c r="Z28" s="214" t="s">
        <v>847</v>
      </c>
      <c r="AA28" s="214" t="s">
        <v>835</v>
      </c>
      <c r="AB28" s="161" t="s">
        <v>838</v>
      </c>
      <c r="AC28" s="214" t="s">
        <v>847</v>
      </c>
    </row>
    <row r="29" spans="2:29" outlineLevel="1" x14ac:dyDescent="0.25">
      <c r="B29" s="227">
        <v>44593</v>
      </c>
      <c r="C29" s="268">
        <v>309683</v>
      </c>
      <c r="D29" s="268">
        <v>65647186.403165817</v>
      </c>
      <c r="E29" s="268">
        <v>57205360.538000003</v>
      </c>
      <c r="F29" s="268">
        <v>106066</v>
      </c>
      <c r="G29" s="268">
        <v>22512266.094633959</v>
      </c>
      <c r="H29" s="268">
        <v>19617326.636999998</v>
      </c>
      <c r="I29" s="267">
        <v>415749</v>
      </c>
      <c r="J29" s="267">
        <v>88159452.497799769</v>
      </c>
      <c r="K29" s="267">
        <v>76822687.174999997</v>
      </c>
      <c r="L29" s="268">
        <v>517361</v>
      </c>
      <c r="M29" s="268">
        <v>97633251.796198919</v>
      </c>
      <c r="N29" s="268">
        <v>85078213.942000002</v>
      </c>
      <c r="O29" s="268">
        <v>340110</v>
      </c>
      <c r="P29" s="268">
        <v>66908099.261480771</v>
      </c>
      <c r="Q29" s="268">
        <v>58304127.729999997</v>
      </c>
      <c r="R29" s="267">
        <v>857471</v>
      </c>
      <c r="S29" s="267">
        <v>164541351.05767968</v>
      </c>
      <c r="T29" s="267">
        <v>143382341.67199999</v>
      </c>
      <c r="U29" s="273">
        <v>827044</v>
      </c>
      <c r="V29" s="273">
        <v>163280438.19936472</v>
      </c>
      <c r="W29" s="273">
        <v>142283574.47999999</v>
      </c>
      <c r="X29" s="273">
        <v>446176</v>
      </c>
      <c r="Y29" s="273">
        <v>89420365.35611473</v>
      </c>
      <c r="Z29" s="273">
        <v>77921454.366999999</v>
      </c>
      <c r="AA29" s="267">
        <v>1273220</v>
      </c>
      <c r="AB29" s="267">
        <v>252700803.55547947</v>
      </c>
      <c r="AC29" s="267">
        <v>220205028.847</v>
      </c>
    </row>
    <row r="30" spans="2:29" outlineLevel="1" x14ac:dyDescent="0.25">
      <c r="B30" s="227">
        <v>44621</v>
      </c>
      <c r="C30" s="268">
        <v>312946</v>
      </c>
      <c r="D30" s="268">
        <v>65024927.941082947</v>
      </c>
      <c r="E30" s="268">
        <v>57713942.276000001</v>
      </c>
      <c r="F30" s="268">
        <v>107255</v>
      </c>
      <c r="G30" s="268">
        <v>22349686.633219093</v>
      </c>
      <c r="H30" s="268">
        <v>19836831.274999999</v>
      </c>
      <c r="I30" s="267">
        <v>420201</v>
      </c>
      <c r="J30" s="267">
        <v>87374614.574302033</v>
      </c>
      <c r="K30" s="267">
        <v>77550773.550999999</v>
      </c>
      <c r="L30" s="268">
        <v>536699</v>
      </c>
      <c r="M30" s="268">
        <v>111627440.05954783</v>
      </c>
      <c r="N30" s="268">
        <v>99076766.957000002</v>
      </c>
      <c r="O30" s="268">
        <v>361057</v>
      </c>
      <c r="P30" s="268">
        <v>75172782.170958117</v>
      </c>
      <c r="Q30" s="268">
        <v>66720836.890000001</v>
      </c>
      <c r="R30" s="267">
        <v>897756</v>
      </c>
      <c r="S30" s="267">
        <v>186800222.23050594</v>
      </c>
      <c r="T30" s="267">
        <v>165797603.847</v>
      </c>
      <c r="U30" s="273">
        <v>849645</v>
      </c>
      <c r="V30" s="273">
        <v>176652368.00063077</v>
      </c>
      <c r="W30" s="273">
        <v>156790709.23300001</v>
      </c>
      <c r="X30" s="273">
        <v>468312</v>
      </c>
      <c r="Y30" s="273">
        <v>97522468.80417721</v>
      </c>
      <c r="Z30" s="273">
        <v>86557668.165000007</v>
      </c>
      <c r="AA30" s="267">
        <v>1317957</v>
      </c>
      <c r="AB30" s="267">
        <v>274174836.80480796</v>
      </c>
      <c r="AC30" s="267">
        <v>243348377.398</v>
      </c>
    </row>
    <row r="31" spans="2:29" outlineLevel="1" x14ac:dyDescent="0.25">
      <c r="B31" s="227">
        <v>44652</v>
      </c>
      <c r="C31" s="268">
        <v>314601</v>
      </c>
      <c r="D31" s="268">
        <v>64398460.086346269</v>
      </c>
      <c r="E31" s="268">
        <v>57957137.288000003</v>
      </c>
      <c r="F31" s="268">
        <v>107763</v>
      </c>
      <c r="G31" s="268">
        <v>22144899.87921875</v>
      </c>
      <c r="H31" s="268">
        <v>19929902.063000001</v>
      </c>
      <c r="I31" s="267">
        <v>422364</v>
      </c>
      <c r="J31" s="267">
        <v>86543359.965565011</v>
      </c>
      <c r="K31" s="267">
        <v>77887039.350999996</v>
      </c>
      <c r="L31" s="268">
        <v>552501</v>
      </c>
      <c r="M31" s="268">
        <v>113253255.12675187</v>
      </c>
      <c r="N31" s="268">
        <v>101925332.483</v>
      </c>
      <c r="O31" s="268">
        <v>374925</v>
      </c>
      <c r="P31" s="268">
        <v>77008669.344286293</v>
      </c>
      <c r="Q31" s="268">
        <v>69306036.442000002</v>
      </c>
      <c r="R31" s="267">
        <v>927426</v>
      </c>
      <c r="S31" s="267">
        <v>190261924.47103813</v>
      </c>
      <c r="T31" s="267">
        <v>171231368.92500001</v>
      </c>
      <c r="U31" s="273">
        <v>867102</v>
      </c>
      <c r="V31" s="273">
        <v>177651715.21309814</v>
      </c>
      <c r="W31" s="273">
        <v>159882469.771</v>
      </c>
      <c r="X31" s="273">
        <v>482688</v>
      </c>
      <c r="Y31" s="273">
        <v>99153569.223505035</v>
      </c>
      <c r="Z31" s="273">
        <v>89235938.504999995</v>
      </c>
      <c r="AA31" s="267">
        <v>1349790</v>
      </c>
      <c r="AB31" s="267">
        <v>276805284.43660313</v>
      </c>
      <c r="AC31" s="267">
        <v>249118408.27599999</v>
      </c>
    </row>
    <row r="32" spans="2:29" outlineLevel="1" x14ac:dyDescent="0.25">
      <c r="B32" s="227">
        <v>44682</v>
      </c>
      <c r="C32" s="268">
        <v>316872</v>
      </c>
      <c r="D32" s="268">
        <v>64040184.5171877</v>
      </c>
      <c r="E32" s="268">
        <v>58325653.706</v>
      </c>
      <c r="F32" s="268">
        <v>108938</v>
      </c>
      <c r="G32" s="268">
        <v>22119130.638305441</v>
      </c>
      <c r="H32" s="268">
        <v>20145362.846999999</v>
      </c>
      <c r="I32" s="267">
        <v>425810</v>
      </c>
      <c r="J32" s="267">
        <v>86159315.15549314</v>
      </c>
      <c r="K32" s="267">
        <v>78471016.553000003</v>
      </c>
      <c r="L32" s="268">
        <v>605836</v>
      </c>
      <c r="M32" s="268">
        <v>122664749.63129069</v>
      </c>
      <c r="N32" s="268">
        <v>111718942.76800001</v>
      </c>
      <c r="O32" s="268">
        <v>477591</v>
      </c>
      <c r="P32" s="268">
        <v>96946924.534487277</v>
      </c>
      <c r="Q32" s="268">
        <v>88296009.621000007</v>
      </c>
      <c r="R32" s="267">
        <v>1083427</v>
      </c>
      <c r="S32" s="267">
        <v>219611674.16577798</v>
      </c>
      <c r="T32" s="267">
        <v>200014952.389</v>
      </c>
      <c r="U32" s="273">
        <v>922708</v>
      </c>
      <c r="V32" s="273">
        <v>186704934.14847839</v>
      </c>
      <c r="W32" s="273">
        <v>170044596.47400001</v>
      </c>
      <c r="X32" s="273">
        <v>586529</v>
      </c>
      <c r="Y32" s="273">
        <v>119066055.1727927</v>
      </c>
      <c r="Z32" s="273">
        <v>108441372.46799999</v>
      </c>
      <c r="AA32" s="267">
        <v>1509237</v>
      </c>
      <c r="AB32" s="267">
        <v>305770989.32127112</v>
      </c>
      <c r="AC32" s="267">
        <v>278485968.94199997</v>
      </c>
    </row>
    <row r="33" spans="2:29" outlineLevel="1" x14ac:dyDescent="0.25">
      <c r="B33" s="227">
        <v>44713</v>
      </c>
      <c r="C33" s="268">
        <v>317138</v>
      </c>
      <c r="D33" s="268">
        <v>63479806.501236252</v>
      </c>
      <c r="E33" s="268">
        <v>58354483.068000004</v>
      </c>
      <c r="F33" s="268">
        <v>109221</v>
      </c>
      <c r="G33" s="268">
        <v>21970942.442120336</v>
      </c>
      <c r="H33" s="268">
        <v>20197021.059</v>
      </c>
      <c r="I33" s="267">
        <v>426359</v>
      </c>
      <c r="J33" s="267">
        <v>85450748.943356588</v>
      </c>
      <c r="K33" s="267">
        <v>78551504.127000004</v>
      </c>
      <c r="L33" s="268">
        <v>615086</v>
      </c>
      <c r="M33" s="268">
        <v>123336252.13725811</v>
      </c>
      <c r="N33" s="268">
        <v>113378153.36399999</v>
      </c>
      <c r="O33" s="268">
        <v>487043</v>
      </c>
      <c r="P33" s="268">
        <v>97952143.511864185</v>
      </c>
      <c r="Q33" s="268">
        <v>90043543.216000006</v>
      </c>
      <c r="R33" s="267">
        <v>1102129</v>
      </c>
      <c r="S33" s="267">
        <v>221288395.6491223</v>
      </c>
      <c r="T33" s="267">
        <v>203421696.58000001</v>
      </c>
      <c r="U33" s="273">
        <v>932224</v>
      </c>
      <c r="V33" s="273">
        <v>186816058.63849437</v>
      </c>
      <c r="W33" s="273">
        <v>171732636.43200001</v>
      </c>
      <c r="X33" s="273">
        <v>596264</v>
      </c>
      <c r="Y33" s="273">
        <v>119923085.95398451</v>
      </c>
      <c r="Z33" s="273">
        <v>110240564.27500001</v>
      </c>
      <c r="AA33" s="267">
        <v>1528488</v>
      </c>
      <c r="AB33" s="267">
        <v>306739144.59247887</v>
      </c>
      <c r="AC33" s="267">
        <v>281973200.70700002</v>
      </c>
    </row>
    <row r="34" spans="2:29" outlineLevel="1" x14ac:dyDescent="0.25">
      <c r="B34" s="227">
        <v>44743</v>
      </c>
      <c r="C34" s="268">
        <v>317824</v>
      </c>
      <c r="D34" s="268">
        <v>65778530.255198903</v>
      </c>
      <c r="E34" s="268">
        <v>61298891.538999997</v>
      </c>
      <c r="F34" s="268">
        <v>109691</v>
      </c>
      <c r="G34" s="268">
        <v>22815305.231826428</v>
      </c>
      <c r="H34" s="268">
        <v>21261541.044</v>
      </c>
      <c r="I34" s="267">
        <v>427515</v>
      </c>
      <c r="J34" s="267">
        <v>88593835.487025335</v>
      </c>
      <c r="K34" s="267">
        <v>82560432.583000004</v>
      </c>
      <c r="L34" s="268">
        <v>621791</v>
      </c>
      <c r="M34" s="268">
        <v>128930525.61419323</v>
      </c>
      <c r="N34" s="268">
        <v>120150120.03200001</v>
      </c>
      <c r="O34" s="268">
        <v>498271</v>
      </c>
      <c r="P34" s="268">
        <v>103623048.8103016</v>
      </c>
      <c r="Q34" s="268">
        <v>96566128.877000004</v>
      </c>
      <c r="R34" s="267">
        <v>1120062</v>
      </c>
      <c r="S34" s="267">
        <v>232553574.42449483</v>
      </c>
      <c r="T34" s="267">
        <v>216716248.90900001</v>
      </c>
      <c r="U34" s="273">
        <v>939615</v>
      </c>
      <c r="V34" s="273">
        <v>194709055.86939216</v>
      </c>
      <c r="W34" s="273">
        <v>181449011.57100001</v>
      </c>
      <c r="X34" s="273">
        <v>607962</v>
      </c>
      <c r="Y34" s="273">
        <v>126438354.04212804</v>
      </c>
      <c r="Z34" s="273">
        <v>117827669.921</v>
      </c>
      <c r="AA34" s="267">
        <v>1547577</v>
      </c>
      <c r="AB34" s="267">
        <v>321147409.91152018</v>
      </c>
      <c r="AC34" s="267">
        <v>299276681.49199998</v>
      </c>
    </row>
    <row r="35" spans="2:29" outlineLevel="1" x14ac:dyDescent="0.25">
      <c r="B35" s="227">
        <v>44774</v>
      </c>
      <c r="C35" s="268">
        <v>322017</v>
      </c>
      <c r="D35" s="268">
        <v>65834798.164348751</v>
      </c>
      <c r="E35" s="268">
        <v>62094244.614</v>
      </c>
      <c r="F35" s="268">
        <v>110018</v>
      </c>
      <c r="G35" s="268">
        <v>22608662.376974966</v>
      </c>
      <c r="H35" s="268">
        <v>21324099.886</v>
      </c>
      <c r="I35" s="267">
        <v>432035</v>
      </c>
      <c r="J35" s="267">
        <v>88443460.541323721</v>
      </c>
      <c r="K35" s="267">
        <v>83418344.5</v>
      </c>
      <c r="L35" s="268">
        <v>660104</v>
      </c>
      <c r="M35" s="268">
        <v>134824049.3468132</v>
      </c>
      <c r="N35" s="268">
        <v>127163714.83499999</v>
      </c>
      <c r="O35" s="268">
        <v>538150</v>
      </c>
      <c r="P35" s="268">
        <v>109825219.68620919</v>
      </c>
      <c r="Q35" s="268">
        <v>103585250.447</v>
      </c>
      <c r="R35" s="267">
        <v>1198254</v>
      </c>
      <c r="S35" s="267">
        <v>244649269.0330224</v>
      </c>
      <c r="T35" s="267">
        <v>230748965.28200001</v>
      </c>
      <c r="U35" s="273">
        <v>982121</v>
      </c>
      <c r="V35" s="273">
        <v>200658847.51116195</v>
      </c>
      <c r="W35" s="273">
        <v>189257959.449</v>
      </c>
      <c r="X35" s="273">
        <v>648168</v>
      </c>
      <c r="Y35" s="273">
        <v>132433882.06318416</v>
      </c>
      <c r="Z35" s="273">
        <v>124909350.333</v>
      </c>
      <c r="AA35" s="267">
        <v>1630289</v>
      </c>
      <c r="AB35" s="267">
        <v>333092729.57434613</v>
      </c>
      <c r="AC35" s="267">
        <v>314167309.78200001</v>
      </c>
    </row>
    <row r="36" spans="2:29" outlineLevel="1" x14ac:dyDescent="0.25">
      <c r="B36" s="227">
        <v>44805</v>
      </c>
      <c r="C36" s="268">
        <v>321661</v>
      </c>
      <c r="D36" s="268">
        <v>65185702.027524367</v>
      </c>
      <c r="E36" s="268">
        <v>62013553.252999999</v>
      </c>
      <c r="F36" s="268">
        <v>109838</v>
      </c>
      <c r="G36" s="268">
        <v>22377286.486286476</v>
      </c>
      <c r="H36" s="268">
        <v>21288334.772999998</v>
      </c>
      <c r="I36" s="267">
        <v>431499</v>
      </c>
      <c r="J36" s="267">
        <v>87562988.513810858</v>
      </c>
      <c r="K36" s="267">
        <v>83301888.025999993</v>
      </c>
      <c r="L36" s="268">
        <v>679141</v>
      </c>
      <c r="M36" s="268">
        <v>137378371.15579495</v>
      </c>
      <c r="N36" s="268">
        <v>130693091.744</v>
      </c>
      <c r="O36" s="268">
        <v>553055</v>
      </c>
      <c r="P36" s="268">
        <v>111542128.54273282</v>
      </c>
      <c r="Q36" s="268">
        <v>106114124.926</v>
      </c>
      <c r="R36" s="267">
        <v>1232196</v>
      </c>
      <c r="S36" s="267">
        <v>248920499.69852778</v>
      </c>
      <c r="T36" s="267">
        <v>236807216.66999999</v>
      </c>
      <c r="U36" s="273">
        <v>1000802</v>
      </c>
      <c r="V36" s="273">
        <v>202564073.18331933</v>
      </c>
      <c r="W36" s="273">
        <v>192706644.99700001</v>
      </c>
      <c r="X36" s="273">
        <v>662893</v>
      </c>
      <c r="Y36" s="273">
        <v>133919415.02901928</v>
      </c>
      <c r="Z36" s="273">
        <v>127402459.699</v>
      </c>
      <c r="AA36" s="267">
        <v>1663695</v>
      </c>
      <c r="AB36" s="267">
        <v>336483488.21233863</v>
      </c>
      <c r="AC36" s="267">
        <v>320109104.69599998</v>
      </c>
    </row>
    <row r="37" spans="2:29" outlineLevel="1" x14ac:dyDescent="0.25">
      <c r="B37" s="227">
        <v>44835</v>
      </c>
      <c r="C37" s="268">
        <v>322141</v>
      </c>
      <c r="D37" s="268">
        <v>64939677.924066983</v>
      </c>
      <c r="E37" s="268">
        <v>62098939.511</v>
      </c>
      <c r="F37" s="268">
        <v>109963</v>
      </c>
      <c r="G37" s="268">
        <v>22287717.92201094</v>
      </c>
      <c r="H37" s="268">
        <v>21312758.105999999</v>
      </c>
      <c r="I37" s="267">
        <v>432104</v>
      </c>
      <c r="J37" s="267">
        <v>87227395.846077934</v>
      </c>
      <c r="K37" s="267">
        <v>83411697.616999999</v>
      </c>
      <c r="L37" s="268">
        <v>686334</v>
      </c>
      <c r="M37" s="268">
        <v>138024333.41795671</v>
      </c>
      <c r="N37" s="268">
        <v>131986560.543</v>
      </c>
      <c r="O37" s="268">
        <v>563950</v>
      </c>
      <c r="P37" s="268">
        <v>112956062.49238259</v>
      </c>
      <c r="Q37" s="268">
        <v>108014882.678</v>
      </c>
      <c r="R37" s="267">
        <v>1250284</v>
      </c>
      <c r="S37" s="267">
        <v>250980395.91033927</v>
      </c>
      <c r="T37" s="267">
        <v>240001443.22099999</v>
      </c>
      <c r="U37" s="273">
        <v>1008475</v>
      </c>
      <c r="V37" s="273">
        <v>202964011.34202367</v>
      </c>
      <c r="W37" s="273">
        <v>194085500.05399999</v>
      </c>
      <c r="X37" s="273">
        <v>673913</v>
      </c>
      <c r="Y37" s="273">
        <v>135243780.41439351</v>
      </c>
      <c r="Z37" s="273">
        <v>129327640.78399999</v>
      </c>
      <c r="AA37" s="267">
        <v>1682388</v>
      </c>
      <c r="AB37" s="267">
        <v>338207791.75641716</v>
      </c>
      <c r="AC37" s="267">
        <v>323413140.838</v>
      </c>
    </row>
    <row r="38" spans="2:29" outlineLevel="1" x14ac:dyDescent="0.25">
      <c r="B38" s="227">
        <v>44866</v>
      </c>
      <c r="C38" s="268">
        <v>327443</v>
      </c>
      <c r="D38" s="268">
        <v>65329470.247097574</v>
      </c>
      <c r="E38" s="268">
        <v>63080932.634000003</v>
      </c>
      <c r="F38" s="268">
        <v>121585</v>
      </c>
      <c r="G38" s="268">
        <v>24404356.631092601</v>
      </c>
      <c r="H38" s="268">
        <v>23564397.059999999</v>
      </c>
      <c r="I38" s="267">
        <v>449028</v>
      </c>
      <c r="J38" s="267">
        <v>89733826.878190175</v>
      </c>
      <c r="K38" s="267">
        <v>86645329.694000006</v>
      </c>
      <c r="L38" s="268">
        <v>704099</v>
      </c>
      <c r="M38" s="268">
        <v>140056771.8139351</v>
      </c>
      <c r="N38" s="268">
        <v>135236238.01499999</v>
      </c>
      <c r="O38" s="268">
        <v>584193</v>
      </c>
      <c r="P38" s="268">
        <v>115512975.99014539</v>
      </c>
      <c r="Q38" s="268">
        <v>111537201.04000001</v>
      </c>
      <c r="R38" s="267">
        <v>1288292</v>
      </c>
      <c r="S38" s="267">
        <v>255569747.80408049</v>
      </c>
      <c r="T38" s="267">
        <v>246773439.05500001</v>
      </c>
      <c r="U38" s="273">
        <v>1031542</v>
      </c>
      <c r="V38" s="273">
        <v>205386242.06103265</v>
      </c>
      <c r="W38" s="273">
        <v>198317170.64899999</v>
      </c>
      <c r="X38" s="273">
        <v>705778</v>
      </c>
      <c r="Y38" s="273">
        <v>139917332.62123796</v>
      </c>
      <c r="Z38" s="273">
        <v>135101598.09999999</v>
      </c>
      <c r="AA38" s="267">
        <v>1737320</v>
      </c>
      <c r="AB38" s="267">
        <v>345303574.68227065</v>
      </c>
      <c r="AC38" s="267">
        <v>333418768.74900001</v>
      </c>
    </row>
    <row r="39" spans="2:29" outlineLevel="1" x14ac:dyDescent="0.25">
      <c r="B39" s="227">
        <v>44896</v>
      </c>
      <c r="C39" s="268">
        <v>329180</v>
      </c>
      <c r="D39" s="268">
        <v>65491792.380546868</v>
      </c>
      <c r="E39" s="268">
        <v>63417031.792999998</v>
      </c>
      <c r="F39" s="268">
        <v>125728</v>
      </c>
      <c r="G39" s="268">
        <v>25165436.240479507</v>
      </c>
      <c r="H39" s="268">
        <v>24368202.673</v>
      </c>
      <c r="I39" s="267">
        <v>454908</v>
      </c>
      <c r="J39" s="267">
        <v>90657228.621026382</v>
      </c>
      <c r="K39" s="267">
        <v>87785234.466000006</v>
      </c>
      <c r="L39" s="268">
        <v>717919</v>
      </c>
      <c r="M39" s="268">
        <v>142139143.11921588</v>
      </c>
      <c r="N39" s="268">
        <v>137636217.15900001</v>
      </c>
      <c r="O39" s="268">
        <v>594890</v>
      </c>
      <c r="P39" s="268">
        <v>116993249.60656656</v>
      </c>
      <c r="Q39" s="268">
        <v>113286938.10600001</v>
      </c>
      <c r="R39" s="267">
        <v>1312809</v>
      </c>
      <c r="S39" s="267">
        <v>259132392.72578245</v>
      </c>
      <c r="T39" s="267">
        <v>250923155.26499999</v>
      </c>
      <c r="U39" s="273">
        <v>1047099</v>
      </c>
      <c r="V39" s="273">
        <v>207630935.49976274</v>
      </c>
      <c r="W39" s="273">
        <v>201053248.95199999</v>
      </c>
      <c r="X39" s="273">
        <v>720618</v>
      </c>
      <c r="Y39" s="273">
        <v>142158685.84704605</v>
      </c>
      <c r="Z39" s="273">
        <v>137655140.77900001</v>
      </c>
      <c r="AA39" s="267">
        <v>1767717</v>
      </c>
      <c r="AB39" s="267">
        <v>349789621.34680885</v>
      </c>
      <c r="AC39" s="267">
        <v>338708389.73100001</v>
      </c>
    </row>
    <row r="40" spans="2:29" x14ac:dyDescent="0.25">
      <c r="B40" s="344" t="s">
        <v>713</v>
      </c>
      <c r="C40" s="342">
        <v>319227.81818181818</v>
      </c>
      <c r="D40" s="342">
        <v>65013685.13161841</v>
      </c>
      <c r="E40" s="342"/>
      <c r="F40" s="342">
        <v>111460.54545454546</v>
      </c>
      <c r="G40" s="342">
        <v>22795971.870560769</v>
      </c>
      <c r="H40" s="342"/>
      <c r="I40" s="342">
        <v>430688.36363636365</v>
      </c>
      <c r="J40" s="342">
        <v>87809657.002179161</v>
      </c>
      <c r="K40" s="342"/>
      <c r="L40" s="342">
        <v>626988.27272727271</v>
      </c>
      <c r="M40" s="342">
        <v>126351649.38354149</v>
      </c>
      <c r="N40" s="342"/>
      <c r="O40" s="342">
        <v>488475.90909090912</v>
      </c>
      <c r="P40" s="342">
        <v>98585573.086492255</v>
      </c>
      <c r="Q40" s="342"/>
      <c r="R40" s="342">
        <v>1115464.1818181819</v>
      </c>
      <c r="S40" s="342">
        <v>224937222.47003374</v>
      </c>
      <c r="T40" s="342"/>
      <c r="U40" s="342">
        <v>946216.09090909094</v>
      </c>
      <c r="V40" s="342">
        <v>191365334.51515988</v>
      </c>
      <c r="W40" s="342"/>
      <c r="X40" s="342">
        <v>599936.45454545459</v>
      </c>
      <c r="Y40" s="342">
        <v>121381544.95705304</v>
      </c>
      <c r="Z40" s="342"/>
      <c r="AA40" s="342">
        <v>1546152.5454545454</v>
      </c>
      <c r="AB40" s="342">
        <v>312746879.47221291</v>
      </c>
      <c r="AC40" s="342"/>
    </row>
    <row r="41" spans="2:29" outlineLevel="1" x14ac:dyDescent="0.25">
      <c r="B41" s="227">
        <v>44927</v>
      </c>
      <c r="C41" s="268">
        <v>331003</v>
      </c>
      <c r="D41" s="268">
        <v>65497350.964213207</v>
      </c>
      <c r="E41" s="268">
        <v>63933034.277999997</v>
      </c>
      <c r="F41" s="268">
        <v>126303</v>
      </c>
      <c r="G41" s="268">
        <v>25048511.301432926</v>
      </c>
      <c r="H41" s="268">
        <v>24450261.088</v>
      </c>
      <c r="I41" s="267">
        <v>457306</v>
      </c>
      <c r="J41" s="267">
        <v>90545862.26564613</v>
      </c>
      <c r="K41" s="267">
        <v>88383295.365999997</v>
      </c>
      <c r="L41" s="268">
        <v>729835</v>
      </c>
      <c r="M41" s="268">
        <v>143285768.19231156</v>
      </c>
      <c r="N41" s="268">
        <v>139863579.13</v>
      </c>
      <c r="O41" s="268">
        <v>605454</v>
      </c>
      <c r="P41" s="268">
        <v>117929357.00257517</v>
      </c>
      <c r="Q41" s="268">
        <v>115112771.93099999</v>
      </c>
      <c r="R41" s="267">
        <v>1335289</v>
      </c>
      <c r="S41" s="267">
        <v>261215125.19488674</v>
      </c>
      <c r="T41" s="267">
        <v>254976351.06099999</v>
      </c>
      <c r="U41" s="273">
        <v>1060838</v>
      </c>
      <c r="V41" s="273">
        <v>208783119.15652478</v>
      </c>
      <c r="W41" s="273">
        <v>203796613.40799999</v>
      </c>
      <c r="X41" s="273">
        <v>731757</v>
      </c>
      <c r="Y41" s="273">
        <v>142977868.30400813</v>
      </c>
      <c r="Z41" s="273">
        <v>139563033.01899999</v>
      </c>
      <c r="AA41" s="267">
        <v>1792595</v>
      </c>
      <c r="AB41" s="267">
        <v>351760987.4605329</v>
      </c>
      <c r="AC41" s="267">
        <v>343359646.42699999</v>
      </c>
    </row>
    <row r="42" spans="2:29" outlineLevel="1" x14ac:dyDescent="0.25">
      <c r="B42" s="227">
        <v>44958</v>
      </c>
      <c r="C42" s="268">
        <v>331827</v>
      </c>
      <c r="D42" s="268">
        <v>69855796.760972679</v>
      </c>
      <c r="E42" s="268">
        <v>68143593.652999997</v>
      </c>
      <c r="F42" s="268">
        <v>127315</v>
      </c>
      <c r="G42" s="268">
        <v>26819695.324017443</v>
      </c>
      <c r="H42" s="268">
        <v>26162330.182999998</v>
      </c>
      <c r="I42" s="267">
        <v>459142</v>
      </c>
      <c r="J42" s="267">
        <v>96675492.084990114</v>
      </c>
      <c r="K42" s="267">
        <v>94305923.835999995</v>
      </c>
      <c r="L42" s="268">
        <v>737271</v>
      </c>
      <c r="M42" s="268">
        <v>154240078.99723509</v>
      </c>
      <c r="N42" s="268">
        <v>150459571.79699999</v>
      </c>
      <c r="O42" s="268">
        <v>613433</v>
      </c>
      <c r="P42" s="268">
        <v>127371395.5561499</v>
      </c>
      <c r="Q42" s="268">
        <v>124249454.222</v>
      </c>
      <c r="R42" s="267">
        <v>1350704</v>
      </c>
      <c r="S42" s="267">
        <v>281611474.55338502</v>
      </c>
      <c r="T42" s="267">
        <v>274709026.01899999</v>
      </c>
      <c r="U42" s="273">
        <v>1069098</v>
      </c>
      <c r="V42" s="273">
        <v>224095875.75820774</v>
      </c>
      <c r="W42" s="273">
        <v>218603165.44999999</v>
      </c>
      <c r="X42" s="273">
        <v>740748</v>
      </c>
      <c r="Y42" s="273">
        <v>154191090.88016737</v>
      </c>
      <c r="Z42" s="273">
        <v>150411784.405</v>
      </c>
      <c r="AA42" s="267">
        <v>1809846</v>
      </c>
      <c r="AB42" s="267">
        <v>378286966.6383751</v>
      </c>
      <c r="AC42" s="267">
        <v>369014949.85500002</v>
      </c>
    </row>
    <row r="43" spans="2:29" outlineLevel="1" x14ac:dyDescent="0.25">
      <c r="B43" s="227">
        <v>44986</v>
      </c>
      <c r="C43" s="268">
        <v>332837</v>
      </c>
      <c r="D43" s="268">
        <v>69291956.996509597</v>
      </c>
      <c r="E43" s="268">
        <v>68328242.839000002</v>
      </c>
      <c r="F43" s="268">
        <v>128270</v>
      </c>
      <c r="G43" s="268">
        <v>26739871.44607899</v>
      </c>
      <c r="H43" s="268">
        <v>26367972.688999999</v>
      </c>
      <c r="I43" s="267">
        <v>461107</v>
      </c>
      <c r="J43" s="267">
        <v>96031828.442588583</v>
      </c>
      <c r="K43" s="267">
        <v>94696215.527999997</v>
      </c>
      <c r="L43" s="268">
        <v>745051</v>
      </c>
      <c r="M43" s="268">
        <v>154143136.17986885</v>
      </c>
      <c r="N43" s="268">
        <v>151999309.83899999</v>
      </c>
      <c r="O43" s="268">
        <v>620582</v>
      </c>
      <c r="P43" s="268">
        <v>127425877.0636014</v>
      </c>
      <c r="Q43" s="268">
        <v>125653634.987</v>
      </c>
      <c r="R43" s="267">
        <v>1365633</v>
      </c>
      <c r="S43" s="267">
        <v>281569013.24347025</v>
      </c>
      <c r="T43" s="267">
        <v>277652944.82599998</v>
      </c>
      <c r="U43" s="273">
        <v>1077888</v>
      </c>
      <c r="V43" s="273">
        <v>223435093.17637846</v>
      </c>
      <c r="W43" s="273">
        <v>220327552.678</v>
      </c>
      <c r="X43" s="273">
        <v>748852</v>
      </c>
      <c r="Y43" s="273">
        <v>154165748.50968039</v>
      </c>
      <c r="Z43" s="273">
        <v>152021607.676</v>
      </c>
      <c r="AA43" s="267">
        <v>1826740</v>
      </c>
      <c r="AB43" s="267">
        <v>377600841.68605882</v>
      </c>
      <c r="AC43" s="267">
        <v>372349160.35399997</v>
      </c>
    </row>
    <row r="44" spans="2:29" outlineLevel="1" x14ac:dyDescent="0.25">
      <c r="B44" s="227">
        <v>45017</v>
      </c>
      <c r="C44" s="268">
        <v>337867</v>
      </c>
      <c r="D44" s="268">
        <v>70108139.948560655</v>
      </c>
      <c r="E44" s="268">
        <v>69346479.063999996</v>
      </c>
      <c r="F44" s="268">
        <v>132828</v>
      </c>
      <c r="G44" s="268">
        <v>27627198.421599444</v>
      </c>
      <c r="H44" s="268">
        <v>27327054.153000001</v>
      </c>
      <c r="I44" s="267">
        <v>470695</v>
      </c>
      <c r="J44" s="267">
        <v>97735338.370160118</v>
      </c>
      <c r="K44" s="267">
        <v>96673533.216999993</v>
      </c>
      <c r="L44" s="268">
        <v>767130</v>
      </c>
      <c r="M44" s="268">
        <v>157702403.6177302</v>
      </c>
      <c r="N44" s="268">
        <v>155989111.09099999</v>
      </c>
      <c r="O44" s="268">
        <v>640210</v>
      </c>
      <c r="P44" s="268">
        <v>130447596.72585677</v>
      </c>
      <c r="Q44" s="268">
        <v>129030402.774</v>
      </c>
      <c r="R44" s="267">
        <v>1407340</v>
      </c>
      <c r="S44" s="267">
        <v>288150000.34358698</v>
      </c>
      <c r="T44" s="267">
        <v>285019513.86500001</v>
      </c>
      <c r="U44" s="273">
        <v>1104997</v>
      </c>
      <c r="V44" s="273">
        <v>227810543.56629083</v>
      </c>
      <c r="W44" s="273">
        <v>225335590.155</v>
      </c>
      <c r="X44" s="273">
        <v>773038</v>
      </c>
      <c r="Y44" s="273">
        <v>158074795.1474562</v>
      </c>
      <c r="Z44" s="273">
        <v>156357456.92699999</v>
      </c>
      <c r="AA44" s="267">
        <v>1878035</v>
      </c>
      <c r="AB44" s="267">
        <v>385885338.71374708</v>
      </c>
      <c r="AC44" s="267">
        <v>381693047.08200002</v>
      </c>
    </row>
    <row r="45" spans="2:29" outlineLevel="1" x14ac:dyDescent="0.25">
      <c r="B45" s="227">
        <v>45047</v>
      </c>
      <c r="C45" s="268">
        <v>339302</v>
      </c>
      <c r="D45" s="268">
        <v>70297429.052836955</v>
      </c>
      <c r="E45" s="268">
        <v>69611829.996000007</v>
      </c>
      <c r="F45" s="268">
        <v>136126</v>
      </c>
      <c r="G45" s="268">
        <v>28275501.648890294</v>
      </c>
      <c r="H45" s="268">
        <v>27999735.414999999</v>
      </c>
      <c r="I45" s="267">
        <v>475428</v>
      </c>
      <c r="J45" s="267">
        <v>98572930.701727256</v>
      </c>
      <c r="K45" s="267">
        <v>97611565.410999998</v>
      </c>
      <c r="L45" s="268">
        <v>774874</v>
      </c>
      <c r="M45" s="268">
        <v>159049546.24857378</v>
      </c>
      <c r="N45" s="268">
        <v>157498362.65099999</v>
      </c>
      <c r="O45" s="268">
        <v>645979</v>
      </c>
      <c r="P45" s="268">
        <v>131413526.20068038</v>
      </c>
      <c r="Q45" s="268">
        <v>130131872.08</v>
      </c>
      <c r="R45" s="267">
        <v>1420853</v>
      </c>
      <c r="S45" s="267">
        <v>290463072.44925416</v>
      </c>
      <c r="T45" s="267">
        <v>287630234.73100001</v>
      </c>
      <c r="U45" s="273">
        <v>1114176</v>
      </c>
      <c r="V45" s="273">
        <v>229346975.30141073</v>
      </c>
      <c r="W45" s="273">
        <v>227110192.64700001</v>
      </c>
      <c r="X45" s="273">
        <v>782105</v>
      </c>
      <c r="Y45" s="273">
        <v>159689027.84957069</v>
      </c>
      <c r="Z45" s="273">
        <v>158131607.495</v>
      </c>
      <c r="AA45" s="267">
        <v>1896281</v>
      </c>
      <c r="AB45" s="267">
        <v>389036003.15098143</v>
      </c>
      <c r="AC45" s="267">
        <v>385241800.14200002</v>
      </c>
    </row>
    <row r="46" spans="2:29" outlineLevel="1" x14ac:dyDescent="0.25">
      <c r="B46" s="227">
        <v>45078</v>
      </c>
      <c r="C46" s="268">
        <v>339850</v>
      </c>
      <c r="D46" s="268">
        <v>70481247.159767658</v>
      </c>
      <c r="E46" s="268">
        <v>69687358.378000006</v>
      </c>
      <c r="F46" s="268">
        <v>135689</v>
      </c>
      <c r="G46" s="268">
        <v>28227023.917034056</v>
      </c>
      <c r="H46" s="268">
        <v>27909079.52</v>
      </c>
      <c r="I46" s="267">
        <v>475539</v>
      </c>
      <c r="J46" s="267">
        <v>98708271.076801732</v>
      </c>
      <c r="K46" s="267">
        <v>97596437.898000002</v>
      </c>
      <c r="L46" s="268">
        <v>779821</v>
      </c>
      <c r="M46" s="268">
        <v>160236449.13377979</v>
      </c>
      <c r="N46" s="268">
        <v>158431573.021</v>
      </c>
      <c r="O46" s="268">
        <v>651738</v>
      </c>
      <c r="P46" s="268">
        <v>132700269.91696195</v>
      </c>
      <c r="Q46" s="268">
        <v>131205556.64399999</v>
      </c>
      <c r="R46" s="267">
        <v>1431559</v>
      </c>
      <c r="S46" s="267">
        <v>292936719.05074173</v>
      </c>
      <c r="T46" s="267">
        <v>289637129.66500002</v>
      </c>
      <c r="U46" s="273">
        <v>1119671</v>
      </c>
      <c r="V46" s="273">
        <v>230717696.29354742</v>
      </c>
      <c r="W46" s="273">
        <v>228118931.39899999</v>
      </c>
      <c r="X46" s="273">
        <v>787427</v>
      </c>
      <c r="Y46" s="273">
        <v>160927293.833996</v>
      </c>
      <c r="Z46" s="273">
        <v>159114636.164</v>
      </c>
      <c r="AA46" s="267">
        <v>1907098</v>
      </c>
      <c r="AB46" s="267">
        <v>391644990.12754345</v>
      </c>
      <c r="AC46" s="267">
        <v>387233567.56300002</v>
      </c>
    </row>
    <row r="47" spans="2:29" outlineLevel="1" x14ac:dyDescent="0.25">
      <c r="B47" s="227">
        <v>45108</v>
      </c>
      <c r="C47" s="268">
        <v>340958</v>
      </c>
      <c r="D47" s="268">
        <v>70402475.899711043</v>
      </c>
      <c r="E47" s="268">
        <v>69854324.103</v>
      </c>
      <c r="F47" s="268">
        <v>136319</v>
      </c>
      <c r="G47" s="268">
        <v>28239201.273770705</v>
      </c>
      <c r="H47" s="268">
        <v>28019331.607000001</v>
      </c>
      <c r="I47" s="267">
        <v>477277</v>
      </c>
      <c r="J47" s="267">
        <v>98641677.173481748</v>
      </c>
      <c r="K47" s="267">
        <v>97873655.709999993</v>
      </c>
      <c r="L47" s="268">
        <v>785041</v>
      </c>
      <c r="M47" s="268">
        <v>160711632.51168549</v>
      </c>
      <c r="N47" s="268">
        <v>159460336.03400001</v>
      </c>
      <c r="O47" s="268">
        <v>656925</v>
      </c>
      <c r="P47" s="268">
        <v>133288565.31302238</v>
      </c>
      <c r="Q47" s="268">
        <v>132250784.104</v>
      </c>
      <c r="R47" s="267">
        <v>1441966</v>
      </c>
      <c r="S47" s="267">
        <v>294000197.82470781</v>
      </c>
      <c r="T47" s="267">
        <v>291711120.13800001</v>
      </c>
      <c r="U47" s="273">
        <v>1125999</v>
      </c>
      <c r="V47" s="273">
        <v>231114108.4113965</v>
      </c>
      <c r="W47" s="273">
        <v>229314660.13699999</v>
      </c>
      <c r="X47" s="273">
        <v>793244</v>
      </c>
      <c r="Y47" s="273">
        <v>161527766.58679309</v>
      </c>
      <c r="Z47" s="273">
        <v>160270115.711</v>
      </c>
      <c r="AA47" s="267">
        <v>1919243</v>
      </c>
      <c r="AB47" s="267">
        <v>392641874.99818957</v>
      </c>
      <c r="AC47" s="267">
        <v>389584775.84799999</v>
      </c>
    </row>
    <row r="48" spans="2:29" outlineLevel="1" x14ac:dyDescent="0.25">
      <c r="B48" s="227">
        <v>45139</v>
      </c>
      <c r="C48" s="268">
        <v>342010</v>
      </c>
      <c r="D48" s="268">
        <v>70504823.733742729</v>
      </c>
      <c r="E48" s="268">
        <v>70033843.935000002</v>
      </c>
      <c r="F48" s="268">
        <v>136198</v>
      </c>
      <c r="G48" s="268">
        <v>28165066.954777326</v>
      </c>
      <c r="H48" s="268">
        <v>27976921.280999999</v>
      </c>
      <c r="I48" s="267">
        <v>478208</v>
      </c>
      <c r="J48" s="267">
        <v>98669890.688520044</v>
      </c>
      <c r="K48" s="267">
        <v>98010765.216000006</v>
      </c>
      <c r="L48" s="268">
        <v>789396</v>
      </c>
      <c r="M48" s="268">
        <v>161400571.9199653</v>
      </c>
      <c r="N48" s="268">
        <v>160322398.75600001</v>
      </c>
      <c r="O48" s="268">
        <v>661702</v>
      </c>
      <c r="P48" s="268">
        <v>134081659.55275777</v>
      </c>
      <c r="Q48" s="268">
        <v>133185979.65899999</v>
      </c>
      <c r="R48" s="267">
        <v>1451098</v>
      </c>
      <c r="S48" s="267">
        <v>295482231.47272307</v>
      </c>
      <c r="T48" s="267">
        <v>293508378.41500002</v>
      </c>
      <c r="U48" s="273">
        <v>1131406</v>
      </c>
      <c r="V48" s="273">
        <v>231905395.65370804</v>
      </c>
      <c r="W48" s="273">
        <v>230356242.69100001</v>
      </c>
      <c r="X48" s="273">
        <v>797900</v>
      </c>
      <c r="Y48" s="273">
        <v>162246726.5075351</v>
      </c>
      <c r="Z48" s="273">
        <v>161162900.94</v>
      </c>
      <c r="AA48" s="267">
        <v>1929306</v>
      </c>
      <c r="AB48" s="267">
        <v>394152122.16124308</v>
      </c>
      <c r="AC48" s="267">
        <v>391519143.63099998</v>
      </c>
    </row>
    <row r="49" spans="2:29" outlineLevel="1" x14ac:dyDescent="0.25">
      <c r="B49" s="227">
        <v>45170</v>
      </c>
      <c r="C49" s="268">
        <v>343880</v>
      </c>
      <c r="D49" s="268">
        <v>70389110.717999995</v>
      </c>
      <c r="E49" s="268">
        <v>70389110.717999995</v>
      </c>
      <c r="F49" s="268">
        <v>138475</v>
      </c>
      <c r="G49" s="268">
        <v>28428701.614</v>
      </c>
      <c r="H49" s="268">
        <v>28428701.614</v>
      </c>
      <c r="I49" s="267">
        <v>482355</v>
      </c>
      <c r="J49" s="267">
        <v>98817812.332000002</v>
      </c>
      <c r="K49" s="267">
        <v>98817812.332000002</v>
      </c>
      <c r="L49" s="268">
        <v>795862</v>
      </c>
      <c r="M49" s="268">
        <v>161602425.697</v>
      </c>
      <c r="N49" s="268">
        <v>161602425.697</v>
      </c>
      <c r="O49" s="268">
        <v>666557</v>
      </c>
      <c r="P49" s="268">
        <v>134108511.395</v>
      </c>
      <c r="Q49" s="268">
        <v>134108511.395</v>
      </c>
      <c r="R49" s="267">
        <v>1462419</v>
      </c>
      <c r="S49" s="267">
        <v>295710937.09200001</v>
      </c>
      <c r="T49" s="267">
        <v>295710937.09200001</v>
      </c>
      <c r="U49" s="273">
        <v>1139742</v>
      </c>
      <c r="V49" s="273">
        <v>231991536.41499999</v>
      </c>
      <c r="W49" s="273">
        <v>231991536.41499999</v>
      </c>
      <c r="X49" s="273">
        <v>805032</v>
      </c>
      <c r="Y49" s="273">
        <v>162537213.009</v>
      </c>
      <c r="Z49" s="273">
        <v>162537213.009</v>
      </c>
      <c r="AA49" s="267">
        <v>1944774</v>
      </c>
      <c r="AB49" s="267">
        <v>394528749.42400002</v>
      </c>
      <c r="AC49" s="267">
        <v>394528749.42400002</v>
      </c>
    </row>
    <row r="50" spans="2:29" ht="30" x14ac:dyDescent="0.25">
      <c r="B50" s="345" t="s">
        <v>864</v>
      </c>
      <c r="C50" s="342">
        <v>337726</v>
      </c>
      <c r="D50" s="342">
        <v>69647592.359368265</v>
      </c>
      <c r="E50" s="342"/>
      <c r="F50" s="342">
        <v>133058.11111111112</v>
      </c>
      <c r="G50" s="342">
        <v>27507863.544622354</v>
      </c>
      <c r="H50" s="342"/>
      <c r="I50" s="342">
        <v>470784.11111111112</v>
      </c>
      <c r="J50" s="342">
        <v>97155455.903990641</v>
      </c>
      <c r="K50" s="342"/>
      <c r="L50" s="342">
        <v>767142.33333333337</v>
      </c>
      <c r="M50" s="342">
        <v>156930223.61090553</v>
      </c>
      <c r="N50" s="342"/>
      <c r="O50" s="342">
        <v>640286.66666666663</v>
      </c>
      <c r="P50" s="342">
        <v>129862973.19184507</v>
      </c>
      <c r="Q50" s="342"/>
      <c r="R50" s="342">
        <v>1407429</v>
      </c>
      <c r="S50" s="342">
        <v>286793196.80275065</v>
      </c>
      <c r="T50" s="342"/>
      <c r="U50" s="342">
        <v>1104868.3333333333</v>
      </c>
      <c r="V50" s="342">
        <v>226577815.97027382</v>
      </c>
      <c r="W50" s="342"/>
      <c r="X50" s="342">
        <v>773344.77777777775</v>
      </c>
      <c r="Y50" s="342">
        <v>157370836.73646745</v>
      </c>
      <c r="Z50" s="342"/>
      <c r="AA50" s="342">
        <v>1878213.111111111</v>
      </c>
      <c r="AB50" s="342">
        <v>383948652.70674121</v>
      </c>
      <c r="AC50" s="342"/>
    </row>
    <row r="51" spans="2:29" x14ac:dyDescent="0.25">
      <c r="B51" s="4" t="s">
        <v>812</v>
      </c>
      <c r="C51" s="262"/>
      <c r="D51" s="262"/>
      <c r="E51" s="262"/>
      <c r="F51" s="262"/>
      <c r="G51" s="262"/>
      <c r="H51" s="262"/>
      <c r="I51" s="262"/>
      <c r="J51" s="262"/>
      <c r="K51" s="262"/>
      <c r="L51" s="262"/>
      <c r="M51" s="262"/>
      <c r="N51" s="226"/>
    </row>
    <row r="52" spans="2:29" x14ac:dyDescent="0.25">
      <c r="B52" s="258" t="s">
        <v>862</v>
      </c>
      <c r="C52" s="262"/>
      <c r="D52" s="262"/>
      <c r="E52" s="262"/>
      <c r="F52" s="262"/>
      <c r="G52" s="262"/>
      <c r="H52" s="262"/>
      <c r="I52" s="262"/>
      <c r="J52" s="262"/>
      <c r="K52" s="262"/>
      <c r="L52" s="262"/>
      <c r="M52" s="262"/>
      <c r="N52" s="226"/>
    </row>
    <row r="53" spans="2:29" x14ac:dyDescent="0.25">
      <c r="B53" s="413"/>
      <c r="C53" s="413"/>
      <c r="D53" s="413"/>
      <c r="E53" s="413"/>
      <c r="F53" s="413"/>
      <c r="G53" s="413"/>
      <c r="H53" s="413"/>
      <c r="I53" s="413"/>
      <c r="J53" s="413"/>
      <c r="K53" s="413"/>
      <c r="L53" s="413"/>
      <c r="M53" s="413"/>
      <c r="N53" s="226"/>
    </row>
    <row r="54" spans="2:29" x14ac:dyDescent="0.25">
      <c r="C54" s="262"/>
      <c r="D54" s="262"/>
      <c r="E54" s="262"/>
      <c r="F54" s="262"/>
      <c r="G54" s="262"/>
      <c r="H54" s="262"/>
      <c r="I54" s="262"/>
      <c r="J54" s="262"/>
      <c r="K54" s="262"/>
      <c r="L54" s="262"/>
      <c r="M54" s="262"/>
      <c r="N54" s="226"/>
    </row>
    <row r="55" spans="2:29" x14ac:dyDescent="0.25">
      <c r="B55" s="89"/>
      <c r="C55" s="226"/>
      <c r="D55" s="226"/>
      <c r="E55" s="226"/>
      <c r="F55" s="226"/>
      <c r="G55" s="226"/>
      <c r="H55" s="226"/>
      <c r="I55" s="226"/>
      <c r="J55" s="226"/>
      <c r="K55" s="226"/>
      <c r="L55" s="226"/>
      <c r="M55" s="226"/>
      <c r="N55" s="226"/>
    </row>
    <row r="56" spans="2:29" x14ac:dyDescent="0.25">
      <c r="B56" s="89"/>
      <c r="C56" s="226"/>
      <c r="D56" s="226"/>
      <c r="E56" s="226"/>
      <c r="F56" s="226"/>
      <c r="G56" s="226"/>
      <c r="H56" s="226"/>
      <c r="I56" s="226"/>
      <c r="J56" s="226"/>
      <c r="K56" s="226"/>
      <c r="L56" s="226"/>
      <c r="M56" s="226"/>
      <c r="N56" s="226"/>
    </row>
    <row r="57" spans="2:29" x14ac:dyDescent="0.25">
      <c r="B57" s="89"/>
      <c r="C57" s="226"/>
      <c r="D57" s="226"/>
      <c r="E57" s="226"/>
      <c r="F57" s="226"/>
      <c r="G57" s="226"/>
      <c r="H57" s="226"/>
      <c r="I57" s="226"/>
      <c r="J57" s="226"/>
      <c r="K57" s="226"/>
      <c r="L57" s="226"/>
      <c r="M57" s="226"/>
      <c r="N57" s="226"/>
    </row>
    <row r="58" spans="2:29" x14ac:dyDescent="0.25">
      <c r="B58" s="89"/>
      <c r="C58" s="226"/>
      <c r="D58" s="226"/>
      <c r="E58" s="226"/>
      <c r="F58" s="226"/>
      <c r="G58" s="226"/>
      <c r="H58" s="226"/>
      <c r="I58" s="226"/>
      <c r="J58" s="226"/>
      <c r="K58" s="226"/>
      <c r="L58" s="226"/>
      <c r="M58" s="226"/>
      <c r="N58" s="226"/>
    </row>
    <row r="59" spans="2:29" x14ac:dyDescent="0.25">
      <c r="B59" s="89"/>
      <c r="C59" s="226"/>
      <c r="D59" s="226"/>
      <c r="E59" s="226"/>
      <c r="F59" s="226"/>
      <c r="G59" s="226"/>
      <c r="H59" s="226"/>
      <c r="I59" s="226"/>
      <c r="J59" s="226"/>
      <c r="K59" s="226"/>
      <c r="L59" s="226"/>
      <c r="M59" s="226"/>
      <c r="N59" s="226"/>
    </row>
    <row r="60" spans="2:29" x14ac:dyDescent="0.25">
      <c r="B60" s="89"/>
      <c r="C60" s="226"/>
      <c r="D60" s="226"/>
      <c r="E60" s="226"/>
      <c r="F60" s="226"/>
      <c r="G60" s="226"/>
      <c r="H60" s="226"/>
      <c r="I60" s="226"/>
      <c r="J60" s="226"/>
      <c r="K60" s="226"/>
      <c r="L60" s="226"/>
      <c r="M60" s="226"/>
      <c r="N60" s="226"/>
    </row>
    <row r="61" spans="2:29" x14ac:dyDescent="0.25">
      <c r="B61" s="89"/>
      <c r="C61" s="226"/>
      <c r="D61" s="226"/>
      <c r="E61" s="226"/>
      <c r="F61" s="226"/>
      <c r="G61" s="226"/>
      <c r="H61" s="226"/>
      <c r="I61" s="226"/>
      <c r="J61" s="226"/>
      <c r="K61" s="226"/>
      <c r="L61" s="226"/>
      <c r="M61" s="226"/>
      <c r="N61" s="226"/>
    </row>
    <row r="62" spans="2:29" x14ac:dyDescent="0.25">
      <c r="B62" s="89"/>
      <c r="C62" s="226"/>
      <c r="D62" s="226"/>
      <c r="E62" s="226"/>
      <c r="F62" s="226"/>
      <c r="G62" s="226"/>
      <c r="H62" s="226"/>
      <c r="I62" s="226"/>
      <c r="J62" s="226"/>
      <c r="K62" s="226"/>
      <c r="L62" s="226"/>
      <c r="M62" s="226"/>
      <c r="N62" s="226"/>
    </row>
    <row r="63" spans="2:29" x14ac:dyDescent="0.25">
      <c r="B63" s="89"/>
      <c r="C63" s="226"/>
      <c r="D63" s="226"/>
      <c r="E63" s="226"/>
      <c r="F63" s="226"/>
      <c r="G63" s="226"/>
      <c r="H63" s="226"/>
      <c r="I63" s="226"/>
      <c r="J63" s="226"/>
      <c r="K63" s="226"/>
      <c r="L63" s="226"/>
      <c r="M63" s="226"/>
      <c r="N63" s="226"/>
    </row>
    <row r="64" spans="2:29" x14ac:dyDescent="0.25">
      <c r="B64" s="89"/>
      <c r="C64" s="226"/>
      <c r="D64" s="226"/>
      <c r="E64" s="226"/>
      <c r="F64" s="226"/>
      <c r="G64" s="226"/>
      <c r="H64" s="226"/>
      <c r="I64" s="226"/>
      <c r="J64" s="226"/>
      <c r="K64" s="226"/>
      <c r="L64" s="226"/>
      <c r="M64" s="226"/>
      <c r="N64" s="226"/>
    </row>
    <row r="65" spans="2:14" x14ac:dyDescent="0.25">
      <c r="B65" s="89"/>
      <c r="C65" s="226"/>
      <c r="D65" s="226"/>
      <c r="E65" s="226"/>
      <c r="F65" s="226"/>
      <c r="G65" s="226"/>
      <c r="H65" s="226"/>
      <c r="I65" s="226"/>
      <c r="J65" s="226"/>
      <c r="K65" s="226"/>
      <c r="L65" s="226"/>
      <c r="M65" s="226"/>
      <c r="N65" s="226"/>
    </row>
    <row r="66" spans="2:14" x14ac:dyDescent="0.25">
      <c r="B66" s="4"/>
      <c r="C66" s="4"/>
      <c r="D66" s="4"/>
      <c r="E66" s="4"/>
    </row>
    <row r="67" spans="2:14" x14ac:dyDescent="0.25">
      <c r="B67" s="4"/>
      <c r="C67" s="4"/>
      <c r="D67" s="4"/>
      <c r="E67" s="4"/>
    </row>
  </sheetData>
  <mergeCells count="20">
    <mergeCell ref="U26:AC26"/>
    <mergeCell ref="U27:W27"/>
    <mergeCell ref="X27:Z27"/>
    <mergeCell ref="AA27:AC27"/>
    <mergeCell ref="F27:H27"/>
    <mergeCell ref="I27:K27"/>
    <mergeCell ref="C26:K26"/>
    <mergeCell ref="L26:T26"/>
    <mergeCell ref="L27:N27"/>
    <mergeCell ref="O27:Q27"/>
    <mergeCell ref="R27:T27"/>
    <mergeCell ref="B53:M53"/>
    <mergeCell ref="D8:F8"/>
    <mergeCell ref="G8:I8"/>
    <mergeCell ref="J8:L8"/>
    <mergeCell ref="B10:B12"/>
    <mergeCell ref="B13:B15"/>
    <mergeCell ref="B16:B18"/>
    <mergeCell ref="B20:L20"/>
    <mergeCell ref="C27:E27"/>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35"/>
  <sheetViews>
    <sheetView showGridLines="0" workbookViewId="0"/>
    <sheetView workbookViewId="1"/>
  </sheetViews>
  <sheetFormatPr baseColWidth="10" defaultRowHeight="15" outlineLevelRow="1" x14ac:dyDescent="0.25"/>
  <cols>
    <col min="2" max="2" width="20.140625" customWidth="1"/>
    <col min="3" max="3" width="15.28515625" customWidth="1"/>
    <col min="4" max="4" width="15.42578125" customWidth="1"/>
    <col min="5" max="5" width="15" bestFit="1" customWidth="1"/>
    <col min="6" max="6" width="16" customWidth="1"/>
    <col min="7" max="7" width="15.855468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719</v>
      </c>
      <c r="C2" s="4"/>
      <c r="D2" s="4"/>
      <c r="E2" s="4"/>
      <c r="F2" s="4"/>
      <c r="G2" s="4"/>
      <c r="H2" s="4"/>
      <c r="I2" s="4"/>
      <c r="J2" s="4"/>
      <c r="K2" s="4"/>
    </row>
    <row r="3" spans="1:14" x14ac:dyDescent="0.25">
      <c r="B3" s="4"/>
      <c r="C3" s="4"/>
      <c r="D3" s="4"/>
      <c r="E3" s="4"/>
      <c r="F3" s="4"/>
      <c r="G3" s="4"/>
      <c r="H3" s="4"/>
      <c r="I3" s="4"/>
      <c r="J3" s="4"/>
      <c r="K3" s="4"/>
    </row>
    <row r="4" spans="1:14" ht="18.75" x14ac:dyDescent="0.3">
      <c r="B4" s="2" t="s">
        <v>815</v>
      </c>
      <c r="C4" s="2"/>
      <c r="D4" s="2"/>
      <c r="E4" s="2"/>
      <c r="F4" s="2"/>
      <c r="G4" s="2"/>
      <c r="J4" s="4"/>
      <c r="K4" s="4"/>
    </row>
    <row r="5" spans="1:14" x14ac:dyDescent="0.25">
      <c r="B5" s="3" t="s">
        <v>857</v>
      </c>
      <c r="J5" s="4"/>
      <c r="K5" s="4"/>
    </row>
    <row r="6" spans="1:14" x14ac:dyDescent="0.25">
      <c r="J6" s="4"/>
      <c r="K6" s="4"/>
    </row>
    <row r="7" spans="1:14" x14ac:dyDescent="0.25">
      <c r="D7" s="406" t="s">
        <v>4</v>
      </c>
      <c r="E7" s="406"/>
      <c r="F7" s="406"/>
      <c r="G7" s="418"/>
      <c r="H7" s="418"/>
      <c r="I7" s="418"/>
      <c r="J7" s="418"/>
      <c r="K7" s="418"/>
      <c r="L7" s="418"/>
      <c r="N7" s="4"/>
    </row>
    <row r="8" spans="1:14" ht="30" x14ac:dyDescent="0.25">
      <c r="B8" s="138" t="s">
        <v>476</v>
      </c>
      <c r="C8" s="161" t="s">
        <v>594</v>
      </c>
      <c r="D8" s="138" t="s">
        <v>2</v>
      </c>
      <c r="E8" s="161" t="s">
        <v>595</v>
      </c>
      <c r="F8" s="138" t="s">
        <v>596</v>
      </c>
      <c r="G8" s="89"/>
      <c r="H8" s="226"/>
      <c r="I8" s="89"/>
      <c r="J8" s="89"/>
      <c r="K8" s="226"/>
      <c r="L8" s="89"/>
      <c r="M8" s="4"/>
    </row>
    <row r="9" spans="1:14" x14ac:dyDescent="0.25">
      <c r="B9" s="407">
        <v>45108</v>
      </c>
      <c r="C9" s="251" t="s">
        <v>76</v>
      </c>
      <c r="D9" s="272">
        <v>106121</v>
      </c>
      <c r="E9" s="272">
        <v>21866468.298</v>
      </c>
      <c r="F9" s="272">
        <v>22038056.013423316</v>
      </c>
      <c r="G9" s="338"/>
      <c r="H9" s="338"/>
      <c r="I9" s="339"/>
      <c r="J9" s="339"/>
      <c r="K9" s="339"/>
      <c r="L9" s="339"/>
    </row>
    <row r="10" spans="1:14" x14ac:dyDescent="0.25">
      <c r="B10" s="415"/>
      <c r="C10" s="251" t="s">
        <v>77</v>
      </c>
      <c r="D10" s="272">
        <v>83495</v>
      </c>
      <c r="E10" s="272">
        <v>17204836.741</v>
      </c>
      <c r="F10" s="272">
        <v>17339844.305568136</v>
      </c>
      <c r="G10" s="338"/>
      <c r="H10" s="338"/>
      <c r="I10" s="339"/>
      <c r="J10" s="339"/>
      <c r="K10" s="339"/>
      <c r="L10" s="339"/>
      <c r="M10" s="4"/>
    </row>
    <row r="11" spans="1:14" x14ac:dyDescent="0.25">
      <c r="B11" s="415"/>
      <c r="C11" s="251" t="s">
        <v>28</v>
      </c>
      <c r="D11" s="272">
        <v>189616</v>
      </c>
      <c r="E11" s="272">
        <v>39071305.038999997</v>
      </c>
      <c r="F11" s="272">
        <v>39377900.318991452</v>
      </c>
      <c r="G11" s="338"/>
      <c r="H11" s="338"/>
      <c r="I11" s="339"/>
      <c r="J11" s="339"/>
      <c r="K11" s="339"/>
      <c r="L11" s="339"/>
      <c r="M11" s="4"/>
    </row>
    <row r="12" spans="1:14" x14ac:dyDescent="0.25">
      <c r="B12" s="407">
        <v>45139</v>
      </c>
      <c r="C12" s="251" t="s">
        <v>76</v>
      </c>
      <c r="D12" s="272">
        <v>106570</v>
      </c>
      <c r="E12" s="272">
        <v>21958709.622000001</v>
      </c>
      <c r="F12" s="272">
        <v>22106382.633465972</v>
      </c>
      <c r="G12" s="338"/>
      <c r="H12" s="338"/>
      <c r="I12" s="339"/>
      <c r="J12" s="339"/>
      <c r="K12" s="339"/>
      <c r="L12" s="339"/>
      <c r="M12" s="4"/>
    </row>
    <row r="13" spans="1:14" x14ac:dyDescent="0.25">
      <c r="B13" s="415"/>
      <c r="C13" s="251" t="s">
        <v>77</v>
      </c>
      <c r="D13" s="272">
        <v>83812</v>
      </c>
      <c r="E13" s="272">
        <v>17270378.579</v>
      </c>
      <c r="F13" s="272">
        <v>17386522.417040613</v>
      </c>
      <c r="G13" s="338"/>
      <c r="H13" s="338"/>
      <c r="I13" s="339"/>
      <c r="J13" s="339"/>
      <c r="K13" s="339"/>
      <c r="L13" s="339"/>
      <c r="M13" s="4"/>
    </row>
    <row r="14" spans="1:14" x14ac:dyDescent="0.25">
      <c r="B14" s="415"/>
      <c r="C14" s="251" t="s">
        <v>28</v>
      </c>
      <c r="D14" s="272">
        <v>190382</v>
      </c>
      <c r="E14" s="272">
        <v>39229088.200999998</v>
      </c>
      <c r="F14" s="272">
        <v>39492905.050506584</v>
      </c>
      <c r="G14" s="338"/>
      <c r="H14" s="338"/>
      <c r="I14" s="339"/>
      <c r="J14" s="339"/>
      <c r="K14" s="339"/>
      <c r="L14" s="339"/>
      <c r="M14" s="4"/>
    </row>
    <row r="15" spans="1:14" x14ac:dyDescent="0.25">
      <c r="B15" s="416">
        <v>45170</v>
      </c>
      <c r="C15" s="251" t="s">
        <v>76</v>
      </c>
      <c r="D15" s="272">
        <v>106868</v>
      </c>
      <c r="E15" s="272">
        <v>22021397.412</v>
      </c>
      <c r="F15" s="272">
        <v>22021397.412</v>
      </c>
      <c r="G15" s="338"/>
      <c r="H15" s="338"/>
      <c r="I15" s="339"/>
      <c r="J15" s="339"/>
      <c r="K15" s="339"/>
      <c r="L15" s="339"/>
      <c r="M15" s="4"/>
    </row>
    <row r="16" spans="1:14" x14ac:dyDescent="0.25">
      <c r="B16" s="417"/>
      <c r="C16" s="251" t="s">
        <v>77</v>
      </c>
      <c r="D16" s="272">
        <v>84043</v>
      </c>
      <c r="E16" s="272">
        <v>17319291.464000002</v>
      </c>
      <c r="F16" s="272">
        <v>17319291.464000002</v>
      </c>
      <c r="G16" s="338"/>
      <c r="H16" s="338"/>
      <c r="I16" s="339"/>
      <c r="J16" s="339"/>
      <c r="K16" s="339"/>
      <c r="L16" s="339"/>
      <c r="M16" s="4"/>
    </row>
    <row r="17" spans="2:29" x14ac:dyDescent="0.25">
      <c r="B17" s="417"/>
      <c r="C17" s="252" t="s">
        <v>28</v>
      </c>
      <c r="D17" s="272">
        <v>190911</v>
      </c>
      <c r="E17" s="272">
        <v>39340688.876000002</v>
      </c>
      <c r="F17" s="272">
        <v>39340688.876000002</v>
      </c>
      <c r="G17" s="338"/>
      <c r="H17" s="338"/>
      <c r="I17" s="339"/>
      <c r="J17" s="339"/>
      <c r="K17" s="339"/>
      <c r="L17" s="339"/>
    </row>
    <row r="18" spans="2:29" x14ac:dyDescent="0.25">
      <c r="B18" s="4" t="s">
        <v>812</v>
      </c>
    </row>
    <row r="19" spans="2:29" ht="63.75" customHeight="1" x14ac:dyDescent="0.25">
      <c r="B19" s="410" t="s">
        <v>813</v>
      </c>
      <c r="C19" s="410"/>
      <c r="D19" s="410"/>
      <c r="E19" s="410"/>
      <c r="F19" s="410"/>
      <c r="G19" s="410"/>
      <c r="H19" s="410"/>
      <c r="I19" s="410"/>
      <c r="J19" s="410"/>
      <c r="K19" s="410"/>
      <c r="L19" s="410"/>
    </row>
    <row r="20" spans="2:29" x14ac:dyDescent="0.25">
      <c r="B20" s="258" t="s">
        <v>859</v>
      </c>
      <c r="C20" s="246"/>
      <c r="D20" s="246"/>
      <c r="E20" s="246"/>
      <c r="F20" s="246"/>
      <c r="G20" s="246"/>
      <c r="H20" s="246"/>
      <c r="I20" s="246"/>
      <c r="J20" s="246"/>
      <c r="K20" s="246"/>
      <c r="L20" s="246"/>
    </row>
    <row r="21" spans="2:29" x14ac:dyDescent="0.25">
      <c r="B21" s="259"/>
      <c r="D21" s="212"/>
      <c r="E21" s="212"/>
      <c r="F21" s="212"/>
      <c r="G21" s="212"/>
      <c r="H21" s="212"/>
      <c r="I21" s="212"/>
      <c r="J21" s="212"/>
      <c r="K21" s="212"/>
    </row>
    <row r="22" spans="2:29" ht="18.75" x14ac:dyDescent="0.3">
      <c r="B22" s="2" t="s">
        <v>819</v>
      </c>
      <c r="C22" s="2"/>
      <c r="D22" s="2"/>
      <c r="E22" s="2"/>
      <c r="F22" s="2"/>
      <c r="G22" s="8"/>
    </row>
    <row r="23" spans="2:29" x14ac:dyDescent="0.25">
      <c r="B23" s="3" t="s">
        <v>860</v>
      </c>
    </row>
    <row r="25" spans="2:29" x14ac:dyDescent="0.25">
      <c r="C25" s="403" t="s">
        <v>3</v>
      </c>
      <c r="D25" s="404"/>
      <c r="E25" s="404"/>
      <c r="F25" s="404"/>
      <c r="G25" s="404"/>
      <c r="H25" s="404"/>
      <c r="I25" s="404"/>
      <c r="J25" s="404"/>
      <c r="K25" s="405"/>
      <c r="L25" s="403" t="s">
        <v>4</v>
      </c>
      <c r="M25" s="404"/>
      <c r="N25" s="404"/>
      <c r="O25" s="404"/>
      <c r="P25" s="404"/>
      <c r="Q25" s="404"/>
      <c r="R25" s="404"/>
      <c r="S25" s="404"/>
      <c r="T25" s="405"/>
      <c r="U25" s="403" t="s">
        <v>592</v>
      </c>
      <c r="V25" s="404"/>
      <c r="W25" s="404"/>
      <c r="X25" s="404"/>
      <c r="Y25" s="404"/>
      <c r="Z25" s="404"/>
      <c r="AA25" s="404"/>
      <c r="AB25" s="404"/>
      <c r="AC25" s="405"/>
    </row>
    <row r="26" spans="2:29" x14ac:dyDescent="0.25">
      <c r="C26" s="403" t="s">
        <v>76</v>
      </c>
      <c r="D26" s="404"/>
      <c r="E26" s="405"/>
      <c r="F26" s="403" t="s">
        <v>77</v>
      </c>
      <c r="G26" s="404"/>
      <c r="H26" s="405"/>
      <c r="I26" s="403" t="s">
        <v>28</v>
      </c>
      <c r="J26" s="404"/>
      <c r="K26" s="405"/>
      <c r="L26" s="403" t="s">
        <v>76</v>
      </c>
      <c r="M26" s="404"/>
      <c r="N26" s="405"/>
      <c r="O26" s="403" t="s">
        <v>77</v>
      </c>
      <c r="P26" s="404"/>
      <c r="Q26" s="405"/>
      <c r="R26" s="403" t="s">
        <v>28</v>
      </c>
      <c r="S26" s="404"/>
      <c r="T26" s="405"/>
      <c r="U26" s="403" t="s">
        <v>76</v>
      </c>
      <c r="V26" s="404"/>
      <c r="W26" s="405"/>
      <c r="X26" s="403" t="s">
        <v>77</v>
      </c>
      <c r="Y26" s="404"/>
      <c r="Z26" s="405"/>
      <c r="AA26" s="403" t="s">
        <v>28</v>
      </c>
      <c r="AB26" s="404"/>
      <c r="AC26" s="405"/>
    </row>
    <row r="27" spans="2:29" ht="45" x14ac:dyDescent="0.25">
      <c r="B27" s="138" t="s">
        <v>476</v>
      </c>
      <c r="C27" s="214" t="s">
        <v>839</v>
      </c>
      <c r="D27" s="161" t="s">
        <v>838</v>
      </c>
      <c r="E27" s="214" t="s">
        <v>845</v>
      </c>
      <c r="F27" s="214" t="s">
        <v>839</v>
      </c>
      <c r="G27" s="161" t="s">
        <v>838</v>
      </c>
      <c r="H27" s="214" t="s">
        <v>845</v>
      </c>
      <c r="I27" s="214" t="s">
        <v>839</v>
      </c>
      <c r="J27" s="161" t="s">
        <v>838</v>
      </c>
      <c r="K27" s="214" t="s">
        <v>845</v>
      </c>
      <c r="L27" s="214" t="s">
        <v>839</v>
      </c>
      <c r="M27" s="161" t="s">
        <v>838</v>
      </c>
      <c r="N27" s="214" t="s">
        <v>845</v>
      </c>
      <c r="O27" s="214" t="s">
        <v>839</v>
      </c>
      <c r="P27" s="161" t="s">
        <v>838</v>
      </c>
      <c r="Q27" s="214" t="s">
        <v>845</v>
      </c>
      <c r="R27" s="214" t="s">
        <v>839</v>
      </c>
      <c r="S27" s="161" t="s">
        <v>838</v>
      </c>
      <c r="T27" s="214" t="s">
        <v>845</v>
      </c>
      <c r="U27" s="214" t="s">
        <v>839</v>
      </c>
      <c r="V27" s="161" t="s">
        <v>838</v>
      </c>
      <c r="W27" s="214" t="s">
        <v>845</v>
      </c>
      <c r="X27" s="214" t="s">
        <v>839</v>
      </c>
      <c r="Y27" s="161" t="s">
        <v>838</v>
      </c>
      <c r="Z27" s="214" t="s">
        <v>845</v>
      </c>
      <c r="AA27" s="214" t="s">
        <v>839</v>
      </c>
      <c r="AB27" s="161" t="s">
        <v>838</v>
      </c>
      <c r="AC27" s="214" t="s">
        <v>845</v>
      </c>
    </row>
    <row r="28" spans="2:29" hidden="1" outlineLevel="1" x14ac:dyDescent="0.25">
      <c r="B28" s="352">
        <v>39630</v>
      </c>
      <c r="C28" s="353">
        <v>189150</v>
      </c>
      <c r="D28" s="357">
        <v>19912308.598646883</v>
      </c>
      <c r="E28" s="353">
        <v>11349000</v>
      </c>
      <c r="F28" s="353">
        <v>101420</v>
      </c>
      <c r="G28" s="357">
        <v>10676745.112739976</v>
      </c>
      <c r="H28" s="353">
        <v>6085200</v>
      </c>
      <c r="I28" s="353">
        <v>290570</v>
      </c>
      <c r="J28" s="357">
        <v>30589053.711386859</v>
      </c>
      <c r="K28" s="353">
        <v>17434200</v>
      </c>
      <c r="L28" s="353">
        <v>108433</v>
      </c>
      <c r="M28" s="357">
        <v>11415021.719677914</v>
      </c>
      <c r="N28" s="353">
        <v>6505980</v>
      </c>
      <c r="O28" s="353">
        <v>84278</v>
      </c>
      <c r="P28" s="357">
        <v>8872162.5380743425</v>
      </c>
      <c r="Q28" s="353">
        <v>5056680</v>
      </c>
      <c r="R28" s="353">
        <v>192711</v>
      </c>
      <c r="S28" s="357">
        <v>20287184.257752255</v>
      </c>
      <c r="T28" s="353">
        <v>11562660</v>
      </c>
      <c r="U28" s="353">
        <v>297583</v>
      </c>
      <c r="V28" s="357">
        <v>31327330.318324793</v>
      </c>
      <c r="W28" s="353">
        <v>17854980</v>
      </c>
      <c r="X28" s="353">
        <v>185698</v>
      </c>
      <c r="Y28" s="357">
        <v>19548907.650814321</v>
      </c>
      <c r="Z28" s="353">
        <v>11141880</v>
      </c>
      <c r="AA28" s="353">
        <v>483281</v>
      </c>
      <c r="AB28" s="357">
        <v>50876237.969139114</v>
      </c>
      <c r="AC28" s="353">
        <v>28996860</v>
      </c>
    </row>
    <row r="29" spans="2:29" hidden="1" outlineLevel="1" x14ac:dyDescent="0.25">
      <c r="B29" s="352">
        <v>39661</v>
      </c>
      <c r="C29" s="353">
        <v>190466</v>
      </c>
      <c r="D29" s="357">
        <v>19865635.600838255</v>
      </c>
      <c r="E29" s="353">
        <v>11427960</v>
      </c>
      <c r="F29" s="353">
        <v>101671</v>
      </c>
      <c r="G29" s="357">
        <v>10604302.275329068</v>
      </c>
      <c r="H29" s="353">
        <v>6100260</v>
      </c>
      <c r="I29" s="353">
        <v>292137</v>
      </c>
      <c r="J29" s="357">
        <v>30469937.876167327</v>
      </c>
      <c r="K29" s="353">
        <v>17528220</v>
      </c>
      <c r="L29" s="353">
        <v>109472</v>
      </c>
      <c r="M29" s="357">
        <v>11417947.877810033</v>
      </c>
      <c r="N29" s="353">
        <v>6568320</v>
      </c>
      <c r="O29" s="353">
        <v>84832</v>
      </c>
      <c r="P29" s="357">
        <v>8847991.7638334986</v>
      </c>
      <c r="Q29" s="353">
        <v>5089920</v>
      </c>
      <c r="R29" s="353">
        <v>194304</v>
      </c>
      <c r="S29" s="357">
        <v>20265939.641643532</v>
      </c>
      <c r="T29" s="353">
        <v>11658240</v>
      </c>
      <c r="U29" s="353">
        <v>299938</v>
      </c>
      <c r="V29" s="357">
        <v>31283583.478648294</v>
      </c>
      <c r="W29" s="353">
        <v>17996280</v>
      </c>
      <c r="X29" s="353">
        <v>186503</v>
      </c>
      <c r="Y29" s="357">
        <v>19452294.039162569</v>
      </c>
      <c r="Z29" s="353">
        <v>11190180</v>
      </c>
      <c r="AA29" s="353">
        <v>486441</v>
      </c>
      <c r="AB29" s="357">
        <v>50735877.517810859</v>
      </c>
      <c r="AC29" s="353">
        <v>29186460</v>
      </c>
    </row>
    <row r="30" spans="2:29" hidden="1" outlineLevel="1" x14ac:dyDescent="0.25">
      <c r="B30" s="352">
        <v>39692</v>
      </c>
      <c r="C30" s="353">
        <v>221382</v>
      </c>
      <c r="D30" s="357">
        <v>22842165.596871451</v>
      </c>
      <c r="E30" s="353">
        <v>13279878.039000001</v>
      </c>
      <c r="F30" s="353">
        <v>108164</v>
      </c>
      <c r="G30" s="357">
        <v>11160689.969826881</v>
      </c>
      <c r="H30" s="353">
        <v>6488552.9790000003</v>
      </c>
      <c r="I30" s="353">
        <v>329546</v>
      </c>
      <c r="J30" s="357">
        <v>34002855.566698335</v>
      </c>
      <c r="K30" s="353">
        <v>19768431.017999999</v>
      </c>
      <c r="L30" s="353">
        <v>108958</v>
      </c>
      <c r="M30" s="357">
        <v>11244847.302639838</v>
      </c>
      <c r="N30" s="353">
        <v>6537480</v>
      </c>
      <c r="O30" s="353">
        <v>84560</v>
      </c>
      <c r="P30" s="357">
        <v>8726888.2313480861</v>
      </c>
      <c r="Q30" s="353">
        <v>5073600</v>
      </c>
      <c r="R30" s="353">
        <v>193518</v>
      </c>
      <c r="S30" s="357">
        <v>19971735.533987924</v>
      </c>
      <c r="T30" s="353">
        <v>11611080</v>
      </c>
      <c r="U30" s="353">
        <v>330340</v>
      </c>
      <c r="V30" s="357">
        <v>34087012.899511293</v>
      </c>
      <c r="W30" s="353">
        <v>19817358.039000001</v>
      </c>
      <c r="X30" s="353">
        <v>192724</v>
      </c>
      <c r="Y30" s="357">
        <v>19887578.201174967</v>
      </c>
      <c r="Z30" s="353">
        <v>11562152.979</v>
      </c>
      <c r="AA30" s="353">
        <v>523064</v>
      </c>
      <c r="AB30" s="357">
        <v>53974591.10068626</v>
      </c>
      <c r="AC30" s="353">
        <v>31379511.017999999</v>
      </c>
    </row>
    <row r="31" spans="2:29" hidden="1" outlineLevel="1" x14ac:dyDescent="0.25">
      <c r="B31" s="352">
        <v>39722</v>
      </c>
      <c r="C31" s="353">
        <v>230808</v>
      </c>
      <c r="D31" s="357">
        <v>25958557.204259668</v>
      </c>
      <c r="E31" s="353">
        <v>15225059.687000001</v>
      </c>
      <c r="F31" s="353">
        <v>110075</v>
      </c>
      <c r="G31" s="357">
        <v>11794175.90743373</v>
      </c>
      <c r="H31" s="353">
        <v>6917450.409</v>
      </c>
      <c r="I31" s="353">
        <v>340883</v>
      </c>
      <c r="J31" s="357">
        <v>37752733.111693397</v>
      </c>
      <c r="K31" s="353">
        <v>22142510.096000001</v>
      </c>
      <c r="L31" s="353">
        <v>108604</v>
      </c>
      <c r="M31" s="357">
        <v>11154003.041717116</v>
      </c>
      <c r="N31" s="353">
        <v>6541980</v>
      </c>
      <c r="O31" s="353">
        <v>84437</v>
      </c>
      <c r="P31" s="357">
        <v>8685319.2636737023</v>
      </c>
      <c r="Q31" s="353">
        <v>5094062.1679999996</v>
      </c>
      <c r="R31" s="353">
        <v>193041</v>
      </c>
      <c r="S31" s="357">
        <v>19839322.30539082</v>
      </c>
      <c r="T31" s="353">
        <v>11636042.168</v>
      </c>
      <c r="U31" s="353">
        <v>339412</v>
      </c>
      <c r="V31" s="357">
        <v>37112560.245976783</v>
      </c>
      <c r="W31" s="353">
        <v>21767039.686999999</v>
      </c>
      <c r="X31" s="353">
        <v>194512</v>
      </c>
      <c r="Y31" s="357">
        <v>20479495.171107434</v>
      </c>
      <c r="Z31" s="353">
        <v>12011512.577</v>
      </c>
      <c r="AA31" s="353">
        <v>533924</v>
      </c>
      <c r="AB31" s="357">
        <v>57592055.41708421</v>
      </c>
      <c r="AC31" s="353">
        <v>33778552.263999999</v>
      </c>
    </row>
    <row r="32" spans="2:29" hidden="1" outlineLevel="1" x14ac:dyDescent="0.25">
      <c r="B32" s="352">
        <v>39753</v>
      </c>
      <c r="C32" s="353">
        <v>236178</v>
      </c>
      <c r="D32" s="357">
        <v>25833510.570670579</v>
      </c>
      <c r="E32" s="353">
        <v>15133152.021</v>
      </c>
      <c r="F32" s="353">
        <v>111136</v>
      </c>
      <c r="G32" s="357">
        <v>11797674.120167863</v>
      </c>
      <c r="H32" s="353">
        <v>6911023.3959999997</v>
      </c>
      <c r="I32" s="353">
        <v>347314</v>
      </c>
      <c r="J32" s="357">
        <v>37631184.690838441</v>
      </c>
      <c r="K32" s="353">
        <v>22044175.416999999</v>
      </c>
      <c r="L32" s="353">
        <v>108404</v>
      </c>
      <c r="M32" s="357">
        <v>11222894.277364703</v>
      </c>
      <c r="N32" s="353">
        <v>6574320</v>
      </c>
      <c r="O32" s="353">
        <v>84286</v>
      </c>
      <c r="P32" s="357">
        <v>8687151.1366986856</v>
      </c>
      <c r="Q32" s="353">
        <v>5088893.2970000003</v>
      </c>
      <c r="R32" s="353">
        <v>192690</v>
      </c>
      <c r="S32" s="357">
        <v>19910045.41406339</v>
      </c>
      <c r="T32" s="353">
        <v>11663213.297</v>
      </c>
      <c r="U32" s="353">
        <v>344582</v>
      </c>
      <c r="V32" s="357">
        <v>37056404.848035276</v>
      </c>
      <c r="W32" s="353">
        <v>21707472.021000002</v>
      </c>
      <c r="X32" s="353">
        <v>195422</v>
      </c>
      <c r="Y32" s="357">
        <v>20484825.256866548</v>
      </c>
      <c r="Z32" s="353">
        <v>11999916.693</v>
      </c>
      <c r="AA32" s="353">
        <v>540004</v>
      </c>
      <c r="AB32" s="357">
        <v>57541230.104901828</v>
      </c>
      <c r="AC32" s="353">
        <v>33707388.714000002</v>
      </c>
    </row>
    <row r="33" spans="2:29" hidden="1" outlineLevel="1" x14ac:dyDescent="0.25">
      <c r="B33" s="352">
        <v>39783</v>
      </c>
      <c r="C33" s="353">
        <v>244815</v>
      </c>
      <c r="D33" s="357">
        <v>27919984.698579412</v>
      </c>
      <c r="E33" s="353">
        <v>16162566.722999999</v>
      </c>
      <c r="F33" s="353">
        <v>113630</v>
      </c>
      <c r="G33" s="357">
        <v>12618475.585077401</v>
      </c>
      <c r="H33" s="353">
        <v>7304694.318</v>
      </c>
      <c r="I33" s="353">
        <v>358445</v>
      </c>
      <c r="J33" s="357">
        <v>40538460.283656813</v>
      </c>
      <c r="K33" s="353">
        <v>23467261.041000001</v>
      </c>
      <c r="L33" s="353">
        <v>109628</v>
      </c>
      <c r="M33" s="357">
        <v>12198612.022823593</v>
      </c>
      <c r="N33" s="353">
        <v>7061640</v>
      </c>
      <c r="O33" s="353">
        <v>84823</v>
      </c>
      <c r="P33" s="357">
        <v>9180855.6485166997</v>
      </c>
      <c r="Q33" s="353">
        <v>5314694.6030000001</v>
      </c>
      <c r="R33" s="353">
        <v>194451</v>
      </c>
      <c r="S33" s="357">
        <v>21379467.67134029</v>
      </c>
      <c r="T33" s="353">
        <v>12376334.603</v>
      </c>
      <c r="U33" s="353">
        <v>354443</v>
      </c>
      <c r="V33" s="357">
        <v>40118596.72140301</v>
      </c>
      <c r="W33" s="353">
        <v>23224206.723000001</v>
      </c>
      <c r="X33" s="353">
        <v>198453</v>
      </c>
      <c r="Y33" s="357">
        <v>21799331.233594101</v>
      </c>
      <c r="Z33" s="353">
        <v>12619388.921</v>
      </c>
      <c r="AA33" s="353">
        <v>552896</v>
      </c>
      <c r="AB33" s="357">
        <v>61917927.9549971</v>
      </c>
      <c r="AC33" s="353">
        <v>35843595.644000001</v>
      </c>
    </row>
    <row r="34" spans="2:29" collapsed="1" x14ac:dyDescent="0.25">
      <c r="B34" s="355" t="s">
        <v>699</v>
      </c>
      <c r="C34" s="356">
        <v>218799.83333333334</v>
      </c>
      <c r="D34" s="358">
        <v>23722027.044977706</v>
      </c>
      <c r="E34" s="356"/>
      <c r="F34" s="356">
        <v>107682.66666666667</v>
      </c>
      <c r="G34" s="358">
        <v>11442010.495095821</v>
      </c>
      <c r="H34" s="356"/>
      <c r="I34" s="356">
        <v>326482.5</v>
      </c>
      <c r="J34" s="358">
        <v>35164037.540073529</v>
      </c>
      <c r="K34" s="356"/>
      <c r="L34" s="356">
        <v>108916.5</v>
      </c>
      <c r="M34" s="358">
        <v>11442221.040338865</v>
      </c>
      <c r="N34" s="356"/>
      <c r="O34" s="356">
        <v>84536</v>
      </c>
      <c r="P34" s="358">
        <v>8833394.7636908349</v>
      </c>
      <c r="Q34" s="356"/>
      <c r="R34" s="356">
        <v>193452.5</v>
      </c>
      <c r="S34" s="358">
        <v>20275615.804029703</v>
      </c>
      <c r="T34" s="356"/>
      <c r="U34" s="356">
        <v>327716.33333333331</v>
      </c>
      <c r="V34" s="358">
        <v>35164248.085316576</v>
      </c>
      <c r="W34" s="356"/>
      <c r="X34" s="356">
        <v>192218.66666666666</v>
      </c>
      <c r="Y34" s="358">
        <v>20275405.258786656</v>
      </c>
      <c r="Z34" s="356"/>
      <c r="AA34" s="356">
        <v>519935</v>
      </c>
      <c r="AB34" s="358">
        <v>55439653.344103239</v>
      </c>
      <c r="AC34" s="356"/>
    </row>
    <row r="35" spans="2:29" hidden="1" outlineLevel="1" x14ac:dyDescent="0.25">
      <c r="B35" s="352">
        <v>39814</v>
      </c>
      <c r="C35" s="353">
        <v>249383</v>
      </c>
      <c r="D35" s="357">
        <v>27220496.31480024</v>
      </c>
      <c r="E35" s="353">
        <v>15637465.548</v>
      </c>
      <c r="F35" s="353">
        <v>114748</v>
      </c>
      <c r="G35" s="357">
        <v>12345448.129808329</v>
      </c>
      <c r="H35" s="353">
        <v>7092138.1289999997</v>
      </c>
      <c r="I35" s="353">
        <v>364131</v>
      </c>
      <c r="J35" s="357">
        <v>39565944.444608569</v>
      </c>
      <c r="K35" s="353">
        <v>22729603.677000001</v>
      </c>
      <c r="L35" s="353">
        <v>110901</v>
      </c>
      <c r="M35" s="357">
        <v>12585070.36563226</v>
      </c>
      <c r="N35" s="353">
        <v>7229794.8569999998</v>
      </c>
      <c r="O35" s="353">
        <v>85291</v>
      </c>
      <c r="P35" s="357">
        <v>9314923.0561200399</v>
      </c>
      <c r="Q35" s="353">
        <v>5351180.4740000004</v>
      </c>
      <c r="R35" s="353">
        <v>196192</v>
      </c>
      <c r="S35" s="357">
        <v>21899993.4217523</v>
      </c>
      <c r="T35" s="353">
        <v>12580975.331</v>
      </c>
      <c r="U35" s="353">
        <v>360284</v>
      </c>
      <c r="V35" s="357">
        <v>39805566.680432498</v>
      </c>
      <c r="W35" s="353">
        <v>22867260.405000001</v>
      </c>
      <c r="X35" s="353">
        <v>200039</v>
      </c>
      <c r="Y35" s="357">
        <v>21660371.185928367</v>
      </c>
      <c r="Z35" s="353">
        <v>12443318.603</v>
      </c>
      <c r="AA35" s="353">
        <v>560323</v>
      </c>
      <c r="AB35" s="357">
        <v>61465937.866360866</v>
      </c>
      <c r="AC35" s="353">
        <v>35310579.008000001</v>
      </c>
    </row>
    <row r="36" spans="2:29" hidden="1" outlineLevel="1" x14ac:dyDescent="0.25">
      <c r="B36" s="352">
        <v>39845</v>
      </c>
      <c r="C36" s="353">
        <v>251808</v>
      </c>
      <c r="D36" s="357">
        <v>27265135.959246069</v>
      </c>
      <c r="E36" s="353">
        <v>15606041.944</v>
      </c>
      <c r="F36" s="353">
        <v>115183</v>
      </c>
      <c r="G36" s="357">
        <v>12336812.742178207</v>
      </c>
      <c r="H36" s="353">
        <v>7061355.4759999998</v>
      </c>
      <c r="I36" s="353">
        <v>366991</v>
      </c>
      <c r="J36" s="357">
        <v>39601948.701424278</v>
      </c>
      <c r="K36" s="353">
        <v>22667397.420000002</v>
      </c>
      <c r="L36" s="353">
        <v>111775</v>
      </c>
      <c r="M36" s="357">
        <v>12638212.660179304</v>
      </c>
      <c r="N36" s="353">
        <v>7233871.0199999996</v>
      </c>
      <c r="O36" s="353">
        <v>85481</v>
      </c>
      <c r="P36" s="357">
        <v>9292200.9154980797</v>
      </c>
      <c r="Q36" s="353">
        <v>5318677.943</v>
      </c>
      <c r="R36" s="353">
        <v>197256</v>
      </c>
      <c r="S36" s="357">
        <v>21930413.575677384</v>
      </c>
      <c r="T36" s="353">
        <v>12552548.963</v>
      </c>
      <c r="U36" s="353">
        <v>363583</v>
      </c>
      <c r="V36" s="357">
        <v>39903348.619425379</v>
      </c>
      <c r="W36" s="353">
        <v>22839912.964000002</v>
      </c>
      <c r="X36" s="353">
        <v>200664</v>
      </c>
      <c r="Y36" s="357">
        <v>21629013.657676283</v>
      </c>
      <c r="Z36" s="353">
        <v>12380033.419</v>
      </c>
      <c r="AA36" s="353">
        <v>564247</v>
      </c>
      <c r="AB36" s="357">
        <v>61532362.277101658</v>
      </c>
      <c r="AC36" s="353">
        <v>35219946.383000001</v>
      </c>
    </row>
    <row r="37" spans="2:29" hidden="1" outlineLevel="1" x14ac:dyDescent="0.25">
      <c r="B37" s="352">
        <v>39873</v>
      </c>
      <c r="C37" s="353">
        <v>254074</v>
      </c>
      <c r="D37" s="357">
        <v>27220535.380158804</v>
      </c>
      <c r="E37" s="353">
        <v>15641610.882999999</v>
      </c>
      <c r="F37" s="353">
        <v>115759</v>
      </c>
      <c r="G37" s="357">
        <v>12374450.680909695</v>
      </c>
      <c r="H37" s="353">
        <v>7110673.6050000004</v>
      </c>
      <c r="I37" s="353">
        <v>369833</v>
      </c>
      <c r="J37" s="357">
        <v>39594986.061068498</v>
      </c>
      <c r="K37" s="353">
        <v>22752284.488000002</v>
      </c>
      <c r="L37" s="353">
        <v>112459</v>
      </c>
      <c r="M37" s="357">
        <v>12578950.807622101</v>
      </c>
      <c r="N37" s="353">
        <v>7228184.5710000005</v>
      </c>
      <c r="O37" s="353">
        <v>85609</v>
      </c>
      <c r="P37" s="357">
        <v>9241675.4345709737</v>
      </c>
      <c r="Q37" s="353">
        <v>5310501.3930000002</v>
      </c>
      <c r="R37" s="353">
        <v>198068</v>
      </c>
      <c r="S37" s="357">
        <v>21820626.242193077</v>
      </c>
      <c r="T37" s="353">
        <v>12538685.964</v>
      </c>
      <c r="U37" s="353">
        <v>366533</v>
      </c>
      <c r="V37" s="357">
        <v>39799486.187780909</v>
      </c>
      <c r="W37" s="353">
        <v>22869795.454</v>
      </c>
      <c r="X37" s="353">
        <v>201368</v>
      </c>
      <c r="Y37" s="357">
        <v>21616126.115480673</v>
      </c>
      <c r="Z37" s="353">
        <v>12421174.998</v>
      </c>
      <c r="AA37" s="353">
        <v>567901</v>
      </c>
      <c r="AB37" s="357">
        <v>61415612.303261571</v>
      </c>
      <c r="AC37" s="353">
        <v>35290970.452</v>
      </c>
    </row>
    <row r="38" spans="2:29" hidden="1" outlineLevel="1" x14ac:dyDescent="0.25">
      <c r="B38" s="352">
        <v>39904</v>
      </c>
      <c r="C38" s="353">
        <v>255795</v>
      </c>
      <c r="D38" s="357">
        <v>27294014.145570755</v>
      </c>
      <c r="E38" s="353">
        <v>15659382.741</v>
      </c>
      <c r="F38" s="353">
        <v>116177</v>
      </c>
      <c r="G38" s="357">
        <v>12344314.180681584</v>
      </c>
      <c r="H38" s="353">
        <v>7082297.9500000002</v>
      </c>
      <c r="I38" s="353">
        <v>371972</v>
      </c>
      <c r="J38" s="357">
        <v>39638328.326252341</v>
      </c>
      <c r="K38" s="353">
        <v>22741680.691</v>
      </c>
      <c r="L38" s="353">
        <v>113104</v>
      </c>
      <c r="M38" s="357">
        <v>12721431.503689814</v>
      </c>
      <c r="N38" s="353">
        <v>7298661.3059999999</v>
      </c>
      <c r="O38" s="353">
        <v>85787</v>
      </c>
      <c r="P38" s="357">
        <v>9323589.2813386302</v>
      </c>
      <c r="Q38" s="353">
        <v>5349218.7810000004</v>
      </c>
      <c r="R38" s="353">
        <v>198891</v>
      </c>
      <c r="S38" s="357">
        <v>22045020.785028443</v>
      </c>
      <c r="T38" s="353">
        <v>12647880.086999999</v>
      </c>
      <c r="U38" s="353">
        <v>368899</v>
      </c>
      <c r="V38" s="357">
        <v>40015445.649260566</v>
      </c>
      <c r="W38" s="353">
        <v>22958044.046999998</v>
      </c>
      <c r="X38" s="353">
        <v>201964</v>
      </c>
      <c r="Y38" s="357">
        <v>21667903.462020218</v>
      </c>
      <c r="Z38" s="353">
        <v>12431516.731000001</v>
      </c>
      <c r="AA38" s="353">
        <v>570863</v>
      </c>
      <c r="AB38" s="357">
        <v>61683349.111280784</v>
      </c>
      <c r="AC38" s="353">
        <v>35389560.777999997</v>
      </c>
    </row>
    <row r="39" spans="2:29" hidden="1" outlineLevel="1" x14ac:dyDescent="0.25">
      <c r="B39" s="352">
        <v>39934</v>
      </c>
      <c r="C39" s="353">
        <v>258094</v>
      </c>
      <c r="D39" s="357">
        <v>27660890.159358487</v>
      </c>
      <c r="E39" s="353">
        <v>15830182.876</v>
      </c>
      <c r="F39" s="353">
        <v>116638</v>
      </c>
      <c r="G39" s="357">
        <v>12434818.200650027</v>
      </c>
      <c r="H39" s="353">
        <v>7116381.4689999996</v>
      </c>
      <c r="I39" s="353">
        <v>374732</v>
      </c>
      <c r="J39" s="357">
        <v>40095708.360008515</v>
      </c>
      <c r="K39" s="353">
        <v>22946564.344999999</v>
      </c>
      <c r="L39" s="353">
        <v>114003</v>
      </c>
      <c r="M39" s="357">
        <v>13010290.58323187</v>
      </c>
      <c r="N39" s="353">
        <v>7445721.3059999999</v>
      </c>
      <c r="O39" s="353">
        <v>86085</v>
      </c>
      <c r="P39" s="357">
        <v>9492169.1233064178</v>
      </c>
      <c r="Q39" s="353">
        <v>5432318.7810000004</v>
      </c>
      <c r="R39" s="353">
        <v>200088</v>
      </c>
      <c r="S39" s="357">
        <v>22502459.70653829</v>
      </c>
      <c r="T39" s="353">
        <v>12878040.086999999</v>
      </c>
      <c r="U39" s="353">
        <v>372097</v>
      </c>
      <c r="V39" s="357">
        <v>40671180.742590353</v>
      </c>
      <c r="W39" s="353">
        <v>23275904.182</v>
      </c>
      <c r="X39" s="353">
        <v>202723</v>
      </c>
      <c r="Y39" s="357">
        <v>21926987.323956445</v>
      </c>
      <c r="Z39" s="353">
        <v>12548700.25</v>
      </c>
      <c r="AA39" s="353">
        <v>574820</v>
      </c>
      <c r="AB39" s="357">
        <v>62598168.066546798</v>
      </c>
      <c r="AC39" s="353">
        <v>35824604.431999996</v>
      </c>
    </row>
    <row r="40" spans="2:29" hidden="1" outlineLevel="1" x14ac:dyDescent="0.25">
      <c r="B40" s="352">
        <v>39965</v>
      </c>
      <c r="C40" s="353">
        <v>260086</v>
      </c>
      <c r="D40" s="357">
        <v>27820048.279520001</v>
      </c>
      <c r="E40" s="353">
        <v>15976444.926000001</v>
      </c>
      <c r="F40" s="353">
        <v>116982</v>
      </c>
      <c r="G40" s="357">
        <v>12445187.666146114</v>
      </c>
      <c r="H40" s="353">
        <v>7146998.932</v>
      </c>
      <c r="I40" s="353">
        <v>377068</v>
      </c>
      <c r="J40" s="357">
        <v>40265235.945666112</v>
      </c>
      <c r="K40" s="353">
        <v>23123443.857999999</v>
      </c>
      <c r="L40" s="353">
        <v>114983</v>
      </c>
      <c r="M40" s="357">
        <v>13290784.048935343</v>
      </c>
      <c r="N40" s="353">
        <v>7632606.4299999997</v>
      </c>
      <c r="O40" s="353">
        <v>86441</v>
      </c>
      <c r="P40" s="357">
        <v>9557654.3883678</v>
      </c>
      <c r="Q40" s="353">
        <v>5488751.7599999998</v>
      </c>
      <c r="R40" s="353">
        <v>201424</v>
      </c>
      <c r="S40" s="357">
        <v>22848438.437303141</v>
      </c>
      <c r="T40" s="353">
        <v>13121358.189999999</v>
      </c>
      <c r="U40" s="353">
        <v>375069</v>
      </c>
      <c r="V40" s="357">
        <v>41110832.328455344</v>
      </c>
      <c r="W40" s="353">
        <v>23609051.355999999</v>
      </c>
      <c r="X40" s="353">
        <v>203423</v>
      </c>
      <c r="Y40" s="357">
        <v>22002842.054513916</v>
      </c>
      <c r="Z40" s="353">
        <v>12635750.692</v>
      </c>
      <c r="AA40" s="353">
        <v>578492</v>
      </c>
      <c r="AB40" s="357">
        <v>63113674.38296926</v>
      </c>
      <c r="AC40" s="353">
        <v>36244802.048</v>
      </c>
    </row>
    <row r="41" spans="2:29" hidden="1" outlineLevel="1" x14ac:dyDescent="0.25">
      <c r="B41" s="352">
        <v>39995</v>
      </c>
      <c r="C41" s="353">
        <v>261334</v>
      </c>
      <c r="D41" s="357">
        <v>34828686.975141652</v>
      </c>
      <c r="E41" s="353">
        <v>19913272.247000001</v>
      </c>
      <c r="F41" s="353">
        <v>117124</v>
      </c>
      <c r="G41" s="357">
        <v>15571257.363842277</v>
      </c>
      <c r="H41" s="353">
        <v>8902853.1950000003</v>
      </c>
      <c r="I41" s="353">
        <v>378458</v>
      </c>
      <c r="J41" s="357">
        <v>50399944.338983931</v>
      </c>
      <c r="K41" s="353">
        <v>28816125.442000002</v>
      </c>
      <c r="L41" s="353">
        <v>116028</v>
      </c>
      <c r="M41" s="357">
        <v>16635501.409957221</v>
      </c>
      <c r="N41" s="353">
        <v>9511333.8259999994</v>
      </c>
      <c r="O41" s="353">
        <v>86710</v>
      </c>
      <c r="P41" s="357">
        <v>11890388.309208166</v>
      </c>
      <c r="Q41" s="353">
        <v>6798319.4340000004</v>
      </c>
      <c r="R41" s="353">
        <v>202738</v>
      </c>
      <c r="S41" s="357">
        <v>28525889.719165385</v>
      </c>
      <c r="T41" s="353">
        <v>16309653.26</v>
      </c>
      <c r="U41" s="353">
        <v>377362</v>
      </c>
      <c r="V41" s="357">
        <v>51464188.385098875</v>
      </c>
      <c r="W41" s="353">
        <v>29424606.072999999</v>
      </c>
      <c r="X41" s="353">
        <v>203834</v>
      </c>
      <c r="Y41" s="357">
        <v>27461645.673050441</v>
      </c>
      <c r="Z41" s="353">
        <v>15701172.629000001</v>
      </c>
      <c r="AA41" s="353">
        <v>581196</v>
      </c>
      <c r="AB41" s="357">
        <v>78925834.058149323</v>
      </c>
      <c r="AC41" s="353">
        <v>45125778.702</v>
      </c>
    </row>
    <row r="42" spans="2:29" hidden="1" outlineLevel="1" x14ac:dyDescent="0.25">
      <c r="B42" s="352">
        <v>40026</v>
      </c>
      <c r="C42" s="353">
        <v>261917</v>
      </c>
      <c r="D42" s="357">
        <v>35023810.027325094</v>
      </c>
      <c r="E42" s="353">
        <v>19952724.859000001</v>
      </c>
      <c r="F42" s="353">
        <v>117348</v>
      </c>
      <c r="G42" s="357">
        <v>15826173.917902283</v>
      </c>
      <c r="H42" s="353">
        <v>9016017.7750000004</v>
      </c>
      <c r="I42" s="353">
        <v>379265</v>
      </c>
      <c r="J42" s="357">
        <v>50849983.945227377</v>
      </c>
      <c r="K42" s="353">
        <v>28968742.634</v>
      </c>
      <c r="L42" s="353">
        <v>117514</v>
      </c>
      <c r="M42" s="357">
        <v>17331275.904460035</v>
      </c>
      <c r="N42" s="353">
        <v>9873459.7780000009</v>
      </c>
      <c r="O42" s="353">
        <v>87229</v>
      </c>
      <c r="P42" s="357">
        <v>12204753.838954339</v>
      </c>
      <c r="Q42" s="353">
        <v>6952929.8820000002</v>
      </c>
      <c r="R42" s="353">
        <v>204743</v>
      </c>
      <c r="S42" s="357">
        <v>29536029.743414372</v>
      </c>
      <c r="T42" s="353">
        <v>16826389.66</v>
      </c>
      <c r="U42" s="353">
        <v>379431</v>
      </c>
      <c r="V42" s="357">
        <v>52355085.931785129</v>
      </c>
      <c r="W42" s="353">
        <v>29826184.636999998</v>
      </c>
      <c r="X42" s="353">
        <v>204577</v>
      </c>
      <c r="Y42" s="357">
        <v>28030927.75685662</v>
      </c>
      <c r="Z42" s="353">
        <v>15968947.657</v>
      </c>
      <c r="AA42" s="353">
        <v>584008</v>
      </c>
      <c r="AB42" s="357">
        <v>80386013.688641757</v>
      </c>
      <c r="AC42" s="353">
        <v>45795132.294</v>
      </c>
    </row>
    <row r="43" spans="2:29" hidden="1" outlineLevel="1" x14ac:dyDescent="0.25">
      <c r="B43" s="352">
        <v>40057</v>
      </c>
      <c r="C43" s="353">
        <v>267244</v>
      </c>
      <c r="D43" s="357">
        <v>36659910.690532468</v>
      </c>
      <c r="E43" s="353">
        <v>21089928.934999999</v>
      </c>
      <c r="F43" s="353">
        <v>117430</v>
      </c>
      <c r="G43" s="357">
        <v>15541802.416674916</v>
      </c>
      <c r="H43" s="353">
        <v>8940979.4600000009</v>
      </c>
      <c r="I43" s="353">
        <v>384674</v>
      </c>
      <c r="J43" s="357">
        <v>52201713.10720738</v>
      </c>
      <c r="K43" s="353">
        <v>30030908.395</v>
      </c>
      <c r="L43" s="353">
        <v>118761</v>
      </c>
      <c r="M43" s="357">
        <v>17183140.008897424</v>
      </c>
      <c r="N43" s="353">
        <v>9885217.7990000006</v>
      </c>
      <c r="O43" s="353">
        <v>87678</v>
      </c>
      <c r="P43" s="357">
        <v>12088694.088242402</v>
      </c>
      <c r="Q43" s="353">
        <v>6954455.0010000002</v>
      </c>
      <c r="R43" s="353">
        <v>206439</v>
      </c>
      <c r="S43" s="357">
        <v>29271834.097139828</v>
      </c>
      <c r="T43" s="353">
        <v>16839672.800000001</v>
      </c>
      <c r="U43" s="353">
        <v>386005</v>
      </c>
      <c r="V43" s="357">
        <v>53843050.699429892</v>
      </c>
      <c r="W43" s="353">
        <v>30975146.734000001</v>
      </c>
      <c r="X43" s="353">
        <v>205108</v>
      </c>
      <c r="Y43" s="357">
        <v>27630496.504917316</v>
      </c>
      <c r="Z43" s="353">
        <v>15895434.460999999</v>
      </c>
      <c r="AA43" s="353">
        <v>591113</v>
      </c>
      <c r="AB43" s="357">
        <v>81473547.204347208</v>
      </c>
      <c r="AC43" s="353">
        <v>46870581.195</v>
      </c>
    </row>
    <row r="44" spans="2:29" hidden="1" outlineLevel="1" x14ac:dyDescent="0.25">
      <c r="B44" s="352">
        <v>40087</v>
      </c>
      <c r="C44" s="353">
        <v>273548</v>
      </c>
      <c r="D44" s="357">
        <v>37398149.157476656</v>
      </c>
      <c r="E44" s="353">
        <v>21514109.166000001</v>
      </c>
      <c r="F44" s="353">
        <v>118419</v>
      </c>
      <c r="G44" s="357">
        <v>15908973.248159647</v>
      </c>
      <c r="H44" s="353">
        <v>9151987.3279999997</v>
      </c>
      <c r="I44" s="353">
        <v>391967</v>
      </c>
      <c r="J44" s="357">
        <v>53307122.405636303</v>
      </c>
      <c r="K44" s="353">
        <v>30666096.493999999</v>
      </c>
      <c r="L44" s="353">
        <v>120250</v>
      </c>
      <c r="M44" s="357">
        <v>17754356.911070172</v>
      </c>
      <c r="N44" s="353">
        <v>10213584.933</v>
      </c>
      <c r="O44" s="353">
        <v>88090</v>
      </c>
      <c r="P44" s="357">
        <v>12213741.446632804</v>
      </c>
      <c r="Q44" s="353">
        <v>7026223.8300000001</v>
      </c>
      <c r="R44" s="353">
        <v>208340</v>
      </c>
      <c r="S44" s="357">
        <v>29968098.357702978</v>
      </c>
      <c r="T44" s="353">
        <v>17239808.763</v>
      </c>
      <c r="U44" s="353">
        <v>393798</v>
      </c>
      <c r="V44" s="357">
        <v>55152506.068546832</v>
      </c>
      <c r="W44" s="353">
        <v>31727694.098999999</v>
      </c>
      <c r="X44" s="353">
        <v>206509</v>
      </c>
      <c r="Y44" s="357">
        <v>28122714.694792449</v>
      </c>
      <c r="Z44" s="353">
        <v>16178211.158</v>
      </c>
      <c r="AA44" s="353">
        <v>600307</v>
      </c>
      <c r="AB44" s="357">
        <v>83275220.763339281</v>
      </c>
      <c r="AC44" s="353">
        <v>47905905.256999999</v>
      </c>
    </row>
    <row r="45" spans="2:29" hidden="1" outlineLevel="1" x14ac:dyDescent="0.25">
      <c r="B45" s="352">
        <v>40118</v>
      </c>
      <c r="C45" s="353">
        <v>275060</v>
      </c>
      <c r="D45" s="357">
        <v>36645981.970099017</v>
      </c>
      <c r="E45" s="353">
        <v>20985331.285</v>
      </c>
      <c r="F45" s="353">
        <v>118547</v>
      </c>
      <c r="G45" s="357">
        <v>15729190.459005164</v>
      </c>
      <c r="H45" s="353">
        <v>9007325.0840000007</v>
      </c>
      <c r="I45" s="353">
        <v>393607</v>
      </c>
      <c r="J45" s="357">
        <v>52375172.429104179</v>
      </c>
      <c r="K45" s="353">
        <v>29992656.368999999</v>
      </c>
      <c r="L45" s="353">
        <v>121468</v>
      </c>
      <c r="M45" s="357">
        <v>17662444.68717159</v>
      </c>
      <c r="N45" s="353">
        <v>10114403.630000001</v>
      </c>
      <c r="O45" s="353">
        <v>88421</v>
      </c>
      <c r="P45" s="357">
        <v>12177400.802307723</v>
      </c>
      <c r="Q45" s="353">
        <v>6973391.7960000001</v>
      </c>
      <c r="R45" s="353">
        <v>209889</v>
      </c>
      <c r="S45" s="357">
        <v>29839845.489479315</v>
      </c>
      <c r="T45" s="353">
        <v>17087795.425999999</v>
      </c>
      <c r="U45" s="353">
        <v>396528</v>
      </c>
      <c r="V45" s="357">
        <v>54308426.657270603</v>
      </c>
      <c r="W45" s="353">
        <v>31099734.914999999</v>
      </c>
      <c r="X45" s="353">
        <v>206968</v>
      </c>
      <c r="Y45" s="357">
        <v>27906591.261312891</v>
      </c>
      <c r="Z45" s="353">
        <v>15980716.880000001</v>
      </c>
      <c r="AA45" s="353">
        <v>603496</v>
      </c>
      <c r="AB45" s="357">
        <v>82215017.918583497</v>
      </c>
      <c r="AC45" s="353">
        <v>47080451.795000002</v>
      </c>
    </row>
    <row r="46" spans="2:29" hidden="1" outlineLevel="1" x14ac:dyDescent="0.25">
      <c r="B46" s="352">
        <v>40148</v>
      </c>
      <c r="C46" s="353">
        <v>278864</v>
      </c>
      <c r="D46" s="357">
        <v>38241750.224086508</v>
      </c>
      <c r="E46" s="353">
        <v>21832267.361000001</v>
      </c>
      <c r="F46" s="353">
        <v>119964</v>
      </c>
      <c r="G46" s="357">
        <v>16230243.47435455</v>
      </c>
      <c r="H46" s="353">
        <v>9265868.1359999999</v>
      </c>
      <c r="I46" s="353">
        <v>398828</v>
      </c>
      <c r="J46" s="357">
        <v>54471993.698441066</v>
      </c>
      <c r="K46" s="353">
        <v>31098135.497000001</v>
      </c>
      <c r="L46" s="353">
        <v>123215</v>
      </c>
      <c r="M46" s="357">
        <v>18823854.892402355</v>
      </c>
      <c r="N46" s="353">
        <v>10746564.432</v>
      </c>
      <c r="O46" s="353">
        <v>88990</v>
      </c>
      <c r="P46" s="357">
        <v>12559290.928945862</v>
      </c>
      <c r="Q46" s="353">
        <v>7170116.3210000005</v>
      </c>
      <c r="R46" s="353">
        <v>212205</v>
      </c>
      <c r="S46" s="357">
        <v>31383145.821348216</v>
      </c>
      <c r="T46" s="353">
        <v>17916680.752999999</v>
      </c>
      <c r="U46" s="353">
        <v>402079</v>
      </c>
      <c r="V46" s="357">
        <v>57065605.116488867</v>
      </c>
      <c r="W46" s="353">
        <v>32578831.793000001</v>
      </c>
      <c r="X46" s="353">
        <v>208954</v>
      </c>
      <c r="Y46" s="357">
        <v>28789534.403300412</v>
      </c>
      <c r="Z46" s="353">
        <v>16435984.457</v>
      </c>
      <c r="AA46" s="353">
        <v>611033</v>
      </c>
      <c r="AB46" s="357">
        <v>85855139.519789279</v>
      </c>
      <c r="AC46" s="353">
        <v>49014816.25</v>
      </c>
    </row>
    <row r="47" spans="2:29" collapsed="1" x14ac:dyDescent="0.25">
      <c r="B47" s="355" t="s">
        <v>700</v>
      </c>
      <c r="C47" s="356">
        <v>262267.25</v>
      </c>
      <c r="D47" s="358">
        <v>31939950.773609649</v>
      </c>
      <c r="E47" s="356"/>
      <c r="F47" s="356">
        <v>117026.58333333333</v>
      </c>
      <c r="G47" s="358">
        <v>14090722.706692735</v>
      </c>
      <c r="H47" s="356"/>
      <c r="I47" s="356">
        <v>379293.83333333331</v>
      </c>
      <c r="J47" s="358">
        <v>46030673.480302371</v>
      </c>
      <c r="K47" s="356"/>
      <c r="L47" s="356">
        <v>116205.08333333333</v>
      </c>
      <c r="M47" s="358">
        <v>15184609.481937455</v>
      </c>
      <c r="N47" s="356"/>
      <c r="O47" s="356">
        <v>86817.666666666672</v>
      </c>
      <c r="P47" s="358">
        <v>10779706.801124437</v>
      </c>
      <c r="Q47" s="356"/>
      <c r="R47" s="356">
        <v>203022.75</v>
      </c>
      <c r="S47" s="358">
        <v>25964316.283061892</v>
      </c>
      <c r="T47" s="356"/>
      <c r="U47" s="356">
        <v>378472.33333333331</v>
      </c>
      <c r="V47" s="358">
        <v>47124560.255547099</v>
      </c>
      <c r="W47" s="356"/>
      <c r="X47" s="356">
        <v>203844.25</v>
      </c>
      <c r="Y47" s="358">
        <v>24870429.507817168</v>
      </c>
      <c r="Z47" s="356"/>
      <c r="AA47" s="356">
        <v>582316.58333333337</v>
      </c>
      <c r="AB47" s="358">
        <v>71994989.76336427</v>
      </c>
      <c r="AC47" s="356"/>
    </row>
    <row r="48" spans="2:29" hidden="1" outlineLevel="1" x14ac:dyDescent="0.25">
      <c r="B48" s="352">
        <v>40179</v>
      </c>
      <c r="C48" s="353">
        <v>281175</v>
      </c>
      <c r="D48" s="357">
        <v>37164089.984991349</v>
      </c>
      <c r="E48" s="353">
        <v>21326987.046</v>
      </c>
      <c r="F48" s="353">
        <v>120328</v>
      </c>
      <c r="G48" s="357">
        <v>15846887.599088304</v>
      </c>
      <c r="H48" s="353">
        <v>9093895.9269999992</v>
      </c>
      <c r="I48" s="353">
        <v>401503</v>
      </c>
      <c r="J48" s="357">
        <v>53010977.584079653</v>
      </c>
      <c r="K48" s="353">
        <v>30420882.973000001</v>
      </c>
      <c r="L48" s="353">
        <v>124307</v>
      </c>
      <c r="M48" s="357">
        <v>17561516.147487924</v>
      </c>
      <c r="N48" s="353">
        <v>10077852.775</v>
      </c>
      <c r="O48" s="353">
        <v>89382</v>
      </c>
      <c r="P48" s="357">
        <v>12156575.932582511</v>
      </c>
      <c r="Q48" s="353">
        <v>6976173.4390000002</v>
      </c>
      <c r="R48" s="353">
        <v>213689</v>
      </c>
      <c r="S48" s="357">
        <v>29718092.080070436</v>
      </c>
      <c r="T48" s="353">
        <v>17054026.214000002</v>
      </c>
      <c r="U48" s="353">
        <v>405482</v>
      </c>
      <c r="V48" s="357">
        <v>54725606.132479273</v>
      </c>
      <c r="W48" s="353">
        <v>31404839.820999999</v>
      </c>
      <c r="X48" s="353">
        <v>209710</v>
      </c>
      <c r="Y48" s="357">
        <v>28003463.531670816</v>
      </c>
      <c r="Z48" s="353">
        <v>16070069.366</v>
      </c>
      <c r="AA48" s="353">
        <v>615192</v>
      </c>
      <c r="AB48" s="357">
        <v>82729069.664150089</v>
      </c>
      <c r="AC48" s="353">
        <v>47474909.186999999</v>
      </c>
    </row>
    <row r="49" spans="2:29" hidden="1" outlineLevel="1" x14ac:dyDescent="0.25">
      <c r="B49" s="352">
        <v>40210</v>
      </c>
      <c r="C49" s="353">
        <v>280040</v>
      </c>
      <c r="D49" s="357">
        <v>36481238.120502599</v>
      </c>
      <c r="E49" s="353">
        <v>20993952.795000002</v>
      </c>
      <c r="F49" s="353">
        <v>119616</v>
      </c>
      <c r="G49" s="357">
        <v>15585592.513449531</v>
      </c>
      <c r="H49" s="353">
        <v>8969081.3790000007</v>
      </c>
      <c r="I49" s="353">
        <v>399656</v>
      </c>
      <c r="J49" s="357">
        <v>52066830.633952133</v>
      </c>
      <c r="K49" s="353">
        <v>29963034.173999999</v>
      </c>
      <c r="L49" s="353">
        <v>123693</v>
      </c>
      <c r="M49" s="357">
        <v>16120456.184296859</v>
      </c>
      <c r="N49" s="353">
        <v>9276880.7640000004</v>
      </c>
      <c r="O49" s="353">
        <v>89028</v>
      </c>
      <c r="P49" s="357">
        <v>11603839.913617397</v>
      </c>
      <c r="Q49" s="353">
        <v>6677691.875</v>
      </c>
      <c r="R49" s="353">
        <v>212721</v>
      </c>
      <c r="S49" s="357">
        <v>27724296.097914256</v>
      </c>
      <c r="T49" s="353">
        <v>15954572.639</v>
      </c>
      <c r="U49" s="353">
        <v>403733</v>
      </c>
      <c r="V49" s="357">
        <v>52601694.30479946</v>
      </c>
      <c r="W49" s="353">
        <v>30270833.559</v>
      </c>
      <c r="X49" s="353">
        <v>208644</v>
      </c>
      <c r="Y49" s="357">
        <v>27189432.42706693</v>
      </c>
      <c r="Z49" s="353">
        <v>15646773.254000001</v>
      </c>
      <c r="AA49" s="353">
        <v>612377</v>
      </c>
      <c r="AB49" s="357">
        <v>79791126.73186639</v>
      </c>
      <c r="AC49" s="353">
        <v>45917606.813000001</v>
      </c>
    </row>
    <row r="50" spans="2:29" hidden="1" outlineLevel="1" x14ac:dyDescent="0.25">
      <c r="B50" s="352">
        <v>40238</v>
      </c>
      <c r="C50" s="353">
        <v>282275</v>
      </c>
      <c r="D50" s="357">
        <v>38063208.161591195</v>
      </c>
      <c r="E50" s="353">
        <v>21922751.114</v>
      </c>
      <c r="F50" s="353">
        <v>120019</v>
      </c>
      <c r="G50" s="357">
        <v>15897716.557305438</v>
      </c>
      <c r="H50" s="353">
        <v>9156392.7530000005</v>
      </c>
      <c r="I50" s="353">
        <v>402294</v>
      </c>
      <c r="J50" s="357">
        <v>53960924.718896635</v>
      </c>
      <c r="K50" s="353">
        <v>31079143.866999999</v>
      </c>
      <c r="L50" s="353">
        <v>124927</v>
      </c>
      <c r="M50" s="357">
        <v>17798881.587688264</v>
      </c>
      <c r="N50" s="353">
        <v>10251381.058</v>
      </c>
      <c r="O50" s="353">
        <v>89480</v>
      </c>
      <c r="P50" s="357">
        <v>12213110.698296191</v>
      </c>
      <c r="Q50" s="353">
        <v>7034220.159</v>
      </c>
      <c r="R50" s="353">
        <v>214407</v>
      </c>
      <c r="S50" s="357">
        <v>30011992.285984457</v>
      </c>
      <c r="T50" s="353">
        <v>17285601.217</v>
      </c>
      <c r="U50" s="353">
        <v>407202</v>
      </c>
      <c r="V50" s="357">
        <v>55862089.749279454</v>
      </c>
      <c r="W50" s="353">
        <v>32174132.171999998</v>
      </c>
      <c r="X50" s="353">
        <v>209499</v>
      </c>
      <c r="Y50" s="357">
        <v>28110827.255601626</v>
      </c>
      <c r="Z50" s="353">
        <v>16190612.912</v>
      </c>
      <c r="AA50" s="353">
        <v>616701</v>
      </c>
      <c r="AB50" s="357">
        <v>83972917.004881084</v>
      </c>
      <c r="AC50" s="353">
        <v>48364745.083999999</v>
      </c>
    </row>
    <row r="51" spans="2:29" hidden="1" outlineLevel="1" x14ac:dyDescent="0.25">
      <c r="B51" s="352">
        <v>40269</v>
      </c>
      <c r="C51" s="353">
        <v>283343</v>
      </c>
      <c r="D51" s="357">
        <v>37216312.795739613</v>
      </c>
      <c r="E51" s="353">
        <v>21534048.636</v>
      </c>
      <c r="F51" s="353">
        <v>120234</v>
      </c>
      <c r="G51" s="357">
        <v>15836005.708771929</v>
      </c>
      <c r="H51" s="353">
        <v>9163006.5289999992</v>
      </c>
      <c r="I51" s="353">
        <v>403577</v>
      </c>
      <c r="J51" s="357">
        <v>53052318.50451155</v>
      </c>
      <c r="K51" s="353">
        <v>30697055.164999999</v>
      </c>
      <c r="L51" s="353">
        <v>125111</v>
      </c>
      <c r="M51" s="357">
        <v>16884320.865170304</v>
      </c>
      <c r="N51" s="353">
        <v>9769581.1160000004</v>
      </c>
      <c r="O51" s="353">
        <v>89554</v>
      </c>
      <c r="P51" s="357">
        <v>11928533.914839972</v>
      </c>
      <c r="Q51" s="353">
        <v>6902070.898</v>
      </c>
      <c r="R51" s="353">
        <v>214665</v>
      </c>
      <c r="S51" s="357">
        <v>28812854.780010276</v>
      </c>
      <c r="T51" s="353">
        <v>16671652.014</v>
      </c>
      <c r="U51" s="353">
        <v>408454</v>
      </c>
      <c r="V51" s="357">
        <v>54100633.660909928</v>
      </c>
      <c r="W51" s="353">
        <v>31303629.752</v>
      </c>
      <c r="X51" s="353">
        <v>209788</v>
      </c>
      <c r="Y51" s="357">
        <v>27764539.623611901</v>
      </c>
      <c r="Z51" s="353">
        <v>16065077.426999999</v>
      </c>
      <c r="AA51" s="353">
        <v>618242</v>
      </c>
      <c r="AB51" s="357">
        <v>81865173.284521818</v>
      </c>
      <c r="AC51" s="353">
        <v>47368707.178999998</v>
      </c>
    </row>
    <row r="52" spans="2:29" hidden="1" outlineLevel="1" x14ac:dyDescent="0.25">
      <c r="B52" s="352">
        <v>40299</v>
      </c>
      <c r="C52" s="353">
        <v>283931</v>
      </c>
      <c r="D52" s="357">
        <v>37352555.774686247</v>
      </c>
      <c r="E52" s="353">
        <v>21690650.936000001</v>
      </c>
      <c r="F52" s="353">
        <v>120295</v>
      </c>
      <c r="G52" s="357">
        <v>15741069.609203747</v>
      </c>
      <c r="H52" s="353">
        <v>9140848.3080000002</v>
      </c>
      <c r="I52" s="353">
        <v>404226</v>
      </c>
      <c r="J52" s="357">
        <v>53093625.383889988</v>
      </c>
      <c r="K52" s="353">
        <v>30831499.243999999</v>
      </c>
      <c r="L52" s="353">
        <v>125246</v>
      </c>
      <c r="M52" s="357">
        <v>16892865.231474329</v>
      </c>
      <c r="N52" s="353">
        <v>9809696.6980000008</v>
      </c>
      <c r="O52" s="353">
        <v>89604</v>
      </c>
      <c r="P52" s="357">
        <v>11858852.367126316</v>
      </c>
      <c r="Q52" s="353">
        <v>6886442.4900000002</v>
      </c>
      <c r="R52" s="353">
        <v>214850</v>
      </c>
      <c r="S52" s="357">
        <v>28751717.598600645</v>
      </c>
      <c r="T52" s="353">
        <v>16696139.187999999</v>
      </c>
      <c r="U52" s="353">
        <v>409177</v>
      </c>
      <c r="V52" s="357">
        <v>54245421.006160572</v>
      </c>
      <c r="W52" s="353">
        <v>31500347.634</v>
      </c>
      <c r="X52" s="353">
        <v>209899</v>
      </c>
      <c r="Y52" s="357">
        <v>27599921.976330064</v>
      </c>
      <c r="Z52" s="353">
        <v>16027290.798</v>
      </c>
      <c r="AA52" s="353">
        <v>619076</v>
      </c>
      <c r="AB52" s="357">
        <v>81845342.982490629</v>
      </c>
      <c r="AC52" s="353">
        <v>47527638.431999996</v>
      </c>
    </row>
    <row r="53" spans="2:29" hidden="1" outlineLevel="1" x14ac:dyDescent="0.25">
      <c r="B53" s="352">
        <v>40330</v>
      </c>
      <c r="C53" s="353">
        <v>284810</v>
      </c>
      <c r="D53" s="357">
        <v>37328949.97528214</v>
      </c>
      <c r="E53" s="353">
        <v>21677022.113000002</v>
      </c>
      <c r="F53" s="353">
        <v>120331</v>
      </c>
      <c r="G53" s="357">
        <v>15721098.71153586</v>
      </c>
      <c r="H53" s="353">
        <v>9129284.5</v>
      </c>
      <c r="I53" s="353">
        <v>405141</v>
      </c>
      <c r="J53" s="357">
        <v>53050048.686818004</v>
      </c>
      <c r="K53" s="353">
        <v>30806306.613000002</v>
      </c>
      <c r="L53" s="353">
        <v>125671</v>
      </c>
      <c r="M53" s="357">
        <v>17142657.967545427</v>
      </c>
      <c r="N53" s="353">
        <v>9954787.8010000009</v>
      </c>
      <c r="O53" s="353">
        <v>89759</v>
      </c>
      <c r="P53" s="357">
        <v>11950563.677849395</v>
      </c>
      <c r="Q53" s="353">
        <v>6939724.6179999998</v>
      </c>
      <c r="R53" s="353">
        <v>215430</v>
      </c>
      <c r="S53" s="357">
        <v>29093221.645394824</v>
      </c>
      <c r="T53" s="353">
        <v>16894512.419</v>
      </c>
      <c r="U53" s="353">
        <v>410481</v>
      </c>
      <c r="V53" s="357">
        <v>54471607.942827567</v>
      </c>
      <c r="W53" s="353">
        <v>31631809.914000001</v>
      </c>
      <c r="X53" s="353">
        <v>210090</v>
      </c>
      <c r="Y53" s="357">
        <v>27671662.389385253</v>
      </c>
      <c r="Z53" s="353">
        <v>16069009.118000001</v>
      </c>
      <c r="AA53" s="353">
        <v>620571</v>
      </c>
      <c r="AB53" s="357">
        <v>82143270.332212836</v>
      </c>
      <c r="AC53" s="353">
        <v>47700819.031999998</v>
      </c>
    </row>
    <row r="54" spans="2:29" hidden="1" outlineLevel="1" x14ac:dyDescent="0.25">
      <c r="B54" s="352">
        <v>40360</v>
      </c>
      <c r="C54" s="353">
        <v>285566</v>
      </c>
      <c r="D54" s="357">
        <v>37629027.419498026</v>
      </c>
      <c r="E54" s="353">
        <v>21991648.254999999</v>
      </c>
      <c r="F54" s="353">
        <v>120293</v>
      </c>
      <c r="G54" s="357">
        <v>15839364.509867465</v>
      </c>
      <c r="H54" s="353">
        <v>9257048.5280000009</v>
      </c>
      <c r="I54" s="353">
        <v>405859</v>
      </c>
      <c r="J54" s="357">
        <v>53468391.929365486</v>
      </c>
      <c r="K54" s="353">
        <v>31248696.783</v>
      </c>
      <c r="L54" s="353">
        <v>125791</v>
      </c>
      <c r="M54" s="357">
        <v>17214740.130313382</v>
      </c>
      <c r="N54" s="353">
        <v>10060863.533</v>
      </c>
      <c r="O54" s="353">
        <v>89862</v>
      </c>
      <c r="P54" s="357">
        <v>12047003.453190863</v>
      </c>
      <c r="Q54" s="353">
        <v>7040667.2889999999</v>
      </c>
      <c r="R54" s="353">
        <v>215653</v>
      </c>
      <c r="S54" s="357">
        <v>29261743.583504241</v>
      </c>
      <c r="T54" s="353">
        <v>17101530.822000001</v>
      </c>
      <c r="U54" s="353">
        <v>411357</v>
      </c>
      <c r="V54" s="357">
        <v>54843767.5498114</v>
      </c>
      <c r="W54" s="353">
        <v>32052511.787999999</v>
      </c>
      <c r="X54" s="353">
        <v>210155</v>
      </c>
      <c r="Y54" s="357">
        <v>27886367.96305833</v>
      </c>
      <c r="Z54" s="353">
        <v>16297715.817</v>
      </c>
      <c r="AA54" s="353">
        <v>621512</v>
      </c>
      <c r="AB54" s="357">
        <v>82730135.512869731</v>
      </c>
      <c r="AC54" s="353">
        <v>48350227.604999997</v>
      </c>
    </row>
    <row r="55" spans="2:29" hidden="1" outlineLevel="1" x14ac:dyDescent="0.25">
      <c r="B55" s="352">
        <v>40391</v>
      </c>
      <c r="C55" s="353">
        <v>286679</v>
      </c>
      <c r="D55" s="357">
        <v>37911906.050949819</v>
      </c>
      <c r="E55" s="353">
        <v>22135189.881000001</v>
      </c>
      <c r="F55" s="353">
        <v>120325</v>
      </c>
      <c r="G55" s="357">
        <v>15827652.494233551</v>
      </c>
      <c r="H55" s="353">
        <v>9241109.9790000003</v>
      </c>
      <c r="I55" s="353">
        <v>407004</v>
      </c>
      <c r="J55" s="357">
        <v>53739558.545183375</v>
      </c>
      <c r="K55" s="353">
        <v>31376299.859999999</v>
      </c>
      <c r="L55" s="353">
        <v>126047</v>
      </c>
      <c r="M55" s="357">
        <v>17132541.752292708</v>
      </c>
      <c r="N55" s="353">
        <v>10002980.708000001</v>
      </c>
      <c r="O55" s="353">
        <v>89942</v>
      </c>
      <c r="P55" s="357">
        <v>11987804.921303527</v>
      </c>
      <c r="Q55" s="353">
        <v>6999182.2050000001</v>
      </c>
      <c r="R55" s="353">
        <v>215989</v>
      </c>
      <c r="S55" s="357">
        <v>29120346.673596233</v>
      </c>
      <c r="T55" s="353">
        <v>17002162.912999999</v>
      </c>
      <c r="U55" s="353">
        <v>412726</v>
      </c>
      <c r="V55" s="357">
        <v>55044447.803242534</v>
      </c>
      <c r="W55" s="353">
        <v>32138170.589000002</v>
      </c>
      <c r="X55" s="353">
        <v>210267</v>
      </c>
      <c r="Y55" s="357">
        <v>27815457.415537078</v>
      </c>
      <c r="Z55" s="353">
        <v>16240292.184</v>
      </c>
      <c r="AA55" s="353">
        <v>622993</v>
      </c>
      <c r="AB55" s="357">
        <v>82859905.218779624</v>
      </c>
      <c r="AC55" s="353">
        <v>48378462.773000002</v>
      </c>
    </row>
    <row r="56" spans="2:29" hidden="1" outlineLevel="1" x14ac:dyDescent="0.25">
      <c r="B56" s="352">
        <v>40422</v>
      </c>
      <c r="C56" s="353">
        <v>286024</v>
      </c>
      <c r="D56" s="357">
        <v>37140083.299382918</v>
      </c>
      <c r="E56" s="353">
        <v>21771278.159000002</v>
      </c>
      <c r="F56" s="353">
        <v>119687</v>
      </c>
      <c r="G56" s="357">
        <v>15518067.664331388</v>
      </c>
      <c r="H56" s="353">
        <v>9096591.5419999994</v>
      </c>
      <c r="I56" s="353">
        <v>405711</v>
      </c>
      <c r="J56" s="357">
        <v>52658150.963714309</v>
      </c>
      <c r="K56" s="353">
        <v>30867869.701000001</v>
      </c>
      <c r="L56" s="353">
        <v>126265</v>
      </c>
      <c r="M56" s="357">
        <v>17119922.650522094</v>
      </c>
      <c r="N56" s="353">
        <v>10035588.641000001</v>
      </c>
      <c r="O56" s="353">
        <v>90028</v>
      </c>
      <c r="P56" s="357">
        <v>11999041.780493479</v>
      </c>
      <c r="Q56" s="353">
        <v>7033761.1830000002</v>
      </c>
      <c r="R56" s="353">
        <v>216293</v>
      </c>
      <c r="S56" s="357">
        <v>29118964.431015573</v>
      </c>
      <c r="T56" s="353">
        <v>17069349.824000001</v>
      </c>
      <c r="U56" s="353">
        <v>412289</v>
      </c>
      <c r="V56" s="357">
        <v>54260005.949905016</v>
      </c>
      <c r="W56" s="353">
        <v>31806866.800000001</v>
      </c>
      <c r="X56" s="353">
        <v>209715</v>
      </c>
      <c r="Y56" s="357">
        <v>27517109.444824867</v>
      </c>
      <c r="Z56" s="353">
        <v>16130352.725</v>
      </c>
      <c r="AA56" s="353">
        <v>622004</v>
      </c>
      <c r="AB56" s="357">
        <v>81777115.394729868</v>
      </c>
      <c r="AC56" s="353">
        <v>47937219.524999999</v>
      </c>
    </row>
    <row r="57" spans="2:29" hidden="1" outlineLevel="1" x14ac:dyDescent="0.25">
      <c r="B57" s="352">
        <v>40452</v>
      </c>
      <c r="C57" s="353">
        <v>286401</v>
      </c>
      <c r="D57" s="357">
        <v>37545088.682092145</v>
      </c>
      <c r="E57" s="353">
        <v>22030268.861000001</v>
      </c>
      <c r="F57" s="353">
        <v>119515</v>
      </c>
      <c r="G57" s="357">
        <v>15683413.73858243</v>
      </c>
      <c r="H57" s="353">
        <v>9202530.4360000007</v>
      </c>
      <c r="I57" s="353">
        <v>405916</v>
      </c>
      <c r="J57" s="357">
        <v>53228502.420674577</v>
      </c>
      <c r="K57" s="353">
        <v>31232799.296999998</v>
      </c>
      <c r="L57" s="353">
        <v>126450</v>
      </c>
      <c r="M57" s="357">
        <v>17096814.735691674</v>
      </c>
      <c r="N57" s="353">
        <v>10031869.374</v>
      </c>
      <c r="O57" s="353">
        <v>90089</v>
      </c>
      <c r="P57" s="357">
        <v>11964982.082004283</v>
      </c>
      <c r="Q57" s="353">
        <v>7020672.5149999997</v>
      </c>
      <c r="R57" s="353">
        <v>216539</v>
      </c>
      <c r="S57" s="357">
        <v>29061796.817695957</v>
      </c>
      <c r="T57" s="353">
        <v>17052541.888999999</v>
      </c>
      <c r="U57" s="353">
        <v>412851</v>
      </c>
      <c r="V57" s="357">
        <v>54641903.417783819</v>
      </c>
      <c r="W57" s="353">
        <v>32062138.234999999</v>
      </c>
      <c r="X57" s="353">
        <v>209604</v>
      </c>
      <c r="Y57" s="357">
        <v>27648395.820586711</v>
      </c>
      <c r="Z57" s="353">
        <v>16223202.950999999</v>
      </c>
      <c r="AA57" s="353">
        <v>622455</v>
      </c>
      <c r="AB57" s="357">
        <v>82290299.238370523</v>
      </c>
      <c r="AC57" s="353">
        <v>48285341.185999997</v>
      </c>
    </row>
    <row r="58" spans="2:29" hidden="1" outlineLevel="1" x14ac:dyDescent="0.25">
      <c r="B58" s="352">
        <v>40483</v>
      </c>
      <c r="C58" s="353">
        <v>286938</v>
      </c>
      <c r="D58" s="357">
        <v>37781420.192818478</v>
      </c>
      <c r="E58" s="353">
        <v>22184544.239999998</v>
      </c>
      <c r="F58" s="353">
        <v>119528</v>
      </c>
      <c r="G58" s="357">
        <v>15735200.128869181</v>
      </c>
      <c r="H58" s="353">
        <v>9239415.6070000008</v>
      </c>
      <c r="I58" s="353">
        <v>406466</v>
      </c>
      <c r="J58" s="357">
        <v>53516620.321687669</v>
      </c>
      <c r="K58" s="353">
        <v>31423959.846999999</v>
      </c>
      <c r="L58" s="353">
        <v>126434</v>
      </c>
      <c r="M58" s="357">
        <v>17094984.617332004</v>
      </c>
      <c r="N58" s="353">
        <v>10037855.66</v>
      </c>
      <c r="O58" s="353">
        <v>90074</v>
      </c>
      <c r="P58" s="357">
        <v>11940216.318752799</v>
      </c>
      <c r="Q58" s="353">
        <v>7011071.9979999997</v>
      </c>
      <c r="R58" s="353">
        <v>216508</v>
      </c>
      <c r="S58" s="357">
        <v>29035200.936084803</v>
      </c>
      <c r="T58" s="353">
        <v>17048927.658</v>
      </c>
      <c r="U58" s="353">
        <v>413372</v>
      </c>
      <c r="V58" s="357">
        <v>54876404.810150489</v>
      </c>
      <c r="W58" s="353">
        <v>32222399.899999999</v>
      </c>
      <c r="X58" s="353">
        <v>209602</v>
      </c>
      <c r="Y58" s="357">
        <v>27675416.447621983</v>
      </c>
      <c r="Z58" s="353">
        <v>16250487.605</v>
      </c>
      <c r="AA58" s="353">
        <v>622974</v>
      </c>
      <c r="AB58" s="357">
        <v>82551821.257772461</v>
      </c>
      <c r="AC58" s="353">
        <v>48472887.505000003</v>
      </c>
    </row>
    <row r="59" spans="2:29" hidden="1" outlineLevel="1" x14ac:dyDescent="0.25">
      <c r="B59" s="352">
        <v>40513</v>
      </c>
      <c r="C59" s="353">
        <v>287654</v>
      </c>
      <c r="D59" s="357">
        <v>37866271.084963821</v>
      </c>
      <c r="E59" s="353">
        <v>22260577.636999998</v>
      </c>
      <c r="F59" s="353">
        <v>119464</v>
      </c>
      <c r="G59" s="357">
        <v>15670069.177484311</v>
      </c>
      <c r="H59" s="353">
        <v>9212018.5460000001</v>
      </c>
      <c r="I59" s="353">
        <v>407118</v>
      </c>
      <c r="J59" s="357">
        <v>53536340.262448125</v>
      </c>
      <c r="K59" s="353">
        <v>31472596.182999998</v>
      </c>
      <c r="L59" s="353">
        <v>126415</v>
      </c>
      <c r="M59" s="357">
        <v>16983340.040724259</v>
      </c>
      <c r="N59" s="353">
        <v>9984055.6960000005</v>
      </c>
      <c r="O59" s="353">
        <v>89975</v>
      </c>
      <c r="P59" s="357">
        <v>11899794.230738381</v>
      </c>
      <c r="Q59" s="353">
        <v>6995573.7850000001</v>
      </c>
      <c r="R59" s="353">
        <v>216390</v>
      </c>
      <c r="S59" s="357">
        <v>28883134.271462638</v>
      </c>
      <c r="T59" s="353">
        <v>16979629.480999999</v>
      </c>
      <c r="U59" s="353">
        <v>414069</v>
      </c>
      <c r="V59" s="357">
        <v>54849611.125688083</v>
      </c>
      <c r="W59" s="353">
        <v>32244633.333000001</v>
      </c>
      <c r="X59" s="353">
        <v>209439</v>
      </c>
      <c r="Y59" s="357">
        <v>27569863.40822269</v>
      </c>
      <c r="Z59" s="353">
        <v>16207592.331</v>
      </c>
      <c r="AA59" s="353">
        <v>623508</v>
      </c>
      <c r="AB59" s="357">
        <v>82419474.533910766</v>
      </c>
      <c r="AC59" s="353">
        <v>48452225.663999997</v>
      </c>
    </row>
    <row r="60" spans="2:29" collapsed="1" x14ac:dyDescent="0.25">
      <c r="B60" s="355" t="s">
        <v>701</v>
      </c>
      <c r="C60" s="356">
        <v>284569.66666666669</v>
      </c>
      <c r="D60" s="358">
        <v>37456679.295208193</v>
      </c>
      <c r="E60" s="356"/>
      <c r="F60" s="356">
        <v>119969.58333333333</v>
      </c>
      <c r="G60" s="358">
        <v>15741844.867726924</v>
      </c>
      <c r="H60" s="356"/>
      <c r="I60" s="356">
        <v>404539.25</v>
      </c>
      <c r="J60" s="358">
        <v>53198524.162935115</v>
      </c>
      <c r="K60" s="356"/>
      <c r="L60" s="356">
        <v>125529.75</v>
      </c>
      <c r="M60" s="358">
        <v>17086920.159211602</v>
      </c>
      <c r="N60" s="356"/>
      <c r="O60" s="356">
        <v>89731.416666666672</v>
      </c>
      <c r="P60" s="358">
        <v>11962526.60756626</v>
      </c>
      <c r="Q60" s="356"/>
      <c r="R60" s="356">
        <v>215261.16666666666</v>
      </c>
      <c r="S60" s="358">
        <v>29049446.766777862</v>
      </c>
      <c r="T60" s="356"/>
      <c r="U60" s="356">
        <v>410099.41666666669</v>
      </c>
      <c r="V60" s="358">
        <v>54543599.454419814</v>
      </c>
      <c r="W60" s="356"/>
      <c r="X60" s="356">
        <v>209701</v>
      </c>
      <c r="Y60" s="358">
        <v>27704371.475293189</v>
      </c>
      <c r="Z60" s="356"/>
      <c r="AA60" s="356">
        <v>619800.41666666663</v>
      </c>
      <c r="AB60" s="358">
        <v>82247970.929712981</v>
      </c>
      <c r="AC60" s="356"/>
    </row>
    <row r="61" spans="2:29" hidden="1" outlineLevel="1" x14ac:dyDescent="0.25">
      <c r="B61" s="352">
        <v>40544</v>
      </c>
      <c r="C61" s="353">
        <v>288408</v>
      </c>
      <c r="D61" s="357">
        <v>38249759.070444033</v>
      </c>
      <c r="E61" s="353">
        <v>22546888.666999999</v>
      </c>
      <c r="F61" s="353">
        <v>119753</v>
      </c>
      <c r="G61" s="357">
        <v>15802721.193826521</v>
      </c>
      <c r="H61" s="353">
        <v>9315148.75</v>
      </c>
      <c r="I61" s="353">
        <v>408161</v>
      </c>
      <c r="J61" s="357">
        <v>54052480.264270552</v>
      </c>
      <c r="K61" s="353">
        <v>31862037.416999999</v>
      </c>
      <c r="L61" s="353">
        <v>126319</v>
      </c>
      <c r="M61" s="357">
        <v>16778455.512100495</v>
      </c>
      <c r="N61" s="353">
        <v>9890309.8379999995</v>
      </c>
      <c r="O61" s="353">
        <v>89864</v>
      </c>
      <c r="P61" s="357">
        <v>11769288.585162511</v>
      </c>
      <c r="Q61" s="353">
        <v>6937581.9840000002</v>
      </c>
      <c r="R61" s="353">
        <v>216183</v>
      </c>
      <c r="S61" s="357">
        <v>28547744.097263008</v>
      </c>
      <c r="T61" s="353">
        <v>16827891.822000001</v>
      </c>
      <c r="U61" s="353">
        <v>414727</v>
      </c>
      <c r="V61" s="357">
        <v>55028214.582544535</v>
      </c>
      <c r="W61" s="353">
        <v>32437198.504999999</v>
      </c>
      <c r="X61" s="353">
        <v>209617</v>
      </c>
      <c r="Y61" s="357">
        <v>27572009.778989032</v>
      </c>
      <c r="Z61" s="353">
        <v>16252730.733999999</v>
      </c>
      <c r="AA61" s="353">
        <v>624344</v>
      </c>
      <c r="AB61" s="357">
        <v>82600224.361533567</v>
      </c>
      <c r="AC61" s="353">
        <v>48689929.239</v>
      </c>
    </row>
    <row r="62" spans="2:29" hidden="1" outlineLevel="1" x14ac:dyDescent="0.25">
      <c r="B62" s="352">
        <v>40575</v>
      </c>
      <c r="C62" s="353">
        <v>288069</v>
      </c>
      <c r="D62" s="357">
        <v>37426510.452998675</v>
      </c>
      <c r="E62" s="353">
        <v>22112373.598999999</v>
      </c>
      <c r="F62" s="353">
        <v>119558</v>
      </c>
      <c r="G62" s="357">
        <v>15517122.966912938</v>
      </c>
      <c r="H62" s="353">
        <v>9167844.2919999994</v>
      </c>
      <c r="I62" s="353">
        <v>407627</v>
      </c>
      <c r="J62" s="357">
        <v>52943633.419911616</v>
      </c>
      <c r="K62" s="353">
        <v>31280217.890999999</v>
      </c>
      <c r="L62" s="353">
        <v>126149</v>
      </c>
      <c r="M62" s="357">
        <v>16638713.775584314</v>
      </c>
      <c r="N62" s="353">
        <v>9830503.8530000001</v>
      </c>
      <c r="O62" s="353">
        <v>89724</v>
      </c>
      <c r="P62" s="357">
        <v>11698286.893695541</v>
      </c>
      <c r="Q62" s="353">
        <v>6911595.2070000004</v>
      </c>
      <c r="R62" s="353">
        <v>215873</v>
      </c>
      <c r="S62" s="357">
        <v>28337000.669279858</v>
      </c>
      <c r="T62" s="353">
        <v>16742099.060000001</v>
      </c>
      <c r="U62" s="353">
        <v>414218</v>
      </c>
      <c r="V62" s="357">
        <v>54065224.228582986</v>
      </c>
      <c r="W62" s="353">
        <v>31942877.452</v>
      </c>
      <c r="X62" s="353">
        <v>209282</v>
      </c>
      <c r="Y62" s="357">
        <v>27215409.860608477</v>
      </c>
      <c r="Z62" s="353">
        <v>16079439.499</v>
      </c>
      <c r="AA62" s="353">
        <v>623500</v>
      </c>
      <c r="AB62" s="357">
        <v>81280634.089191467</v>
      </c>
      <c r="AC62" s="353">
        <v>48022316.950999998</v>
      </c>
    </row>
    <row r="63" spans="2:29" hidden="1" outlineLevel="1" x14ac:dyDescent="0.25">
      <c r="B63" s="352">
        <v>40603</v>
      </c>
      <c r="C63" s="353">
        <v>288568</v>
      </c>
      <c r="D63" s="357">
        <v>37434273.09507522</v>
      </c>
      <c r="E63" s="353">
        <v>22286086.186999999</v>
      </c>
      <c r="F63" s="353">
        <v>119590</v>
      </c>
      <c r="G63" s="357">
        <v>15490802.37181269</v>
      </c>
      <c r="H63" s="353">
        <v>9222280.2320000008</v>
      </c>
      <c r="I63" s="353">
        <v>408158</v>
      </c>
      <c r="J63" s="357">
        <v>52925075.466887906</v>
      </c>
      <c r="K63" s="353">
        <v>31508366.419</v>
      </c>
      <c r="L63" s="353">
        <v>126230</v>
      </c>
      <c r="M63" s="357">
        <v>16696861.287796147</v>
      </c>
      <c r="N63" s="353">
        <v>9940294.2530000005</v>
      </c>
      <c r="O63" s="353">
        <v>89738</v>
      </c>
      <c r="P63" s="357">
        <v>11697262.800811075</v>
      </c>
      <c r="Q63" s="353">
        <v>6963837.8250000002</v>
      </c>
      <c r="R63" s="353">
        <v>215968</v>
      </c>
      <c r="S63" s="357">
        <v>28394124.088607218</v>
      </c>
      <c r="T63" s="353">
        <v>16904132.078000002</v>
      </c>
      <c r="U63" s="353">
        <v>414798</v>
      </c>
      <c r="V63" s="357">
        <v>54131134.382871367</v>
      </c>
      <c r="W63" s="353">
        <v>32226380.440000001</v>
      </c>
      <c r="X63" s="353">
        <v>209328</v>
      </c>
      <c r="Y63" s="357">
        <v>27188065.172623765</v>
      </c>
      <c r="Z63" s="353">
        <v>16186118.057</v>
      </c>
      <c r="AA63" s="353">
        <v>624126</v>
      </c>
      <c r="AB63" s="357">
        <v>81319199.555495128</v>
      </c>
      <c r="AC63" s="353">
        <v>48412498.497000001</v>
      </c>
    </row>
    <row r="64" spans="2:29" hidden="1" outlineLevel="1" x14ac:dyDescent="0.25">
      <c r="B64" s="352">
        <v>40634</v>
      </c>
      <c r="C64" s="353">
        <v>285145</v>
      </c>
      <c r="D64" s="357">
        <v>36187269.714413837</v>
      </c>
      <c r="E64" s="353">
        <v>21612411.465999998</v>
      </c>
      <c r="F64" s="353">
        <v>118210</v>
      </c>
      <c r="G64" s="357">
        <v>15003250.062596591</v>
      </c>
      <c r="H64" s="353">
        <v>8960510.5950000007</v>
      </c>
      <c r="I64" s="353">
        <v>403355</v>
      </c>
      <c r="J64" s="357">
        <v>51190519.777010426</v>
      </c>
      <c r="K64" s="353">
        <v>30572922.061000001</v>
      </c>
      <c r="L64" s="353">
        <v>126017</v>
      </c>
      <c r="M64" s="357">
        <v>16679841.165409826</v>
      </c>
      <c r="N64" s="353">
        <v>9961834.4600000009</v>
      </c>
      <c r="O64" s="353">
        <v>89436</v>
      </c>
      <c r="P64" s="357">
        <v>11638371.075514138</v>
      </c>
      <c r="Q64" s="353">
        <v>6950877.1030000001</v>
      </c>
      <c r="R64" s="353">
        <v>215453</v>
      </c>
      <c r="S64" s="357">
        <v>28318212.240923963</v>
      </c>
      <c r="T64" s="353">
        <v>16912711.563000001</v>
      </c>
      <c r="U64" s="353">
        <v>411162</v>
      </c>
      <c r="V64" s="357">
        <v>52867110.879823662</v>
      </c>
      <c r="W64" s="353">
        <v>31574245.925999999</v>
      </c>
      <c r="X64" s="353">
        <v>207646</v>
      </c>
      <c r="Y64" s="357">
        <v>26641621.138110731</v>
      </c>
      <c r="Z64" s="353">
        <v>15911387.698000001</v>
      </c>
      <c r="AA64" s="353">
        <v>618808</v>
      </c>
      <c r="AB64" s="357">
        <v>79508732.017934382</v>
      </c>
      <c r="AC64" s="353">
        <v>47485633.623999998</v>
      </c>
    </row>
    <row r="65" spans="2:29" hidden="1" outlineLevel="1" x14ac:dyDescent="0.25">
      <c r="B65" s="352">
        <v>40664</v>
      </c>
      <c r="C65" s="353">
        <v>287109</v>
      </c>
      <c r="D65" s="357">
        <v>37638638.224057294</v>
      </c>
      <c r="E65" s="353">
        <v>22569105.210999999</v>
      </c>
      <c r="F65" s="353">
        <v>119022</v>
      </c>
      <c r="G65" s="357">
        <v>15635922.679395003</v>
      </c>
      <c r="H65" s="353">
        <v>9375705.4100000001</v>
      </c>
      <c r="I65" s="353">
        <v>406131</v>
      </c>
      <c r="J65" s="357">
        <v>53274560.9034523</v>
      </c>
      <c r="K65" s="353">
        <v>31944810.620999999</v>
      </c>
      <c r="L65" s="353">
        <v>125967</v>
      </c>
      <c r="M65" s="357">
        <v>16433359.999475222</v>
      </c>
      <c r="N65" s="353">
        <v>9853869.5419999994</v>
      </c>
      <c r="O65" s="353">
        <v>89387</v>
      </c>
      <c r="P65" s="357">
        <v>11529559.906240594</v>
      </c>
      <c r="Q65" s="353">
        <v>6913423.6210000003</v>
      </c>
      <c r="R65" s="353">
        <v>215354</v>
      </c>
      <c r="S65" s="357">
        <v>27962919.905715816</v>
      </c>
      <c r="T65" s="353">
        <v>16767293.163000001</v>
      </c>
      <c r="U65" s="353">
        <v>413076</v>
      </c>
      <c r="V65" s="357">
        <v>54071998.223532528</v>
      </c>
      <c r="W65" s="353">
        <v>32422974.752999999</v>
      </c>
      <c r="X65" s="353">
        <v>208409</v>
      </c>
      <c r="Y65" s="357">
        <v>27165482.585635595</v>
      </c>
      <c r="Z65" s="353">
        <v>16289129.030999999</v>
      </c>
      <c r="AA65" s="353">
        <v>621485</v>
      </c>
      <c r="AB65" s="357">
        <v>81237480.809168115</v>
      </c>
      <c r="AC65" s="353">
        <v>48712103.784000002</v>
      </c>
    </row>
    <row r="66" spans="2:29" hidden="1" outlineLevel="1" x14ac:dyDescent="0.25">
      <c r="B66" s="352">
        <v>40695</v>
      </c>
      <c r="C66" s="353">
        <v>287551</v>
      </c>
      <c r="D66" s="357">
        <v>36926434.942452401</v>
      </c>
      <c r="E66" s="353">
        <v>22179625.998</v>
      </c>
      <c r="F66" s="353">
        <v>119061</v>
      </c>
      <c r="G66" s="357">
        <v>15274705.789937206</v>
      </c>
      <c r="H66" s="353">
        <v>9174653.9350000005</v>
      </c>
      <c r="I66" s="353">
        <v>406612</v>
      </c>
      <c r="J66" s="357">
        <v>52201140.732389599</v>
      </c>
      <c r="K66" s="353">
        <v>31354279.932999998</v>
      </c>
      <c r="L66" s="353">
        <v>126043</v>
      </c>
      <c r="M66" s="357">
        <v>16496534.175631162</v>
      </c>
      <c r="N66" s="353">
        <v>9908537.3080000002</v>
      </c>
      <c r="O66" s="353">
        <v>89400</v>
      </c>
      <c r="P66" s="357">
        <v>11526048.529050024</v>
      </c>
      <c r="Q66" s="353">
        <v>6923047.0259999996</v>
      </c>
      <c r="R66" s="353">
        <v>215443</v>
      </c>
      <c r="S66" s="357">
        <v>28022582.704681188</v>
      </c>
      <c r="T66" s="353">
        <v>16831584.333999999</v>
      </c>
      <c r="U66" s="353">
        <v>413594</v>
      </c>
      <c r="V66" s="357">
        <v>53422969.118083559</v>
      </c>
      <c r="W66" s="353">
        <v>32088163.306000002</v>
      </c>
      <c r="X66" s="353">
        <v>208461</v>
      </c>
      <c r="Y66" s="357">
        <v>26800754.318987228</v>
      </c>
      <c r="Z66" s="353">
        <v>16097700.960999999</v>
      </c>
      <c r="AA66" s="353">
        <v>622055</v>
      </c>
      <c r="AB66" s="357">
        <v>80223723.437070787</v>
      </c>
      <c r="AC66" s="353">
        <v>48185864.266999997</v>
      </c>
    </row>
    <row r="67" spans="2:29" hidden="1" outlineLevel="1" x14ac:dyDescent="0.25">
      <c r="B67" s="352">
        <v>40725</v>
      </c>
      <c r="C67" s="353">
        <v>286810</v>
      </c>
      <c r="D67" s="357">
        <v>37950545.760980025</v>
      </c>
      <c r="E67" s="353">
        <v>22823692.653000001</v>
      </c>
      <c r="F67" s="353">
        <v>118793</v>
      </c>
      <c r="G67" s="357">
        <v>15724300.434147825</v>
      </c>
      <c r="H67" s="353">
        <v>9456691.4149999991</v>
      </c>
      <c r="I67" s="353">
        <v>405603</v>
      </c>
      <c r="J67" s="357">
        <v>53674846.195127852</v>
      </c>
      <c r="K67" s="353">
        <v>32280384.068</v>
      </c>
      <c r="L67" s="353">
        <v>125405</v>
      </c>
      <c r="M67" s="357">
        <v>16774337.440456802</v>
      </c>
      <c r="N67" s="353">
        <v>10088190.157</v>
      </c>
      <c r="O67" s="353">
        <v>88825</v>
      </c>
      <c r="P67" s="357">
        <v>11781779.245557664</v>
      </c>
      <c r="Q67" s="353">
        <v>7085634.818</v>
      </c>
      <c r="R67" s="353">
        <v>214230</v>
      </c>
      <c r="S67" s="357">
        <v>28556116.68601447</v>
      </c>
      <c r="T67" s="353">
        <v>17173824.975000001</v>
      </c>
      <c r="U67" s="353">
        <v>412215</v>
      </c>
      <c r="V67" s="357">
        <v>54724883.201436825</v>
      </c>
      <c r="W67" s="353">
        <v>32911882.809999999</v>
      </c>
      <c r="X67" s="353">
        <v>207618</v>
      </c>
      <c r="Y67" s="357">
        <v>27506079.679705489</v>
      </c>
      <c r="Z67" s="353">
        <v>16542326.232999999</v>
      </c>
      <c r="AA67" s="353">
        <v>619833</v>
      </c>
      <c r="AB67" s="357">
        <v>82230962.881142318</v>
      </c>
      <c r="AC67" s="353">
        <v>49454209.042999998</v>
      </c>
    </row>
    <row r="68" spans="2:29" hidden="1" outlineLevel="1" x14ac:dyDescent="0.25">
      <c r="B68" s="352">
        <v>40756</v>
      </c>
      <c r="C68" s="353">
        <v>287169</v>
      </c>
      <c r="D68" s="357">
        <v>37963450.966066591</v>
      </c>
      <c r="E68" s="353">
        <v>22868475.002999999</v>
      </c>
      <c r="F68" s="353">
        <v>118828</v>
      </c>
      <c r="G68" s="357">
        <v>15714951.618298974</v>
      </c>
      <c r="H68" s="353">
        <v>9466393.8369999994</v>
      </c>
      <c r="I68" s="353">
        <v>405997</v>
      </c>
      <c r="J68" s="357">
        <v>53678402.584365562</v>
      </c>
      <c r="K68" s="353">
        <v>32334868.84</v>
      </c>
      <c r="L68" s="353">
        <v>125477</v>
      </c>
      <c r="M68" s="357">
        <v>16801631.105366793</v>
      </c>
      <c r="N68" s="353">
        <v>10120989.298</v>
      </c>
      <c r="O68" s="353">
        <v>89066</v>
      </c>
      <c r="P68" s="357">
        <v>11849691.513930807</v>
      </c>
      <c r="Q68" s="353">
        <v>7138033.2209999999</v>
      </c>
      <c r="R68" s="353">
        <v>214543</v>
      </c>
      <c r="S68" s="357">
        <v>28651322.619297598</v>
      </c>
      <c r="T68" s="353">
        <v>17259022.519000001</v>
      </c>
      <c r="U68" s="353">
        <v>412646</v>
      </c>
      <c r="V68" s="357">
        <v>54765082.07143338</v>
      </c>
      <c r="W68" s="353">
        <v>32989464.300999999</v>
      </c>
      <c r="X68" s="353">
        <v>207894</v>
      </c>
      <c r="Y68" s="357">
        <v>27564643.132229779</v>
      </c>
      <c r="Z68" s="353">
        <v>16604427.058</v>
      </c>
      <c r="AA68" s="353">
        <v>620540</v>
      </c>
      <c r="AB68" s="357">
        <v>82329725.203663155</v>
      </c>
      <c r="AC68" s="353">
        <v>49593891.358999997</v>
      </c>
    </row>
    <row r="69" spans="2:29" hidden="1" outlineLevel="1" x14ac:dyDescent="0.25">
      <c r="B69" s="352">
        <v>40787</v>
      </c>
      <c r="C69" s="353">
        <v>287346</v>
      </c>
      <c r="D69" s="357">
        <v>37845942.904660456</v>
      </c>
      <c r="E69" s="353">
        <v>22910999.169</v>
      </c>
      <c r="F69" s="353">
        <v>118398</v>
      </c>
      <c r="G69" s="357">
        <v>15605186.710924162</v>
      </c>
      <c r="H69" s="353">
        <v>9446994.6400000006</v>
      </c>
      <c r="I69" s="353">
        <v>405744</v>
      </c>
      <c r="J69" s="357">
        <v>53451129.615584612</v>
      </c>
      <c r="K69" s="353">
        <v>32357993.809</v>
      </c>
      <c r="L69" s="353">
        <v>125589</v>
      </c>
      <c r="M69" s="357">
        <v>17040193.957002763</v>
      </c>
      <c r="N69" s="353">
        <v>10315712.586999999</v>
      </c>
      <c r="O69" s="353">
        <v>89260</v>
      </c>
      <c r="P69" s="357">
        <v>12007765.042566232</v>
      </c>
      <c r="Q69" s="353">
        <v>7269204.4060000004</v>
      </c>
      <c r="R69" s="353">
        <v>214849</v>
      </c>
      <c r="S69" s="357">
        <v>29047958.999568995</v>
      </c>
      <c r="T69" s="353">
        <v>17584916.993000001</v>
      </c>
      <c r="U69" s="353">
        <v>412935</v>
      </c>
      <c r="V69" s="357">
        <v>54886136.861663215</v>
      </c>
      <c r="W69" s="353">
        <v>33226711.756000001</v>
      </c>
      <c r="X69" s="353">
        <v>207658</v>
      </c>
      <c r="Y69" s="357">
        <v>27612951.753490396</v>
      </c>
      <c r="Z69" s="353">
        <v>16716199.046</v>
      </c>
      <c r="AA69" s="353">
        <v>620593</v>
      </c>
      <c r="AB69" s="357">
        <v>82499088.615153611</v>
      </c>
      <c r="AC69" s="353">
        <v>49942910.802000001</v>
      </c>
    </row>
    <row r="70" spans="2:29" hidden="1" outlineLevel="1" x14ac:dyDescent="0.25">
      <c r="B70" s="352">
        <v>40817</v>
      </c>
      <c r="C70" s="353">
        <v>285805</v>
      </c>
      <c r="D70" s="357">
        <v>37279684.785690852</v>
      </c>
      <c r="E70" s="353">
        <v>22677749.441</v>
      </c>
      <c r="F70" s="353">
        <v>117820</v>
      </c>
      <c r="G70" s="357">
        <v>15329270.534370007</v>
      </c>
      <c r="H70" s="353">
        <v>9325007.9309999999</v>
      </c>
      <c r="I70" s="353">
        <v>403625</v>
      </c>
      <c r="J70" s="357">
        <v>52608955.320060849</v>
      </c>
      <c r="K70" s="353">
        <v>32002757.372000001</v>
      </c>
      <c r="L70" s="353">
        <v>125210</v>
      </c>
      <c r="M70" s="357">
        <v>16666716.760634018</v>
      </c>
      <c r="N70" s="353">
        <v>10138595.025</v>
      </c>
      <c r="O70" s="353">
        <v>89136</v>
      </c>
      <c r="P70" s="357">
        <v>11781528.945146924</v>
      </c>
      <c r="Q70" s="353">
        <v>7166867.5039999997</v>
      </c>
      <c r="R70" s="353">
        <v>214346</v>
      </c>
      <c r="S70" s="357">
        <v>28448245.705780942</v>
      </c>
      <c r="T70" s="353">
        <v>17305462.528999999</v>
      </c>
      <c r="U70" s="353">
        <v>411015</v>
      </c>
      <c r="V70" s="357">
        <v>53946401.546324864</v>
      </c>
      <c r="W70" s="353">
        <v>32816344.465999998</v>
      </c>
      <c r="X70" s="353">
        <v>206956</v>
      </c>
      <c r="Y70" s="357">
        <v>27110799.479516931</v>
      </c>
      <c r="Z70" s="353">
        <v>16491875.435000001</v>
      </c>
      <c r="AA70" s="353">
        <v>617971</v>
      </c>
      <c r="AB70" s="357">
        <v>81057201.025841802</v>
      </c>
      <c r="AC70" s="353">
        <v>49308219.901000001</v>
      </c>
    </row>
    <row r="71" spans="2:29" hidden="1" outlineLevel="1" x14ac:dyDescent="0.25">
      <c r="B71" s="352">
        <v>40848</v>
      </c>
      <c r="C71" s="353">
        <v>284570</v>
      </c>
      <c r="D71" s="357">
        <v>36558248.584166691</v>
      </c>
      <c r="E71" s="353">
        <v>22309455.91</v>
      </c>
      <c r="F71" s="353">
        <v>117123</v>
      </c>
      <c r="G71" s="357">
        <v>15053401.014711276</v>
      </c>
      <c r="H71" s="353">
        <v>9186249.3210000005</v>
      </c>
      <c r="I71" s="353">
        <v>401693</v>
      </c>
      <c r="J71" s="357">
        <v>51611649.598877966</v>
      </c>
      <c r="K71" s="353">
        <v>31495705.230999999</v>
      </c>
      <c r="L71" s="353">
        <v>124897</v>
      </c>
      <c r="M71" s="357">
        <v>16463123.339557838</v>
      </c>
      <c r="N71" s="353">
        <v>10046524.068</v>
      </c>
      <c r="O71" s="353">
        <v>88970</v>
      </c>
      <c r="P71" s="357">
        <v>11622801.158066532</v>
      </c>
      <c r="Q71" s="353">
        <v>7092745.9610000001</v>
      </c>
      <c r="R71" s="353">
        <v>213867</v>
      </c>
      <c r="S71" s="357">
        <v>28085924.497624371</v>
      </c>
      <c r="T71" s="353">
        <v>17139270.028999999</v>
      </c>
      <c r="U71" s="353">
        <v>409467</v>
      </c>
      <c r="V71" s="357">
        <v>53021371.923724525</v>
      </c>
      <c r="W71" s="353">
        <v>32355979.978</v>
      </c>
      <c r="X71" s="353">
        <v>206093</v>
      </c>
      <c r="Y71" s="357">
        <v>26676202.172777809</v>
      </c>
      <c r="Z71" s="353">
        <v>16278995.282</v>
      </c>
      <c r="AA71" s="353">
        <v>615560</v>
      </c>
      <c r="AB71" s="357">
        <v>79697574.096502334</v>
      </c>
      <c r="AC71" s="353">
        <v>48634975.259999998</v>
      </c>
    </row>
    <row r="72" spans="2:29" hidden="1" outlineLevel="1" x14ac:dyDescent="0.25">
      <c r="B72" s="352">
        <v>40878</v>
      </c>
      <c r="C72" s="353">
        <v>287245</v>
      </c>
      <c r="D72" s="357">
        <v>38341988.947799355</v>
      </c>
      <c r="E72" s="353">
        <v>23540515.168000001</v>
      </c>
      <c r="F72" s="353">
        <v>117871</v>
      </c>
      <c r="G72" s="357">
        <v>15638270.403231177</v>
      </c>
      <c r="H72" s="353">
        <v>9601300.0820000004</v>
      </c>
      <c r="I72" s="353">
        <v>405116</v>
      </c>
      <c r="J72" s="357">
        <v>53980259.351030536</v>
      </c>
      <c r="K72" s="353">
        <v>33141815.25</v>
      </c>
      <c r="L72" s="353">
        <v>124792</v>
      </c>
      <c r="M72" s="357">
        <v>16504749.904448945</v>
      </c>
      <c r="N72" s="353">
        <v>10133285.365</v>
      </c>
      <c r="O72" s="353">
        <v>89009</v>
      </c>
      <c r="P72" s="357">
        <v>11661128.64400572</v>
      </c>
      <c r="Q72" s="353">
        <v>7159487.1119999997</v>
      </c>
      <c r="R72" s="353">
        <v>213801</v>
      </c>
      <c r="S72" s="357">
        <v>28165878.548454665</v>
      </c>
      <c r="T72" s="353">
        <v>17292772.477000002</v>
      </c>
      <c r="U72" s="353">
        <v>412037</v>
      </c>
      <c r="V72" s="357">
        <v>54846738.852248296</v>
      </c>
      <c r="W72" s="353">
        <v>33673800.533</v>
      </c>
      <c r="X72" s="353">
        <v>206880</v>
      </c>
      <c r="Y72" s="357">
        <v>27299399.047236897</v>
      </c>
      <c r="Z72" s="353">
        <v>16760787.194</v>
      </c>
      <c r="AA72" s="353">
        <v>618917</v>
      </c>
      <c r="AB72" s="357">
        <v>82146137.899485201</v>
      </c>
      <c r="AC72" s="353">
        <v>50434587.726999998</v>
      </c>
    </row>
    <row r="73" spans="2:29" collapsed="1" x14ac:dyDescent="0.25">
      <c r="B73" s="355" t="s">
        <v>702</v>
      </c>
      <c r="C73" s="356">
        <v>286982.91666666669</v>
      </c>
      <c r="D73" s="358">
        <v>37483562.287400454</v>
      </c>
      <c r="E73" s="356"/>
      <c r="F73" s="356">
        <v>118668.91666666667</v>
      </c>
      <c r="G73" s="358">
        <v>15482492.148347033</v>
      </c>
      <c r="H73" s="356"/>
      <c r="I73" s="356">
        <v>405651.83333333331</v>
      </c>
      <c r="J73" s="358">
        <v>52966054.435747482</v>
      </c>
      <c r="K73" s="356"/>
      <c r="L73" s="356">
        <v>125674.58333333333</v>
      </c>
      <c r="M73" s="358">
        <v>16664543.201955361</v>
      </c>
      <c r="N73" s="356"/>
      <c r="O73" s="356">
        <v>89317.916666666672</v>
      </c>
      <c r="P73" s="358">
        <v>11713626.028312312</v>
      </c>
      <c r="Q73" s="356"/>
      <c r="R73" s="356">
        <v>214992.5</v>
      </c>
      <c r="S73" s="358">
        <v>28378169.230267674</v>
      </c>
      <c r="T73" s="356"/>
      <c r="U73" s="356">
        <v>412657.5</v>
      </c>
      <c r="V73" s="358">
        <v>54148105.48935581</v>
      </c>
      <c r="W73" s="356"/>
      <c r="X73" s="356">
        <v>207986.83333333334</v>
      </c>
      <c r="Y73" s="358">
        <v>27196118.176659346</v>
      </c>
      <c r="Z73" s="356"/>
      <c r="AA73" s="356">
        <v>620644.33333333337</v>
      </c>
      <c r="AB73" s="358">
        <v>81344223.666015148</v>
      </c>
      <c r="AC73" s="356"/>
    </row>
    <row r="74" spans="2:29" hidden="1" outlineLevel="1" x14ac:dyDescent="0.25">
      <c r="B74" s="352">
        <v>40909</v>
      </c>
      <c r="C74" s="353">
        <v>287462</v>
      </c>
      <c r="D74" s="357">
        <v>37254025.915738069</v>
      </c>
      <c r="E74" s="353">
        <v>22892678.969000001</v>
      </c>
      <c r="F74" s="353">
        <v>117685</v>
      </c>
      <c r="G74" s="357">
        <v>15239151.914155656</v>
      </c>
      <c r="H74" s="353">
        <v>9364491.5940000005</v>
      </c>
      <c r="I74" s="353">
        <v>405147</v>
      </c>
      <c r="J74" s="357">
        <v>52493177.829893731</v>
      </c>
      <c r="K74" s="353">
        <v>32257170.563000001</v>
      </c>
      <c r="L74" s="353">
        <v>123692</v>
      </c>
      <c r="M74" s="357">
        <v>16226165.610344805</v>
      </c>
      <c r="N74" s="353">
        <v>9971013.6309999991</v>
      </c>
      <c r="O74" s="353">
        <v>88526</v>
      </c>
      <c r="P74" s="357">
        <v>11496473.695272347</v>
      </c>
      <c r="Q74" s="353">
        <v>7064607.7869999995</v>
      </c>
      <c r="R74" s="353">
        <v>212218</v>
      </c>
      <c r="S74" s="357">
        <v>27722639.305617154</v>
      </c>
      <c r="T74" s="353">
        <v>17035621.418000001</v>
      </c>
      <c r="U74" s="353">
        <v>411154</v>
      </c>
      <c r="V74" s="357">
        <v>53480191.526082881</v>
      </c>
      <c r="W74" s="353">
        <v>32863692.600000001</v>
      </c>
      <c r="X74" s="353">
        <v>206211</v>
      </c>
      <c r="Y74" s="357">
        <v>26735625.609428003</v>
      </c>
      <c r="Z74" s="353">
        <v>16429099.380999999</v>
      </c>
      <c r="AA74" s="353">
        <v>617365</v>
      </c>
      <c r="AB74" s="357">
        <v>80215817.135510877</v>
      </c>
      <c r="AC74" s="353">
        <v>49292791.980999999</v>
      </c>
    </row>
    <row r="75" spans="2:29" hidden="1" outlineLevel="1" x14ac:dyDescent="0.25">
      <c r="B75" s="352">
        <v>40940</v>
      </c>
      <c r="C75" s="353">
        <v>288141</v>
      </c>
      <c r="D75" s="357">
        <v>37353968.581288822</v>
      </c>
      <c r="E75" s="353">
        <v>23043246.653000001</v>
      </c>
      <c r="F75" s="353">
        <v>117647</v>
      </c>
      <c r="G75" s="357">
        <v>15222428.279795561</v>
      </c>
      <c r="H75" s="353">
        <v>9390546.2479999997</v>
      </c>
      <c r="I75" s="353">
        <v>405788</v>
      </c>
      <c r="J75" s="357">
        <v>52576396.861084379</v>
      </c>
      <c r="K75" s="353">
        <v>32433792.901000001</v>
      </c>
      <c r="L75" s="353">
        <v>123321</v>
      </c>
      <c r="M75" s="357">
        <v>16000498.723794352</v>
      </c>
      <c r="N75" s="353">
        <v>9870529.2280000001</v>
      </c>
      <c r="O75" s="353">
        <v>88158</v>
      </c>
      <c r="P75" s="357">
        <v>11367788.742994139</v>
      </c>
      <c r="Q75" s="353">
        <v>7012662.1040000003</v>
      </c>
      <c r="R75" s="353">
        <v>211479</v>
      </c>
      <c r="S75" s="357">
        <v>27368287.466788489</v>
      </c>
      <c r="T75" s="353">
        <v>16883191.331999999</v>
      </c>
      <c r="U75" s="353">
        <v>411462</v>
      </c>
      <c r="V75" s="357">
        <v>53354467.305083171</v>
      </c>
      <c r="W75" s="353">
        <v>32913775.881000001</v>
      </c>
      <c r="X75" s="353">
        <v>205805</v>
      </c>
      <c r="Y75" s="357">
        <v>26590217.022789698</v>
      </c>
      <c r="Z75" s="353">
        <v>16403208.352</v>
      </c>
      <c r="AA75" s="353">
        <v>617267</v>
      </c>
      <c r="AB75" s="357">
        <v>79944684.327872857</v>
      </c>
      <c r="AC75" s="353">
        <v>49316984.233000003</v>
      </c>
    </row>
    <row r="76" spans="2:29" hidden="1" outlineLevel="1" x14ac:dyDescent="0.25">
      <c r="B76" s="352">
        <v>40969</v>
      </c>
      <c r="C76" s="353">
        <v>288041</v>
      </c>
      <c r="D76" s="357">
        <v>37247285.520565584</v>
      </c>
      <c r="E76" s="353">
        <v>23014933.635000002</v>
      </c>
      <c r="F76" s="353">
        <v>117683</v>
      </c>
      <c r="G76" s="357">
        <v>15213905.157655563</v>
      </c>
      <c r="H76" s="353">
        <v>9400604.9739999995</v>
      </c>
      <c r="I76" s="353">
        <v>405724</v>
      </c>
      <c r="J76" s="357">
        <v>52461190.678221144</v>
      </c>
      <c r="K76" s="353">
        <v>32415538.609000001</v>
      </c>
      <c r="L76" s="353">
        <v>123408</v>
      </c>
      <c r="M76" s="357">
        <v>16154413.947575146</v>
      </c>
      <c r="N76" s="353">
        <v>9981741.2119999994</v>
      </c>
      <c r="O76" s="353">
        <v>88567</v>
      </c>
      <c r="P76" s="357">
        <v>11566075.105787575</v>
      </c>
      <c r="Q76" s="353">
        <v>7146626.8550000004</v>
      </c>
      <c r="R76" s="353">
        <v>211975</v>
      </c>
      <c r="S76" s="357">
        <v>27720489.05336272</v>
      </c>
      <c r="T76" s="353">
        <v>17128368.067000002</v>
      </c>
      <c r="U76" s="353">
        <v>411449</v>
      </c>
      <c r="V76" s="357">
        <v>53401699.468140729</v>
      </c>
      <c r="W76" s="353">
        <v>32996674.846999999</v>
      </c>
      <c r="X76" s="353">
        <v>206250</v>
      </c>
      <c r="Y76" s="357">
        <v>26779980.263443138</v>
      </c>
      <c r="Z76" s="353">
        <v>16547231.829</v>
      </c>
      <c r="AA76" s="353">
        <v>617699</v>
      </c>
      <c r="AB76" s="357">
        <v>80181679.731583863</v>
      </c>
      <c r="AC76" s="353">
        <v>49543906.675999999</v>
      </c>
    </row>
    <row r="77" spans="2:29" hidden="1" outlineLevel="1" x14ac:dyDescent="0.25">
      <c r="B77" s="352">
        <v>41000</v>
      </c>
      <c r="C77" s="353">
        <v>288120</v>
      </c>
      <c r="D77" s="357">
        <v>37188542.535925046</v>
      </c>
      <c r="E77" s="353">
        <v>22990287.704999998</v>
      </c>
      <c r="F77" s="353">
        <v>117158</v>
      </c>
      <c r="G77" s="357">
        <v>15110975.571845056</v>
      </c>
      <c r="H77" s="353">
        <v>9341739.477</v>
      </c>
      <c r="I77" s="353">
        <v>405278</v>
      </c>
      <c r="J77" s="357">
        <v>52299518.1077701</v>
      </c>
      <c r="K77" s="353">
        <v>32332027.182</v>
      </c>
      <c r="L77" s="353">
        <v>122653</v>
      </c>
      <c r="M77" s="357">
        <v>16119000.057232337</v>
      </c>
      <c r="N77" s="353">
        <v>9964909.1779999994</v>
      </c>
      <c r="O77" s="353">
        <v>88182</v>
      </c>
      <c r="P77" s="357">
        <v>11511048.225256652</v>
      </c>
      <c r="Q77" s="353">
        <v>7116232.3779999996</v>
      </c>
      <c r="R77" s="353">
        <v>210835</v>
      </c>
      <c r="S77" s="357">
        <v>27630048.282488991</v>
      </c>
      <c r="T77" s="353">
        <v>17081141.556000002</v>
      </c>
      <c r="U77" s="353">
        <v>410773</v>
      </c>
      <c r="V77" s="357">
        <v>53307542.593157388</v>
      </c>
      <c r="W77" s="353">
        <v>32955196.883000001</v>
      </c>
      <c r="X77" s="353">
        <v>205340</v>
      </c>
      <c r="Y77" s="357">
        <v>26622023.797101706</v>
      </c>
      <c r="Z77" s="353">
        <v>16457971.855</v>
      </c>
      <c r="AA77" s="353">
        <v>616113</v>
      </c>
      <c r="AB77" s="357">
        <v>79929566.390259087</v>
      </c>
      <c r="AC77" s="353">
        <v>49413168.737999998</v>
      </c>
    </row>
    <row r="78" spans="2:29" hidden="1" outlineLevel="1" x14ac:dyDescent="0.25">
      <c r="B78" s="352">
        <v>41030</v>
      </c>
      <c r="C78" s="353">
        <v>288068</v>
      </c>
      <c r="D78" s="357">
        <v>37038487.12795417</v>
      </c>
      <c r="E78" s="353">
        <v>22904546.228999998</v>
      </c>
      <c r="F78" s="353">
        <v>117009</v>
      </c>
      <c r="G78" s="357">
        <v>15044091.706177372</v>
      </c>
      <c r="H78" s="353">
        <v>9303244.2919999994</v>
      </c>
      <c r="I78" s="353">
        <v>405077</v>
      </c>
      <c r="J78" s="357">
        <v>52082578.834131539</v>
      </c>
      <c r="K78" s="353">
        <v>32207790.521000002</v>
      </c>
      <c r="L78" s="353">
        <v>122948</v>
      </c>
      <c r="M78" s="357">
        <v>16243405.878818804</v>
      </c>
      <c r="N78" s="353">
        <v>10044898.421</v>
      </c>
      <c r="O78" s="353">
        <v>88223</v>
      </c>
      <c r="P78" s="357">
        <v>11492352.095148804</v>
      </c>
      <c r="Q78" s="353">
        <v>7106853.7149999999</v>
      </c>
      <c r="R78" s="353">
        <v>211171</v>
      </c>
      <c r="S78" s="357">
        <v>27735757.973967604</v>
      </c>
      <c r="T78" s="353">
        <v>17151752.136</v>
      </c>
      <c r="U78" s="353">
        <v>411016</v>
      </c>
      <c r="V78" s="357">
        <v>53281893.006772973</v>
      </c>
      <c r="W78" s="353">
        <v>32949444.649999999</v>
      </c>
      <c r="X78" s="353">
        <v>205232</v>
      </c>
      <c r="Y78" s="357">
        <v>26536443.801326174</v>
      </c>
      <c r="Z78" s="353">
        <v>16410098.006999999</v>
      </c>
      <c r="AA78" s="353">
        <v>616248</v>
      </c>
      <c r="AB78" s="357">
        <v>79818336.808099151</v>
      </c>
      <c r="AC78" s="353">
        <v>49359542.656999998</v>
      </c>
    </row>
    <row r="79" spans="2:29" hidden="1" outlineLevel="1" x14ac:dyDescent="0.25">
      <c r="B79" s="352">
        <v>41061</v>
      </c>
      <c r="C79" s="353">
        <v>288374</v>
      </c>
      <c r="D79" s="357">
        <v>37274991.263970464</v>
      </c>
      <c r="E79" s="353">
        <v>22982535.873</v>
      </c>
      <c r="F79" s="353">
        <v>117073</v>
      </c>
      <c r="G79" s="357">
        <v>15118353.012493057</v>
      </c>
      <c r="H79" s="353">
        <v>9321480.1309999991</v>
      </c>
      <c r="I79" s="353">
        <v>405447</v>
      </c>
      <c r="J79" s="357">
        <v>52393344.276463524</v>
      </c>
      <c r="K79" s="353">
        <v>32304016.004000001</v>
      </c>
      <c r="L79" s="353">
        <v>123076</v>
      </c>
      <c r="M79" s="357">
        <v>16308587.554297589</v>
      </c>
      <c r="N79" s="353">
        <v>10055339.674000001</v>
      </c>
      <c r="O79" s="353">
        <v>88439</v>
      </c>
      <c r="P79" s="357">
        <v>11589533.629801465</v>
      </c>
      <c r="Q79" s="353">
        <v>7145725.9510000004</v>
      </c>
      <c r="R79" s="353">
        <v>211515</v>
      </c>
      <c r="S79" s="357">
        <v>27898121.184099052</v>
      </c>
      <c r="T79" s="353">
        <v>17201065.625</v>
      </c>
      <c r="U79" s="353">
        <v>411450</v>
      </c>
      <c r="V79" s="357">
        <v>53583578.818268061</v>
      </c>
      <c r="W79" s="353">
        <v>33037875.546999998</v>
      </c>
      <c r="X79" s="353">
        <v>205512</v>
      </c>
      <c r="Y79" s="357">
        <v>26707886.642294522</v>
      </c>
      <c r="Z79" s="353">
        <v>16467206.082</v>
      </c>
      <c r="AA79" s="353">
        <v>616962</v>
      </c>
      <c r="AB79" s="357">
        <v>80291465.460562572</v>
      </c>
      <c r="AC79" s="353">
        <v>49505081.629000001</v>
      </c>
    </row>
    <row r="80" spans="2:29" hidden="1" outlineLevel="1" x14ac:dyDescent="0.25">
      <c r="B80" s="352">
        <v>41091</v>
      </c>
      <c r="C80" s="353">
        <v>288929</v>
      </c>
      <c r="D80" s="357">
        <v>38322395.089265771</v>
      </c>
      <c r="E80" s="353">
        <v>23625224.164000001</v>
      </c>
      <c r="F80" s="353">
        <v>117059</v>
      </c>
      <c r="G80" s="357">
        <v>15538426.103046531</v>
      </c>
      <c r="H80" s="353">
        <v>9579223.8190000001</v>
      </c>
      <c r="I80" s="353">
        <v>405988</v>
      </c>
      <c r="J80" s="357">
        <v>53860821.192312293</v>
      </c>
      <c r="K80" s="353">
        <v>33204447.982999999</v>
      </c>
      <c r="L80" s="353">
        <v>122827</v>
      </c>
      <c r="M80" s="357">
        <v>16687984.933031542</v>
      </c>
      <c r="N80" s="353">
        <v>10287910.867000001</v>
      </c>
      <c r="O80" s="353">
        <v>88350</v>
      </c>
      <c r="P80" s="357">
        <v>11890005.006395064</v>
      </c>
      <c r="Q80" s="353">
        <v>7330022.9000000004</v>
      </c>
      <c r="R80" s="353">
        <v>211177</v>
      </c>
      <c r="S80" s="357">
        <v>28577989.939426605</v>
      </c>
      <c r="T80" s="353">
        <v>17617933.767000001</v>
      </c>
      <c r="U80" s="353">
        <v>411756</v>
      </c>
      <c r="V80" s="357">
        <v>55010380.022297308</v>
      </c>
      <c r="W80" s="353">
        <v>33913135.031000003</v>
      </c>
      <c r="X80" s="353">
        <v>205409</v>
      </c>
      <c r="Y80" s="357">
        <v>27428431.109441593</v>
      </c>
      <c r="Z80" s="353">
        <v>16909246.719000001</v>
      </c>
      <c r="AA80" s="353">
        <v>617165</v>
      </c>
      <c r="AB80" s="357">
        <v>82438811.131738901</v>
      </c>
      <c r="AC80" s="353">
        <v>50822381.75</v>
      </c>
    </row>
    <row r="81" spans="2:29" hidden="1" outlineLevel="1" x14ac:dyDescent="0.25">
      <c r="B81" s="352">
        <v>41122</v>
      </c>
      <c r="C81" s="353">
        <v>287830</v>
      </c>
      <c r="D81" s="357">
        <v>38149857.216222592</v>
      </c>
      <c r="E81" s="353">
        <v>23570869.541999999</v>
      </c>
      <c r="F81" s="353">
        <v>116045</v>
      </c>
      <c r="G81" s="357">
        <v>15384566.971107479</v>
      </c>
      <c r="H81" s="353">
        <v>9505346.7430000007</v>
      </c>
      <c r="I81" s="353">
        <v>403875</v>
      </c>
      <c r="J81" s="357">
        <v>53534424.187330067</v>
      </c>
      <c r="K81" s="353">
        <v>33076216.285</v>
      </c>
      <c r="L81" s="353">
        <v>116667</v>
      </c>
      <c r="M81" s="357">
        <v>15601782.660011169</v>
      </c>
      <c r="N81" s="353">
        <v>9639553.3440000005</v>
      </c>
      <c r="O81" s="353">
        <v>81780</v>
      </c>
      <c r="P81" s="357">
        <v>10857743.537887646</v>
      </c>
      <c r="Q81" s="353">
        <v>6708451.227</v>
      </c>
      <c r="R81" s="353">
        <v>198447</v>
      </c>
      <c r="S81" s="357">
        <v>26459526.197898816</v>
      </c>
      <c r="T81" s="353">
        <v>16348004.571</v>
      </c>
      <c r="U81" s="353">
        <v>404497</v>
      </c>
      <c r="V81" s="357">
        <v>53751639.876233757</v>
      </c>
      <c r="W81" s="353">
        <v>33210422.886</v>
      </c>
      <c r="X81" s="353">
        <v>197825</v>
      </c>
      <c r="Y81" s="357">
        <v>26242310.508995123</v>
      </c>
      <c r="Z81" s="353">
        <v>16213797.970000001</v>
      </c>
      <c r="AA81" s="353">
        <v>602322</v>
      </c>
      <c r="AB81" s="357">
        <v>79993950.385228887</v>
      </c>
      <c r="AC81" s="353">
        <v>49424220.855999999</v>
      </c>
    </row>
    <row r="82" spans="2:29" hidden="1" outlineLevel="1" x14ac:dyDescent="0.25">
      <c r="B82" s="352">
        <v>41153</v>
      </c>
      <c r="C82" s="353">
        <v>287533</v>
      </c>
      <c r="D82" s="357">
        <v>37609966.495469213</v>
      </c>
      <c r="E82" s="353">
        <v>23415891.329999998</v>
      </c>
      <c r="F82" s="353">
        <v>115611</v>
      </c>
      <c r="G82" s="357">
        <v>15102099.580917418</v>
      </c>
      <c r="H82" s="353">
        <v>9402537.5610000007</v>
      </c>
      <c r="I82" s="353">
        <v>403144</v>
      </c>
      <c r="J82" s="357">
        <v>52712066.076386638</v>
      </c>
      <c r="K82" s="353">
        <v>32818428.890999999</v>
      </c>
      <c r="L82" s="353">
        <v>116640</v>
      </c>
      <c r="M82" s="357">
        <v>15710145.413391482</v>
      </c>
      <c r="N82" s="353">
        <v>9781105.7029999997</v>
      </c>
      <c r="O82" s="353">
        <v>81736</v>
      </c>
      <c r="P82" s="357">
        <v>10862830.977282284</v>
      </c>
      <c r="Q82" s="353">
        <v>6763177.2479999997</v>
      </c>
      <c r="R82" s="353">
        <v>198376</v>
      </c>
      <c r="S82" s="357">
        <v>26572976.390673768</v>
      </c>
      <c r="T82" s="353">
        <v>16544282.950999999</v>
      </c>
      <c r="U82" s="353">
        <v>404173</v>
      </c>
      <c r="V82" s="357">
        <v>53320111.908860698</v>
      </c>
      <c r="W82" s="353">
        <v>33196997.033</v>
      </c>
      <c r="X82" s="353">
        <v>197347</v>
      </c>
      <c r="Y82" s="357">
        <v>25964930.558199704</v>
      </c>
      <c r="Z82" s="353">
        <v>16165714.809</v>
      </c>
      <c r="AA82" s="353">
        <v>601520</v>
      </c>
      <c r="AB82" s="357">
        <v>79285042.467060387</v>
      </c>
      <c r="AC82" s="353">
        <v>49362711.842</v>
      </c>
    </row>
    <row r="83" spans="2:29" hidden="1" outlineLevel="1" x14ac:dyDescent="0.25">
      <c r="B83" s="352">
        <v>41183</v>
      </c>
      <c r="C83" s="353">
        <v>288146</v>
      </c>
      <c r="D83" s="357">
        <v>37809619.402979538</v>
      </c>
      <c r="E83" s="353">
        <v>23671707.484999999</v>
      </c>
      <c r="F83" s="353">
        <v>115666</v>
      </c>
      <c r="G83" s="357">
        <v>15182990.441800073</v>
      </c>
      <c r="H83" s="353">
        <v>9505710.8259999994</v>
      </c>
      <c r="I83" s="353">
        <v>403812</v>
      </c>
      <c r="J83" s="357">
        <v>52992609.844779618</v>
      </c>
      <c r="K83" s="353">
        <v>33177418.311000001</v>
      </c>
      <c r="L83" s="353">
        <v>115891</v>
      </c>
      <c r="M83" s="357">
        <v>15152756.926638257</v>
      </c>
      <c r="N83" s="353">
        <v>9486782.3379999995</v>
      </c>
      <c r="O83" s="353">
        <v>81467</v>
      </c>
      <c r="P83" s="357">
        <v>10608377.452344429</v>
      </c>
      <c r="Q83" s="353">
        <v>6641653.9469999997</v>
      </c>
      <c r="R83" s="353">
        <v>197358</v>
      </c>
      <c r="S83" s="357">
        <v>25761134.378982686</v>
      </c>
      <c r="T83" s="353">
        <v>16128436.285</v>
      </c>
      <c r="U83" s="353">
        <v>404037</v>
      </c>
      <c r="V83" s="357">
        <v>52962376.329617798</v>
      </c>
      <c r="W83" s="353">
        <v>33158489.822999999</v>
      </c>
      <c r="X83" s="353">
        <v>197133</v>
      </c>
      <c r="Y83" s="357">
        <v>25791367.894144505</v>
      </c>
      <c r="Z83" s="353">
        <v>16147364.773</v>
      </c>
      <c r="AA83" s="353">
        <v>601170</v>
      </c>
      <c r="AB83" s="357">
        <v>78753744.223762304</v>
      </c>
      <c r="AC83" s="353">
        <v>49305854.596000001</v>
      </c>
    </row>
    <row r="84" spans="2:29" hidden="1" outlineLevel="1" x14ac:dyDescent="0.25">
      <c r="B84" s="352">
        <v>41214</v>
      </c>
      <c r="C84" s="353">
        <v>288062</v>
      </c>
      <c r="D84" s="357">
        <v>37685242.045327321</v>
      </c>
      <c r="E84" s="353">
        <v>23487576.331</v>
      </c>
      <c r="F84" s="353">
        <v>115528</v>
      </c>
      <c r="G84" s="357">
        <v>15107687.910709918</v>
      </c>
      <c r="H84" s="353">
        <v>9415966.4030000009</v>
      </c>
      <c r="I84" s="353">
        <v>403590</v>
      </c>
      <c r="J84" s="357">
        <v>52792929.956037246</v>
      </c>
      <c r="K84" s="353">
        <v>32903542.734000001</v>
      </c>
      <c r="L84" s="353">
        <v>115087</v>
      </c>
      <c r="M84" s="357">
        <v>15610430.757365676</v>
      </c>
      <c r="N84" s="353">
        <v>9729304.2070000004</v>
      </c>
      <c r="O84" s="353">
        <v>81174</v>
      </c>
      <c r="P84" s="357">
        <v>10873205.616567533</v>
      </c>
      <c r="Q84" s="353">
        <v>6776797.3090000004</v>
      </c>
      <c r="R84" s="353">
        <v>196261</v>
      </c>
      <c r="S84" s="357">
        <v>26483636.373933207</v>
      </c>
      <c r="T84" s="353">
        <v>16506101.516000001</v>
      </c>
      <c r="U84" s="353">
        <v>403149</v>
      </c>
      <c r="V84" s="357">
        <v>53295672.802693002</v>
      </c>
      <c r="W84" s="353">
        <v>33216880.537999999</v>
      </c>
      <c r="X84" s="353">
        <v>196702</v>
      </c>
      <c r="Y84" s="357">
        <v>25980893.527277451</v>
      </c>
      <c r="Z84" s="353">
        <v>16192763.711999999</v>
      </c>
      <c r="AA84" s="353">
        <v>599851</v>
      </c>
      <c r="AB84" s="357">
        <v>79276566.329970464</v>
      </c>
      <c r="AC84" s="353">
        <v>49409644.25</v>
      </c>
    </row>
    <row r="85" spans="2:29" hidden="1" outlineLevel="1" x14ac:dyDescent="0.25">
      <c r="B85" s="352">
        <v>41244</v>
      </c>
      <c r="C85" s="353">
        <v>290081</v>
      </c>
      <c r="D85" s="357">
        <v>38445397.062582187</v>
      </c>
      <c r="E85" s="353">
        <v>23954986.984000001</v>
      </c>
      <c r="F85" s="353">
        <v>116042</v>
      </c>
      <c r="G85" s="357">
        <v>15342114.934337789</v>
      </c>
      <c r="H85" s="353">
        <v>9559536.1640000008</v>
      </c>
      <c r="I85" s="353">
        <v>406123</v>
      </c>
      <c r="J85" s="357">
        <v>53787511.996919975</v>
      </c>
      <c r="K85" s="353">
        <v>33514523.147999998</v>
      </c>
      <c r="L85" s="353">
        <v>114101</v>
      </c>
      <c r="M85" s="357">
        <v>15248236.789497819</v>
      </c>
      <c r="N85" s="353">
        <v>9501041.5219999999</v>
      </c>
      <c r="O85" s="353">
        <v>80753</v>
      </c>
      <c r="P85" s="357">
        <v>10683433.181756591</v>
      </c>
      <c r="Q85" s="353">
        <v>6656752.7549999999</v>
      </c>
      <c r="R85" s="353">
        <v>194854</v>
      </c>
      <c r="S85" s="357">
        <v>25931669.971254408</v>
      </c>
      <c r="T85" s="353">
        <v>16157794.277000001</v>
      </c>
      <c r="U85" s="353">
        <v>404182</v>
      </c>
      <c r="V85" s="357">
        <v>53693633.852080002</v>
      </c>
      <c r="W85" s="353">
        <v>33456028.506000001</v>
      </c>
      <c r="X85" s="353">
        <v>196795</v>
      </c>
      <c r="Y85" s="357">
        <v>26025548.116094381</v>
      </c>
      <c r="Z85" s="353">
        <v>16216288.919</v>
      </c>
      <c r="AA85" s="353">
        <v>600977</v>
      </c>
      <c r="AB85" s="357">
        <v>79719181.968174383</v>
      </c>
      <c r="AC85" s="353">
        <v>49672317.424999997</v>
      </c>
    </row>
    <row r="86" spans="2:29" collapsed="1" x14ac:dyDescent="0.25">
      <c r="B86" s="355" t="s">
        <v>703</v>
      </c>
      <c r="C86" s="356">
        <v>288232.25</v>
      </c>
      <c r="D86" s="358">
        <v>37614981.521440737</v>
      </c>
      <c r="E86" s="356"/>
      <c r="F86" s="356">
        <v>116683.83333333333</v>
      </c>
      <c r="G86" s="358">
        <v>15217232.632003456</v>
      </c>
      <c r="H86" s="356"/>
      <c r="I86" s="356">
        <v>404916.08333333331</v>
      </c>
      <c r="J86" s="358">
        <v>52832214.153444193</v>
      </c>
      <c r="K86" s="356"/>
      <c r="L86" s="356">
        <v>120025.91666666667</v>
      </c>
      <c r="M86" s="358">
        <v>15921950.770999916</v>
      </c>
      <c r="N86" s="356"/>
      <c r="O86" s="356">
        <v>85446.25</v>
      </c>
      <c r="P86" s="358">
        <v>11233238.938874545</v>
      </c>
      <c r="Q86" s="356"/>
      <c r="R86" s="356">
        <v>205472.16666666666</v>
      </c>
      <c r="S86" s="358">
        <v>27155189.709874451</v>
      </c>
      <c r="T86" s="356"/>
      <c r="U86" s="356">
        <v>408258.16666666669</v>
      </c>
      <c r="V86" s="358">
        <v>53536932.292440645</v>
      </c>
      <c r="W86" s="356"/>
      <c r="X86" s="356">
        <v>202130.08333333334</v>
      </c>
      <c r="Y86" s="358">
        <v>26450471.570877999</v>
      </c>
      <c r="Z86" s="356"/>
      <c r="AA86" s="356">
        <v>610388.25</v>
      </c>
      <c r="AB86" s="358">
        <v>79987403.863318637</v>
      </c>
      <c r="AC86" s="356"/>
    </row>
    <row r="87" spans="2:29" hidden="1" outlineLevel="1" x14ac:dyDescent="0.25">
      <c r="B87" s="352">
        <v>41275</v>
      </c>
      <c r="C87" s="353">
        <v>291117</v>
      </c>
      <c r="D87" s="357">
        <v>38169363.244270377</v>
      </c>
      <c r="E87" s="353">
        <v>23825269.947999999</v>
      </c>
      <c r="F87" s="353">
        <v>116175</v>
      </c>
      <c r="G87" s="357">
        <v>15205055.040228197</v>
      </c>
      <c r="H87" s="353">
        <v>9490976.7970000003</v>
      </c>
      <c r="I87" s="353">
        <v>407292</v>
      </c>
      <c r="J87" s="357">
        <v>53374418.284498572</v>
      </c>
      <c r="K87" s="353">
        <v>33316246.745000001</v>
      </c>
      <c r="L87" s="353">
        <v>114577</v>
      </c>
      <c r="M87" s="357">
        <v>15428745.732368879</v>
      </c>
      <c r="N87" s="353">
        <v>9630604.2540000007</v>
      </c>
      <c r="O87" s="353">
        <v>80974</v>
      </c>
      <c r="P87" s="357">
        <v>10761724.100662</v>
      </c>
      <c r="Q87" s="353">
        <v>6717455.0480000004</v>
      </c>
      <c r="R87" s="353">
        <v>195551</v>
      </c>
      <c r="S87" s="357">
        <v>26190469.833030879</v>
      </c>
      <c r="T87" s="353">
        <v>16348059.301999999</v>
      </c>
      <c r="U87" s="353">
        <v>405694</v>
      </c>
      <c r="V87" s="357">
        <v>53598108.976639256</v>
      </c>
      <c r="W87" s="353">
        <v>33455874.202</v>
      </c>
      <c r="X87" s="353">
        <v>197149</v>
      </c>
      <c r="Y87" s="357">
        <v>25966779.140890196</v>
      </c>
      <c r="Z87" s="353">
        <v>16208431.845000001</v>
      </c>
      <c r="AA87" s="353">
        <v>602843</v>
      </c>
      <c r="AB87" s="357">
        <v>79564888.117529452</v>
      </c>
      <c r="AC87" s="353">
        <v>49664306.046999998</v>
      </c>
    </row>
    <row r="88" spans="2:29" hidden="1" outlineLevel="1" x14ac:dyDescent="0.25">
      <c r="B88" s="352">
        <v>41306</v>
      </c>
      <c r="C88" s="353">
        <v>291221</v>
      </c>
      <c r="D88" s="357">
        <v>37885240.764246963</v>
      </c>
      <c r="E88" s="353">
        <v>23675656.447999999</v>
      </c>
      <c r="F88" s="353">
        <v>116163</v>
      </c>
      <c r="G88" s="357">
        <v>15123659.60760697</v>
      </c>
      <c r="H88" s="353">
        <v>9451241.7469999995</v>
      </c>
      <c r="I88" s="353">
        <v>407384</v>
      </c>
      <c r="J88" s="357">
        <v>53008900.371853933</v>
      </c>
      <c r="K88" s="353">
        <v>33126898.195</v>
      </c>
      <c r="L88" s="353">
        <v>114575</v>
      </c>
      <c r="M88" s="357">
        <v>15311213.299927637</v>
      </c>
      <c r="N88" s="353">
        <v>9568449.8389999997</v>
      </c>
      <c r="O88" s="353">
        <v>81066</v>
      </c>
      <c r="P88" s="357">
        <v>10750490.484676052</v>
      </c>
      <c r="Q88" s="353">
        <v>6718313.3650000002</v>
      </c>
      <c r="R88" s="353">
        <v>195641</v>
      </c>
      <c r="S88" s="357">
        <v>26061703.784603689</v>
      </c>
      <c r="T88" s="353">
        <v>16286763.204</v>
      </c>
      <c r="U88" s="353">
        <v>405796</v>
      </c>
      <c r="V88" s="357">
        <v>53196454.064174607</v>
      </c>
      <c r="W88" s="353">
        <v>33244106.287</v>
      </c>
      <c r="X88" s="353">
        <v>197229</v>
      </c>
      <c r="Y88" s="357">
        <v>25874150.092283022</v>
      </c>
      <c r="Z88" s="353">
        <v>16169555.112</v>
      </c>
      <c r="AA88" s="353">
        <v>603025</v>
      </c>
      <c r="AB88" s="357">
        <v>79070604.156457633</v>
      </c>
      <c r="AC88" s="353">
        <v>49413661.398999996</v>
      </c>
    </row>
    <row r="89" spans="2:29" hidden="1" outlineLevel="1" x14ac:dyDescent="0.25">
      <c r="B89" s="352">
        <v>41334</v>
      </c>
      <c r="C89" s="353">
        <v>290983</v>
      </c>
      <c r="D89" s="357">
        <v>37749803.220907934</v>
      </c>
      <c r="E89" s="353">
        <v>23681559.782000002</v>
      </c>
      <c r="F89" s="353">
        <v>116050</v>
      </c>
      <c r="G89" s="357">
        <v>15055210.567453383</v>
      </c>
      <c r="H89" s="353">
        <v>9444575.5649999995</v>
      </c>
      <c r="I89" s="353">
        <v>407033</v>
      </c>
      <c r="J89" s="357">
        <v>52805013.788361318</v>
      </c>
      <c r="K89" s="353">
        <v>33126135.346999999</v>
      </c>
      <c r="L89" s="353">
        <v>114606</v>
      </c>
      <c r="M89" s="357">
        <v>15290984.433838144</v>
      </c>
      <c r="N89" s="353">
        <v>9592483.4330000002</v>
      </c>
      <c r="O89" s="353">
        <v>81057</v>
      </c>
      <c r="P89" s="357">
        <v>10701126.985268319</v>
      </c>
      <c r="Q89" s="353">
        <v>6713131.1109999996</v>
      </c>
      <c r="R89" s="353">
        <v>195663</v>
      </c>
      <c r="S89" s="357">
        <v>25992111.419106461</v>
      </c>
      <c r="T89" s="353">
        <v>16305614.544</v>
      </c>
      <c r="U89" s="353">
        <v>405589</v>
      </c>
      <c r="V89" s="357">
        <v>53040787.654746085</v>
      </c>
      <c r="W89" s="353">
        <v>33274043.215</v>
      </c>
      <c r="X89" s="353">
        <v>197107</v>
      </c>
      <c r="Y89" s="357">
        <v>25756337.552721698</v>
      </c>
      <c r="Z89" s="353">
        <v>16157706.676000001</v>
      </c>
      <c r="AA89" s="353">
        <v>602696</v>
      </c>
      <c r="AB89" s="357">
        <v>78797125.207467794</v>
      </c>
      <c r="AC89" s="353">
        <v>49431749.891000003</v>
      </c>
    </row>
    <row r="90" spans="2:29" hidden="1" outlineLevel="1" x14ac:dyDescent="0.25">
      <c r="B90" s="352">
        <v>41365</v>
      </c>
      <c r="C90" s="353">
        <v>291102</v>
      </c>
      <c r="D90" s="357">
        <v>37983233.66413527</v>
      </c>
      <c r="E90" s="353">
        <v>23712734.690000001</v>
      </c>
      <c r="F90" s="353">
        <v>116061</v>
      </c>
      <c r="G90" s="357">
        <v>15163529.420767685</v>
      </c>
      <c r="H90" s="353">
        <v>9466512.3379999995</v>
      </c>
      <c r="I90" s="353">
        <v>407163</v>
      </c>
      <c r="J90" s="357">
        <v>53146763.084902957</v>
      </c>
      <c r="K90" s="353">
        <v>33179247.028000001</v>
      </c>
      <c r="L90" s="353">
        <v>114367</v>
      </c>
      <c r="M90" s="357">
        <v>15183778.246011529</v>
      </c>
      <c r="N90" s="353">
        <v>9479153.5739999991</v>
      </c>
      <c r="O90" s="353">
        <v>81062</v>
      </c>
      <c r="P90" s="357">
        <v>10672640.999414394</v>
      </c>
      <c r="Q90" s="353">
        <v>6662874.1169999996</v>
      </c>
      <c r="R90" s="353">
        <v>195429</v>
      </c>
      <c r="S90" s="357">
        <v>25856419.245425921</v>
      </c>
      <c r="T90" s="353">
        <v>16142027.691</v>
      </c>
      <c r="U90" s="353">
        <v>405469</v>
      </c>
      <c r="V90" s="357">
        <v>53167011.910146795</v>
      </c>
      <c r="W90" s="353">
        <v>33191888.263999999</v>
      </c>
      <c r="X90" s="353">
        <v>197123</v>
      </c>
      <c r="Y90" s="357">
        <v>25836170.420182079</v>
      </c>
      <c r="Z90" s="353">
        <v>16129386.455</v>
      </c>
      <c r="AA90" s="353">
        <v>602592</v>
      </c>
      <c r="AB90" s="357">
        <v>79003182.330328867</v>
      </c>
      <c r="AC90" s="353">
        <v>49321274.718999997</v>
      </c>
    </row>
    <row r="91" spans="2:29" hidden="1" outlineLevel="1" x14ac:dyDescent="0.25">
      <c r="B91" s="352">
        <v>41395</v>
      </c>
      <c r="C91" s="353">
        <v>287944</v>
      </c>
      <c r="D91" s="357">
        <v>37404011.93776387</v>
      </c>
      <c r="E91" s="353">
        <v>23349133.921999998</v>
      </c>
      <c r="F91" s="353">
        <v>115158</v>
      </c>
      <c r="G91" s="357">
        <v>14919809.164431076</v>
      </c>
      <c r="H91" s="353">
        <v>9313563.0170000009</v>
      </c>
      <c r="I91" s="353">
        <v>403102</v>
      </c>
      <c r="J91" s="357">
        <v>52323821.10219495</v>
      </c>
      <c r="K91" s="353">
        <v>32662696.938999999</v>
      </c>
      <c r="L91" s="353">
        <v>113862</v>
      </c>
      <c r="M91" s="357">
        <v>15136895.987506824</v>
      </c>
      <c r="N91" s="353">
        <v>9449077.6060000006</v>
      </c>
      <c r="O91" s="353">
        <v>80923</v>
      </c>
      <c r="P91" s="357">
        <v>10641389.368652899</v>
      </c>
      <c r="Q91" s="353">
        <v>6642796.1229999997</v>
      </c>
      <c r="R91" s="353">
        <v>194785</v>
      </c>
      <c r="S91" s="357">
        <v>25778285.356159721</v>
      </c>
      <c r="T91" s="353">
        <v>16091873.729</v>
      </c>
      <c r="U91" s="353">
        <v>401806</v>
      </c>
      <c r="V91" s="357">
        <v>52540907.925270699</v>
      </c>
      <c r="W91" s="353">
        <v>32798211.528000001</v>
      </c>
      <c r="X91" s="353">
        <v>196081</v>
      </c>
      <c r="Y91" s="357">
        <v>25561198.533083975</v>
      </c>
      <c r="Z91" s="353">
        <v>15956359.140000001</v>
      </c>
      <c r="AA91" s="353">
        <v>597887</v>
      </c>
      <c r="AB91" s="357">
        <v>78102106.458354682</v>
      </c>
      <c r="AC91" s="353">
        <v>48754570.667999998</v>
      </c>
    </row>
    <row r="92" spans="2:29" hidden="1" outlineLevel="1" x14ac:dyDescent="0.25">
      <c r="B92" s="352">
        <v>41426</v>
      </c>
      <c r="C92" s="353">
        <v>287746</v>
      </c>
      <c r="D92" s="357">
        <v>37121675.575803384</v>
      </c>
      <c r="E92" s="353">
        <v>23321256.513999999</v>
      </c>
      <c r="F92" s="353">
        <v>114755</v>
      </c>
      <c r="G92" s="357">
        <v>14768229.899648366</v>
      </c>
      <c r="H92" s="353">
        <v>9277966.9130000006</v>
      </c>
      <c r="I92" s="353">
        <v>402501</v>
      </c>
      <c r="J92" s="357">
        <v>51889905.475451753</v>
      </c>
      <c r="K92" s="353">
        <v>32599223.427000001</v>
      </c>
      <c r="L92" s="353">
        <v>113747</v>
      </c>
      <c r="M92" s="357">
        <v>15026704.145538621</v>
      </c>
      <c r="N92" s="353">
        <v>9440350.3210000005</v>
      </c>
      <c r="O92" s="353">
        <v>80780</v>
      </c>
      <c r="P92" s="357">
        <v>10574502.390204385</v>
      </c>
      <c r="Q92" s="353">
        <v>6643306.8799999999</v>
      </c>
      <c r="R92" s="353">
        <v>194527</v>
      </c>
      <c r="S92" s="357">
        <v>25601206.535743006</v>
      </c>
      <c r="T92" s="353">
        <v>16083657.200999999</v>
      </c>
      <c r="U92" s="353">
        <v>401493</v>
      </c>
      <c r="V92" s="357">
        <v>52148379.721342005</v>
      </c>
      <c r="W92" s="353">
        <v>32761606.835000001</v>
      </c>
      <c r="X92" s="353">
        <v>195535</v>
      </c>
      <c r="Y92" s="357">
        <v>25342732.289852753</v>
      </c>
      <c r="Z92" s="353">
        <v>15921273.793</v>
      </c>
      <c r="AA92" s="353">
        <v>597028</v>
      </c>
      <c r="AB92" s="357">
        <v>77491112.011194766</v>
      </c>
      <c r="AC92" s="353">
        <v>48682880.627999999</v>
      </c>
    </row>
    <row r="93" spans="2:29" hidden="1" outlineLevel="1" x14ac:dyDescent="0.25">
      <c r="B93" s="352">
        <v>41456</v>
      </c>
      <c r="C93" s="353">
        <v>286900</v>
      </c>
      <c r="D93" s="357">
        <v>37335450.351927184</v>
      </c>
      <c r="E93" s="353">
        <v>23516711.16</v>
      </c>
      <c r="F93" s="353">
        <v>113823</v>
      </c>
      <c r="G93" s="357">
        <v>14780144.001945054</v>
      </c>
      <c r="H93" s="353">
        <v>9309660.7679999992</v>
      </c>
      <c r="I93" s="353">
        <v>400723</v>
      </c>
      <c r="J93" s="357">
        <v>52115594.35387224</v>
      </c>
      <c r="K93" s="353">
        <v>32826371.927999999</v>
      </c>
      <c r="L93" s="353">
        <v>113259</v>
      </c>
      <c r="M93" s="357">
        <v>15150473.395712472</v>
      </c>
      <c r="N93" s="353">
        <v>9542922.4350000005</v>
      </c>
      <c r="O93" s="353">
        <v>80448</v>
      </c>
      <c r="P93" s="357">
        <v>10671380.413723627</v>
      </c>
      <c r="Q93" s="353">
        <v>6721648.4199999999</v>
      </c>
      <c r="R93" s="353">
        <v>193707</v>
      </c>
      <c r="S93" s="357">
        <v>25821853.809436101</v>
      </c>
      <c r="T93" s="353">
        <v>16264570.855</v>
      </c>
      <c r="U93" s="353">
        <v>400159</v>
      </c>
      <c r="V93" s="357">
        <v>52485923.747639656</v>
      </c>
      <c r="W93" s="353">
        <v>33059633.594999999</v>
      </c>
      <c r="X93" s="353">
        <v>194271</v>
      </c>
      <c r="Y93" s="357">
        <v>25451524.415668681</v>
      </c>
      <c r="Z93" s="353">
        <v>16031309.187999999</v>
      </c>
      <c r="AA93" s="353">
        <v>594430</v>
      </c>
      <c r="AB93" s="357">
        <v>77937448.163308337</v>
      </c>
      <c r="AC93" s="353">
        <v>49090942.783</v>
      </c>
    </row>
    <row r="94" spans="2:29" hidden="1" outlineLevel="1" x14ac:dyDescent="0.25">
      <c r="B94" s="352">
        <v>41487</v>
      </c>
      <c r="C94" s="353">
        <v>286299</v>
      </c>
      <c r="D94" s="357">
        <v>37388035.651278995</v>
      </c>
      <c r="E94" s="353">
        <v>23606504.903000001</v>
      </c>
      <c r="F94" s="353">
        <v>112889</v>
      </c>
      <c r="G94" s="357">
        <v>14719036.360003959</v>
      </c>
      <c r="H94" s="353">
        <v>9293481.1349999998</v>
      </c>
      <c r="I94" s="353">
        <v>399188</v>
      </c>
      <c r="J94" s="357">
        <v>52107072.011282951</v>
      </c>
      <c r="K94" s="353">
        <v>32899986.037999999</v>
      </c>
      <c r="L94" s="353">
        <v>112410</v>
      </c>
      <c r="M94" s="357">
        <v>14865307.436707949</v>
      </c>
      <c r="N94" s="353">
        <v>9385835.5160000008</v>
      </c>
      <c r="O94" s="353">
        <v>79869</v>
      </c>
      <c r="P94" s="357">
        <v>10489956.158442773</v>
      </c>
      <c r="Q94" s="353">
        <v>6623273.9210000001</v>
      </c>
      <c r="R94" s="353">
        <v>192279</v>
      </c>
      <c r="S94" s="357">
        <v>25355263.595150724</v>
      </c>
      <c r="T94" s="353">
        <v>16009109.437000001</v>
      </c>
      <c r="U94" s="353">
        <v>398709</v>
      </c>
      <c r="V94" s="357">
        <v>52253343.087986939</v>
      </c>
      <c r="W94" s="353">
        <v>32992340.419</v>
      </c>
      <c r="X94" s="353">
        <v>192758</v>
      </c>
      <c r="Y94" s="357">
        <v>25208992.518446732</v>
      </c>
      <c r="Z94" s="353">
        <v>15916755.056</v>
      </c>
      <c r="AA94" s="353">
        <v>591467</v>
      </c>
      <c r="AB94" s="357">
        <v>77462335.606433675</v>
      </c>
      <c r="AC94" s="353">
        <v>48909095.475000001</v>
      </c>
    </row>
    <row r="95" spans="2:29" hidden="1" outlineLevel="1" x14ac:dyDescent="0.25">
      <c r="B95" s="352">
        <v>41518</v>
      </c>
      <c r="C95" s="353">
        <v>287419</v>
      </c>
      <c r="D95" s="357">
        <v>38469494.081540897</v>
      </c>
      <c r="E95" s="353">
        <v>24419698.526999999</v>
      </c>
      <c r="F95" s="353">
        <v>112931</v>
      </c>
      <c r="G95" s="357">
        <v>15372164.103899062</v>
      </c>
      <c r="H95" s="353">
        <v>9757955.5460000001</v>
      </c>
      <c r="I95" s="353">
        <v>400350</v>
      </c>
      <c r="J95" s="357">
        <v>53841658.185439967</v>
      </c>
      <c r="K95" s="353">
        <v>34177654.072999999</v>
      </c>
      <c r="L95" s="353">
        <v>110949</v>
      </c>
      <c r="M95" s="357">
        <v>14766588.332198914</v>
      </c>
      <c r="N95" s="353">
        <v>9373547.6370000001</v>
      </c>
      <c r="O95" s="353">
        <v>78807</v>
      </c>
      <c r="P95" s="357">
        <v>10259015.976987043</v>
      </c>
      <c r="Q95" s="353">
        <v>6512226.9819999998</v>
      </c>
      <c r="R95" s="353">
        <v>189756</v>
      </c>
      <c r="S95" s="357">
        <v>25025604.309185956</v>
      </c>
      <c r="T95" s="353">
        <v>15885774.619000001</v>
      </c>
      <c r="U95" s="353">
        <v>398368</v>
      </c>
      <c r="V95" s="357">
        <v>53236082.413739815</v>
      </c>
      <c r="W95" s="353">
        <v>33793246.163999997</v>
      </c>
      <c r="X95" s="353">
        <v>191738</v>
      </c>
      <c r="Y95" s="357">
        <v>25631180.080886103</v>
      </c>
      <c r="Z95" s="353">
        <v>16270182.528000001</v>
      </c>
      <c r="AA95" s="353">
        <v>590106</v>
      </c>
      <c r="AB95" s="357">
        <v>78867262.494625911</v>
      </c>
      <c r="AC95" s="353">
        <v>50063428.692000002</v>
      </c>
    </row>
    <row r="96" spans="2:29" hidden="1" outlineLevel="1" x14ac:dyDescent="0.25">
      <c r="B96" s="352">
        <v>41548</v>
      </c>
      <c r="C96" s="353">
        <v>287421</v>
      </c>
      <c r="D96" s="357">
        <v>37648779.597282402</v>
      </c>
      <c r="E96" s="353">
        <v>23932815.302000001</v>
      </c>
      <c r="F96" s="353">
        <v>112713</v>
      </c>
      <c r="G96" s="357">
        <v>14804083.450873949</v>
      </c>
      <c r="H96" s="353">
        <v>9410753.7809999995</v>
      </c>
      <c r="I96" s="353">
        <v>400134</v>
      </c>
      <c r="J96" s="357">
        <v>52452863.048156351</v>
      </c>
      <c r="K96" s="353">
        <v>33343569.083000001</v>
      </c>
      <c r="L96" s="353">
        <v>110059</v>
      </c>
      <c r="M96" s="357">
        <v>14571950.739687139</v>
      </c>
      <c r="N96" s="353">
        <v>9263190.1850000005</v>
      </c>
      <c r="O96" s="353">
        <v>77668</v>
      </c>
      <c r="P96" s="357">
        <v>10135946.488696199</v>
      </c>
      <c r="Q96" s="353">
        <v>6443282.8320000004</v>
      </c>
      <c r="R96" s="353">
        <v>187727</v>
      </c>
      <c r="S96" s="357">
        <v>24707897.22838334</v>
      </c>
      <c r="T96" s="353">
        <v>15706473.017000001</v>
      </c>
      <c r="U96" s="353">
        <v>397480</v>
      </c>
      <c r="V96" s="357">
        <v>52220730.336969547</v>
      </c>
      <c r="W96" s="353">
        <v>33196005.487</v>
      </c>
      <c r="X96" s="353">
        <v>190381</v>
      </c>
      <c r="Y96" s="357">
        <v>24940029.939570148</v>
      </c>
      <c r="Z96" s="353">
        <v>15854036.613</v>
      </c>
      <c r="AA96" s="353">
        <v>587861</v>
      </c>
      <c r="AB96" s="357">
        <v>77160760.276539683</v>
      </c>
      <c r="AC96" s="353">
        <v>49050042.100000001</v>
      </c>
    </row>
    <row r="97" spans="2:29" hidden="1" outlineLevel="1" x14ac:dyDescent="0.25">
      <c r="B97" s="352">
        <v>41579</v>
      </c>
      <c r="C97" s="353">
        <v>288032</v>
      </c>
      <c r="D97" s="357">
        <v>37585484.548498675</v>
      </c>
      <c r="E97" s="353">
        <v>23981533.175000001</v>
      </c>
      <c r="F97" s="353">
        <v>112717</v>
      </c>
      <c r="G97" s="357">
        <v>14701486.725670671</v>
      </c>
      <c r="H97" s="353">
        <v>9380328.4930000007</v>
      </c>
      <c r="I97" s="353">
        <v>400749</v>
      </c>
      <c r="J97" s="357">
        <v>52286971.274169341</v>
      </c>
      <c r="K97" s="353">
        <v>33361861.668000001</v>
      </c>
      <c r="L97" s="353">
        <v>109706</v>
      </c>
      <c r="M97" s="357">
        <v>14464751.732828572</v>
      </c>
      <c r="N97" s="353">
        <v>9229279.0079999994</v>
      </c>
      <c r="O97" s="353">
        <v>77463</v>
      </c>
      <c r="P97" s="357">
        <v>10027201.216510484</v>
      </c>
      <c r="Q97" s="353">
        <v>6397886.352</v>
      </c>
      <c r="R97" s="353">
        <v>187169</v>
      </c>
      <c r="S97" s="357">
        <v>24491952.949339058</v>
      </c>
      <c r="T97" s="353">
        <v>15627165.359999999</v>
      </c>
      <c r="U97" s="353">
        <v>397738</v>
      </c>
      <c r="V97" s="357">
        <v>52050236.28132724</v>
      </c>
      <c r="W97" s="353">
        <v>33210812.182999998</v>
      </c>
      <c r="X97" s="353">
        <v>190180</v>
      </c>
      <c r="Y97" s="357">
        <v>24728687.942181155</v>
      </c>
      <c r="Z97" s="353">
        <v>15778214.845000001</v>
      </c>
      <c r="AA97" s="353">
        <v>587918</v>
      </c>
      <c r="AB97" s="357">
        <v>76778924.223508388</v>
      </c>
      <c r="AC97" s="353">
        <v>48989027.027999997</v>
      </c>
    </row>
    <row r="98" spans="2:29" hidden="1" outlineLevel="1" x14ac:dyDescent="0.25">
      <c r="B98" s="352">
        <v>41609</v>
      </c>
      <c r="C98" s="353">
        <v>288459</v>
      </c>
      <c r="D98" s="357">
        <v>37395893.09102156</v>
      </c>
      <c r="E98" s="353">
        <v>24003442.306000002</v>
      </c>
      <c r="F98" s="353">
        <v>112309</v>
      </c>
      <c r="G98" s="357">
        <v>14564900.545619981</v>
      </c>
      <c r="H98" s="353">
        <v>9348827.3990000002</v>
      </c>
      <c r="I98" s="353">
        <v>400768</v>
      </c>
      <c r="J98" s="357">
        <v>51960793.63664154</v>
      </c>
      <c r="K98" s="353">
        <v>33352269.704999998</v>
      </c>
      <c r="L98" s="353">
        <v>109144</v>
      </c>
      <c r="M98" s="357">
        <v>14193701.042162953</v>
      </c>
      <c r="N98" s="353">
        <v>9110564.1799999997</v>
      </c>
      <c r="O98" s="353">
        <v>77638</v>
      </c>
      <c r="P98" s="357">
        <v>9848403.7887854557</v>
      </c>
      <c r="Q98" s="353">
        <v>6321431.9170000004</v>
      </c>
      <c r="R98" s="353">
        <v>186782</v>
      </c>
      <c r="S98" s="357">
        <v>24042104.830948405</v>
      </c>
      <c r="T98" s="353">
        <v>15431996.096999999</v>
      </c>
      <c r="U98" s="353">
        <v>397603</v>
      </c>
      <c r="V98" s="357">
        <v>51589594.133184515</v>
      </c>
      <c r="W98" s="353">
        <v>33114006.486000001</v>
      </c>
      <c r="X98" s="353">
        <v>189947</v>
      </c>
      <c r="Y98" s="357">
        <v>24413304.334405437</v>
      </c>
      <c r="Z98" s="353">
        <v>15670259.316</v>
      </c>
      <c r="AA98" s="353">
        <v>587550</v>
      </c>
      <c r="AB98" s="357">
        <v>76002898.467589945</v>
      </c>
      <c r="AC98" s="353">
        <v>48784265.802000001</v>
      </c>
    </row>
    <row r="99" spans="2:29" collapsed="1" x14ac:dyDescent="0.25">
      <c r="B99" s="355" t="s">
        <v>704</v>
      </c>
      <c r="C99" s="356">
        <v>288720.25</v>
      </c>
      <c r="D99" s="358">
        <v>37678038.810723126</v>
      </c>
      <c r="E99" s="356"/>
      <c r="F99" s="356">
        <v>114312</v>
      </c>
      <c r="G99" s="358">
        <v>14931442.407345695</v>
      </c>
      <c r="H99" s="356"/>
      <c r="I99" s="356">
        <v>403032.25</v>
      </c>
      <c r="J99" s="358">
        <v>52609481.218068816</v>
      </c>
      <c r="K99" s="356"/>
      <c r="L99" s="356">
        <v>112605.08333333333</v>
      </c>
      <c r="M99" s="358">
        <v>14949257.877040803</v>
      </c>
      <c r="N99" s="356"/>
      <c r="O99" s="356">
        <v>79812.916666666672</v>
      </c>
      <c r="P99" s="358">
        <v>10461148.197668638</v>
      </c>
      <c r="Q99" s="356"/>
      <c r="R99" s="356">
        <v>192418</v>
      </c>
      <c r="S99" s="358">
        <v>25410406.074709434</v>
      </c>
      <c r="T99" s="356"/>
      <c r="U99" s="356">
        <v>401325.33333333331</v>
      </c>
      <c r="V99" s="358">
        <v>52627296.687763929</v>
      </c>
      <c r="W99" s="356"/>
      <c r="X99" s="356">
        <v>194124.91666666666</v>
      </c>
      <c r="Y99" s="358">
        <v>25392590.605014335</v>
      </c>
      <c r="Z99" s="356"/>
      <c r="AA99" s="356">
        <v>595450.25</v>
      </c>
      <c r="AB99" s="358">
        <v>78019887.292778254</v>
      </c>
      <c r="AC99" s="356"/>
    </row>
    <row r="100" spans="2:29" hidden="1" outlineLevel="1" x14ac:dyDescent="0.25">
      <c r="B100" s="352">
        <v>41640</v>
      </c>
      <c r="C100" s="353">
        <v>287495</v>
      </c>
      <c r="D100" s="357">
        <v>37157705.616215415</v>
      </c>
      <c r="E100" s="353">
        <v>23893249.675999999</v>
      </c>
      <c r="F100" s="353">
        <v>111320</v>
      </c>
      <c r="G100" s="357">
        <v>14377776.601744946</v>
      </c>
      <c r="H100" s="353">
        <v>9245237.3049999997</v>
      </c>
      <c r="I100" s="353">
        <v>398815</v>
      </c>
      <c r="J100" s="357">
        <v>51535482.217960365</v>
      </c>
      <c r="K100" s="353">
        <v>33138486.980999999</v>
      </c>
      <c r="L100" s="353">
        <v>108852</v>
      </c>
      <c r="M100" s="357">
        <v>14427417.406052954</v>
      </c>
      <c r="N100" s="353">
        <v>9277157.4710000008</v>
      </c>
      <c r="O100" s="353">
        <v>77061</v>
      </c>
      <c r="P100" s="357">
        <v>10033735.860402301</v>
      </c>
      <c r="Q100" s="353">
        <v>6451920.3250000002</v>
      </c>
      <c r="R100" s="353">
        <v>185913</v>
      </c>
      <c r="S100" s="357">
        <v>24461153.266455259</v>
      </c>
      <c r="T100" s="353">
        <v>15729077.796</v>
      </c>
      <c r="U100" s="353">
        <v>396347</v>
      </c>
      <c r="V100" s="357">
        <v>51585123.02226837</v>
      </c>
      <c r="W100" s="353">
        <v>33170407.147</v>
      </c>
      <c r="X100" s="353">
        <v>188381</v>
      </c>
      <c r="Y100" s="357">
        <v>24411512.462147247</v>
      </c>
      <c r="Z100" s="353">
        <v>15697157.630000001</v>
      </c>
      <c r="AA100" s="353">
        <v>584728</v>
      </c>
      <c r="AB100" s="357">
        <v>75996635.484415621</v>
      </c>
      <c r="AC100" s="353">
        <v>48867564.777000003</v>
      </c>
    </row>
    <row r="101" spans="2:29" hidden="1" outlineLevel="1" x14ac:dyDescent="0.25">
      <c r="B101" s="352">
        <v>41671</v>
      </c>
      <c r="C101" s="353">
        <v>285935</v>
      </c>
      <c r="D101" s="357">
        <v>36687032.525810033</v>
      </c>
      <c r="E101" s="353">
        <v>23705404.307999998</v>
      </c>
      <c r="F101" s="353">
        <v>111117</v>
      </c>
      <c r="G101" s="357">
        <v>14264863.422903853</v>
      </c>
      <c r="H101" s="353">
        <v>9217271.9230000004</v>
      </c>
      <c r="I101" s="353">
        <v>397052</v>
      </c>
      <c r="J101" s="357">
        <v>50951895.948713891</v>
      </c>
      <c r="K101" s="353">
        <v>32922676.230999999</v>
      </c>
      <c r="L101" s="353">
        <v>107883</v>
      </c>
      <c r="M101" s="357">
        <v>14110432.546715008</v>
      </c>
      <c r="N101" s="353">
        <v>9117486.0830000006</v>
      </c>
      <c r="O101" s="353">
        <v>75818</v>
      </c>
      <c r="P101" s="357">
        <v>9734513.6554429531</v>
      </c>
      <c r="Q101" s="353">
        <v>6289976.7589999996</v>
      </c>
      <c r="R101" s="353">
        <v>183701</v>
      </c>
      <c r="S101" s="357">
        <v>23844946.202157959</v>
      </c>
      <c r="T101" s="353">
        <v>15407462.842</v>
      </c>
      <c r="U101" s="353">
        <v>393818</v>
      </c>
      <c r="V101" s="357">
        <v>50797465.072525039</v>
      </c>
      <c r="W101" s="353">
        <v>32822890.390999999</v>
      </c>
      <c r="X101" s="353">
        <v>186935</v>
      </c>
      <c r="Y101" s="357">
        <v>23999377.078346804</v>
      </c>
      <c r="Z101" s="353">
        <v>15507248.682</v>
      </c>
      <c r="AA101" s="353">
        <v>580753</v>
      </c>
      <c r="AB101" s="357">
        <v>74796842.150871843</v>
      </c>
      <c r="AC101" s="353">
        <v>48330139.072999999</v>
      </c>
    </row>
    <row r="102" spans="2:29" hidden="1" outlineLevel="1" x14ac:dyDescent="0.25">
      <c r="B102" s="352">
        <v>41699</v>
      </c>
      <c r="C102" s="353">
        <v>286445</v>
      </c>
      <c r="D102" s="357">
        <v>36527780.123767033</v>
      </c>
      <c r="E102" s="353">
        <v>23800129.353</v>
      </c>
      <c r="F102" s="353">
        <v>111073</v>
      </c>
      <c r="G102" s="357">
        <v>14160314.805005901</v>
      </c>
      <c r="H102" s="353">
        <v>9226329.1909999996</v>
      </c>
      <c r="I102" s="353">
        <v>397518</v>
      </c>
      <c r="J102" s="357">
        <v>50688094.928772941</v>
      </c>
      <c r="K102" s="353">
        <v>33026458.544</v>
      </c>
      <c r="L102" s="353">
        <v>107894</v>
      </c>
      <c r="M102" s="357">
        <v>14128008.689923503</v>
      </c>
      <c r="N102" s="353">
        <v>9205279.7400000002</v>
      </c>
      <c r="O102" s="353">
        <v>75876</v>
      </c>
      <c r="P102" s="357">
        <v>9780820.270227598</v>
      </c>
      <c r="Q102" s="353">
        <v>6372815.0690000001</v>
      </c>
      <c r="R102" s="353">
        <v>183770</v>
      </c>
      <c r="S102" s="357">
        <v>23908828.960151099</v>
      </c>
      <c r="T102" s="353">
        <v>15578094.809</v>
      </c>
      <c r="U102" s="353">
        <v>394339</v>
      </c>
      <c r="V102" s="357">
        <v>50655788.813690543</v>
      </c>
      <c r="W102" s="353">
        <v>33005409.092999998</v>
      </c>
      <c r="X102" s="353">
        <v>186949</v>
      </c>
      <c r="Y102" s="357">
        <v>23941135.0752335</v>
      </c>
      <c r="Z102" s="353">
        <v>15599144.26</v>
      </c>
      <c r="AA102" s="353">
        <v>581288</v>
      </c>
      <c r="AB102" s="357">
        <v>74596923.888924047</v>
      </c>
      <c r="AC102" s="353">
        <v>48604553.353</v>
      </c>
    </row>
    <row r="103" spans="2:29" hidden="1" outlineLevel="1" x14ac:dyDescent="0.25">
      <c r="B103" s="352">
        <v>41730</v>
      </c>
      <c r="C103" s="353">
        <v>287373</v>
      </c>
      <c r="D103" s="357">
        <v>36352430.398298569</v>
      </c>
      <c r="E103" s="353">
        <v>23832959.579</v>
      </c>
      <c r="F103" s="353">
        <v>111174</v>
      </c>
      <c r="G103" s="357">
        <v>14087015.306429457</v>
      </c>
      <c r="H103" s="353">
        <v>9235565.8949999996</v>
      </c>
      <c r="I103" s="353">
        <v>398547</v>
      </c>
      <c r="J103" s="357">
        <v>50439445.70472803</v>
      </c>
      <c r="K103" s="353">
        <v>33068525.473999999</v>
      </c>
      <c r="L103" s="353">
        <v>107871</v>
      </c>
      <c r="M103" s="357">
        <v>13991851.704534976</v>
      </c>
      <c r="N103" s="353">
        <v>9173175.8359999992</v>
      </c>
      <c r="O103" s="353">
        <v>75651</v>
      </c>
      <c r="P103" s="357">
        <v>9553387.1954090577</v>
      </c>
      <c r="Q103" s="353">
        <v>6263281.1169999996</v>
      </c>
      <c r="R103" s="353">
        <v>183522</v>
      </c>
      <c r="S103" s="357">
        <v>23545238.89994403</v>
      </c>
      <c r="T103" s="353">
        <v>15436456.953</v>
      </c>
      <c r="U103" s="353">
        <v>395244</v>
      </c>
      <c r="V103" s="357">
        <v>50344282.102833547</v>
      </c>
      <c r="W103" s="353">
        <v>33006135.414999999</v>
      </c>
      <c r="X103" s="353">
        <v>186825</v>
      </c>
      <c r="Y103" s="357">
        <v>23640402.501838516</v>
      </c>
      <c r="Z103" s="353">
        <v>15498847.012</v>
      </c>
      <c r="AA103" s="353">
        <v>582069</v>
      </c>
      <c r="AB103" s="357">
        <v>73984684.604672059</v>
      </c>
      <c r="AC103" s="353">
        <v>48504982.427000001</v>
      </c>
    </row>
    <row r="104" spans="2:29" hidden="1" outlineLevel="1" x14ac:dyDescent="0.25">
      <c r="B104" s="352">
        <v>41760</v>
      </c>
      <c r="C104" s="353">
        <v>287751</v>
      </c>
      <c r="D104" s="357">
        <v>36301834.891303807</v>
      </c>
      <c r="E104" s="353">
        <v>23880144.901000001</v>
      </c>
      <c r="F104" s="353">
        <v>111202</v>
      </c>
      <c r="G104" s="357">
        <v>14042894.962051341</v>
      </c>
      <c r="H104" s="353">
        <v>9237724.9670000002</v>
      </c>
      <c r="I104" s="353">
        <v>398953</v>
      </c>
      <c r="J104" s="357">
        <v>50344729.853355147</v>
      </c>
      <c r="K104" s="353">
        <v>33117869.868000001</v>
      </c>
      <c r="L104" s="353">
        <v>107839</v>
      </c>
      <c r="M104" s="357">
        <v>13817054.133458091</v>
      </c>
      <c r="N104" s="353">
        <v>9089161.9059999995</v>
      </c>
      <c r="O104" s="353">
        <v>75719</v>
      </c>
      <c r="P104" s="357">
        <v>9550361.8445081953</v>
      </c>
      <c r="Q104" s="353">
        <v>6282437.9369999999</v>
      </c>
      <c r="R104" s="353">
        <v>183558</v>
      </c>
      <c r="S104" s="357">
        <v>23367415.977966286</v>
      </c>
      <c r="T104" s="353">
        <v>15371599.843</v>
      </c>
      <c r="U104" s="353">
        <v>395590</v>
      </c>
      <c r="V104" s="357">
        <v>50118889.0247619</v>
      </c>
      <c r="W104" s="353">
        <v>32969306.807</v>
      </c>
      <c r="X104" s="353">
        <v>186921</v>
      </c>
      <c r="Y104" s="357">
        <v>23593256.806559537</v>
      </c>
      <c r="Z104" s="353">
        <v>15520162.903999999</v>
      </c>
      <c r="AA104" s="353">
        <v>582511</v>
      </c>
      <c r="AB104" s="357">
        <v>73712145.831321448</v>
      </c>
      <c r="AC104" s="353">
        <v>48489469.711000003</v>
      </c>
    </row>
    <row r="105" spans="2:29" hidden="1" outlineLevel="1" x14ac:dyDescent="0.25">
      <c r="B105" s="352">
        <v>41791</v>
      </c>
      <c r="C105" s="353">
        <v>288957</v>
      </c>
      <c r="D105" s="357">
        <v>36651555.460429959</v>
      </c>
      <c r="E105" s="353">
        <v>24122680.603999998</v>
      </c>
      <c r="F105" s="353">
        <v>111355</v>
      </c>
      <c r="G105" s="357">
        <v>14121760.479854221</v>
      </c>
      <c r="H105" s="353">
        <v>9294413.6569999997</v>
      </c>
      <c r="I105" s="353">
        <v>400312</v>
      </c>
      <c r="J105" s="357">
        <v>50773315.940284178</v>
      </c>
      <c r="K105" s="353">
        <v>33417094.261</v>
      </c>
      <c r="L105" s="353">
        <v>107906</v>
      </c>
      <c r="M105" s="357">
        <v>13892050.76033878</v>
      </c>
      <c r="N105" s="353">
        <v>9143227.3259999994</v>
      </c>
      <c r="O105" s="353">
        <v>75992</v>
      </c>
      <c r="P105" s="357">
        <v>9685759.0201317184</v>
      </c>
      <c r="Q105" s="353">
        <v>6374803.6969999997</v>
      </c>
      <c r="R105" s="353">
        <v>183898</v>
      </c>
      <c r="S105" s="357">
        <v>23577809.780470498</v>
      </c>
      <c r="T105" s="353">
        <v>15518031.023</v>
      </c>
      <c r="U105" s="353">
        <v>396863</v>
      </c>
      <c r="V105" s="357">
        <v>50543606.220768735</v>
      </c>
      <c r="W105" s="353">
        <v>33265907.93</v>
      </c>
      <c r="X105" s="353">
        <v>187347</v>
      </c>
      <c r="Y105" s="357">
        <v>23807519.499985941</v>
      </c>
      <c r="Z105" s="353">
        <v>15669217.354</v>
      </c>
      <c r="AA105" s="353">
        <v>584210</v>
      </c>
      <c r="AB105" s="357">
        <v>74351125.720754683</v>
      </c>
      <c r="AC105" s="353">
        <v>48935125.284000002</v>
      </c>
    </row>
    <row r="106" spans="2:29" hidden="1" outlineLevel="1" x14ac:dyDescent="0.25">
      <c r="B106" s="352">
        <v>41821</v>
      </c>
      <c r="C106" s="353">
        <v>289553</v>
      </c>
      <c r="D106" s="357">
        <v>38153577.643415548</v>
      </c>
      <c r="E106" s="353">
        <v>25169576.537999999</v>
      </c>
      <c r="F106" s="353">
        <v>111373</v>
      </c>
      <c r="G106" s="357">
        <v>14688731.613356562</v>
      </c>
      <c r="H106" s="353">
        <v>9690025.875</v>
      </c>
      <c r="I106" s="353">
        <v>400926</v>
      </c>
      <c r="J106" s="357">
        <v>52842309.256772108</v>
      </c>
      <c r="K106" s="353">
        <v>34859602.413000003</v>
      </c>
      <c r="L106" s="353">
        <v>107060</v>
      </c>
      <c r="M106" s="357">
        <v>14323137.073646648</v>
      </c>
      <c r="N106" s="353">
        <v>9448846.4020000007</v>
      </c>
      <c r="O106" s="353">
        <v>74825</v>
      </c>
      <c r="P106" s="357">
        <v>9841016.4033226911</v>
      </c>
      <c r="Q106" s="353">
        <v>6492031.1770000001</v>
      </c>
      <c r="R106" s="353">
        <v>181885</v>
      </c>
      <c r="S106" s="357">
        <v>24164153.476969343</v>
      </c>
      <c r="T106" s="353">
        <v>15940877.579</v>
      </c>
      <c r="U106" s="353">
        <v>396613</v>
      </c>
      <c r="V106" s="357">
        <v>52476714.717062205</v>
      </c>
      <c r="W106" s="353">
        <v>34618422.939999998</v>
      </c>
      <c r="X106" s="353">
        <v>186198</v>
      </c>
      <c r="Y106" s="357">
        <v>24529748.016679253</v>
      </c>
      <c r="Z106" s="353">
        <v>16182057.051999999</v>
      </c>
      <c r="AA106" s="353">
        <v>582811</v>
      </c>
      <c r="AB106" s="357">
        <v>77006462.733741462</v>
      </c>
      <c r="AC106" s="353">
        <v>50800479.991999999</v>
      </c>
    </row>
    <row r="107" spans="2:29" hidden="1" outlineLevel="1" x14ac:dyDescent="0.25">
      <c r="B107" s="352">
        <v>41852</v>
      </c>
      <c r="C107" s="353">
        <v>289755</v>
      </c>
      <c r="D107" s="357">
        <v>37930066.630131654</v>
      </c>
      <c r="E107" s="353">
        <v>25103368.822999999</v>
      </c>
      <c r="F107" s="353">
        <v>111178</v>
      </c>
      <c r="G107" s="357">
        <v>14578678.937000673</v>
      </c>
      <c r="H107" s="353">
        <v>9648650.4460000005</v>
      </c>
      <c r="I107" s="353">
        <v>400933</v>
      </c>
      <c r="J107" s="357">
        <v>52508745.567132324</v>
      </c>
      <c r="K107" s="353">
        <v>34752019.269000001</v>
      </c>
      <c r="L107" s="353">
        <v>106935</v>
      </c>
      <c r="M107" s="357">
        <v>14179715.634852761</v>
      </c>
      <c r="N107" s="353">
        <v>9384603.3770000003</v>
      </c>
      <c r="O107" s="353">
        <v>74941</v>
      </c>
      <c r="P107" s="357">
        <v>9804212.9108696654</v>
      </c>
      <c r="Q107" s="353">
        <v>6488751.3940000003</v>
      </c>
      <c r="R107" s="353">
        <v>181876</v>
      </c>
      <c r="S107" s="357">
        <v>23983928.545722429</v>
      </c>
      <c r="T107" s="353">
        <v>15873354.771</v>
      </c>
      <c r="U107" s="353">
        <v>396690</v>
      </c>
      <c r="V107" s="357">
        <v>52109782.264984414</v>
      </c>
      <c r="W107" s="353">
        <v>34487972.200000003</v>
      </c>
      <c r="X107" s="353">
        <v>186119</v>
      </c>
      <c r="Y107" s="357">
        <v>24382891.847870339</v>
      </c>
      <c r="Z107" s="353">
        <v>16137401.84</v>
      </c>
      <c r="AA107" s="353">
        <v>582809</v>
      </c>
      <c r="AB107" s="357">
        <v>76492674.112854749</v>
      </c>
      <c r="AC107" s="353">
        <v>50625374.039999999</v>
      </c>
    </row>
    <row r="108" spans="2:29" hidden="1" outlineLevel="1" x14ac:dyDescent="0.25">
      <c r="B108" s="352">
        <v>41883</v>
      </c>
      <c r="C108" s="353">
        <v>289334</v>
      </c>
      <c r="D108" s="357">
        <v>37658056.300690256</v>
      </c>
      <c r="E108" s="353">
        <v>25131917.138</v>
      </c>
      <c r="F108" s="353">
        <v>110940</v>
      </c>
      <c r="G108" s="357">
        <v>14441070.527818264</v>
      </c>
      <c r="H108" s="353">
        <v>9637560.2870000005</v>
      </c>
      <c r="I108" s="353">
        <v>400274</v>
      </c>
      <c r="J108" s="357">
        <v>52099126.828508519</v>
      </c>
      <c r="K108" s="353">
        <v>34769477.424999997</v>
      </c>
      <c r="L108" s="353">
        <v>106925</v>
      </c>
      <c r="M108" s="357">
        <v>14168537.528102482</v>
      </c>
      <c r="N108" s="353">
        <v>9455679.5040000007</v>
      </c>
      <c r="O108" s="353">
        <v>75437</v>
      </c>
      <c r="P108" s="357">
        <v>9744592.1348318439</v>
      </c>
      <c r="Q108" s="353">
        <v>6503264.0060000001</v>
      </c>
      <c r="R108" s="353">
        <v>182362</v>
      </c>
      <c r="S108" s="357">
        <v>23913129.662934326</v>
      </c>
      <c r="T108" s="353">
        <v>15958943.51</v>
      </c>
      <c r="U108" s="353">
        <v>396259</v>
      </c>
      <c r="V108" s="357">
        <v>51826593.828792743</v>
      </c>
      <c r="W108" s="353">
        <v>34587596.641999997</v>
      </c>
      <c r="X108" s="353">
        <v>186377</v>
      </c>
      <c r="Y108" s="357">
        <v>24185662.662650108</v>
      </c>
      <c r="Z108" s="353">
        <v>16140824.293</v>
      </c>
      <c r="AA108" s="353">
        <v>582636</v>
      </c>
      <c r="AB108" s="357">
        <v>76012256.491442844</v>
      </c>
      <c r="AC108" s="353">
        <v>50728420.935000002</v>
      </c>
    </row>
    <row r="109" spans="2:29" hidden="1" outlineLevel="1" x14ac:dyDescent="0.25">
      <c r="B109" s="352">
        <v>41913</v>
      </c>
      <c r="C109" s="353">
        <v>289527</v>
      </c>
      <c r="D109" s="357">
        <v>37245845.126750454</v>
      </c>
      <c r="E109" s="353">
        <v>25115561.541999999</v>
      </c>
      <c r="F109" s="353">
        <v>110909</v>
      </c>
      <c r="G109" s="357">
        <v>14273718.29241736</v>
      </c>
      <c r="H109" s="353">
        <v>9625031.9729999993</v>
      </c>
      <c r="I109" s="353">
        <v>400436</v>
      </c>
      <c r="J109" s="357">
        <v>51519563.419167817</v>
      </c>
      <c r="K109" s="353">
        <v>34740593.515000001</v>
      </c>
      <c r="L109" s="353">
        <v>106689</v>
      </c>
      <c r="M109" s="357">
        <v>13961900.555952687</v>
      </c>
      <c r="N109" s="353">
        <v>9414767.5120000001</v>
      </c>
      <c r="O109" s="353">
        <v>74919</v>
      </c>
      <c r="P109" s="357">
        <v>9643690.5476885159</v>
      </c>
      <c r="Q109" s="353">
        <v>6502918.7180000003</v>
      </c>
      <c r="R109" s="353">
        <v>181608</v>
      </c>
      <c r="S109" s="357">
        <v>23605591.103641205</v>
      </c>
      <c r="T109" s="353">
        <v>15917686.23</v>
      </c>
      <c r="U109" s="353">
        <v>396216</v>
      </c>
      <c r="V109" s="357">
        <v>51207745.682703145</v>
      </c>
      <c r="W109" s="353">
        <v>34530329.053999998</v>
      </c>
      <c r="X109" s="353">
        <v>185828</v>
      </c>
      <c r="Y109" s="357">
        <v>23917408.840105876</v>
      </c>
      <c r="Z109" s="353">
        <v>16127950.691</v>
      </c>
      <c r="AA109" s="353">
        <v>582044</v>
      </c>
      <c r="AB109" s="357">
        <v>75125154.522809014</v>
      </c>
      <c r="AC109" s="353">
        <v>50658279.744999997</v>
      </c>
    </row>
    <row r="110" spans="2:29" hidden="1" outlineLevel="1" x14ac:dyDescent="0.25">
      <c r="B110" s="352">
        <v>41944</v>
      </c>
      <c r="C110" s="353">
        <v>289642</v>
      </c>
      <c r="D110" s="357">
        <v>37285518.393290035</v>
      </c>
      <c r="E110" s="353">
        <v>25148544.835000001</v>
      </c>
      <c r="F110" s="353">
        <v>110935</v>
      </c>
      <c r="G110" s="357">
        <v>14335626.565733146</v>
      </c>
      <c r="H110" s="353">
        <v>9669173.5280000009</v>
      </c>
      <c r="I110" s="353">
        <v>400577</v>
      </c>
      <c r="J110" s="357">
        <v>51621144.959023185</v>
      </c>
      <c r="K110" s="353">
        <v>34817718.362999998</v>
      </c>
      <c r="L110" s="353">
        <v>106361</v>
      </c>
      <c r="M110" s="357">
        <v>13924421.393199289</v>
      </c>
      <c r="N110" s="353">
        <v>9391821.5649999995</v>
      </c>
      <c r="O110" s="353">
        <v>74860</v>
      </c>
      <c r="P110" s="357">
        <v>9672204.7665780764</v>
      </c>
      <c r="Q110" s="353">
        <v>6523762.7290000003</v>
      </c>
      <c r="R110" s="353">
        <v>181221</v>
      </c>
      <c r="S110" s="357">
        <v>23596626.159777366</v>
      </c>
      <c r="T110" s="353">
        <v>15915584.294</v>
      </c>
      <c r="U110" s="353">
        <v>396003</v>
      </c>
      <c r="V110" s="357">
        <v>51209939.786489323</v>
      </c>
      <c r="W110" s="353">
        <v>34540366.399999999</v>
      </c>
      <c r="X110" s="353">
        <v>185795</v>
      </c>
      <c r="Y110" s="357">
        <v>24007831.332311224</v>
      </c>
      <c r="Z110" s="353">
        <v>16192936.256999999</v>
      </c>
      <c r="AA110" s="353">
        <v>581798</v>
      </c>
      <c r="AB110" s="357">
        <v>75217771.118800551</v>
      </c>
      <c r="AC110" s="353">
        <v>50733302.656999998</v>
      </c>
    </row>
    <row r="111" spans="2:29" hidden="1" outlineLevel="1" x14ac:dyDescent="0.25">
      <c r="B111" s="352">
        <v>41974</v>
      </c>
      <c r="C111" s="353">
        <v>290598</v>
      </c>
      <c r="D111" s="357">
        <v>37650261.38527967</v>
      </c>
      <c r="E111" s="353">
        <v>25289592.285999998</v>
      </c>
      <c r="F111" s="353">
        <v>111058</v>
      </c>
      <c r="G111" s="357">
        <v>14370881.577237999</v>
      </c>
      <c r="H111" s="353">
        <v>9652887.4570000004</v>
      </c>
      <c r="I111" s="353">
        <v>401656</v>
      </c>
      <c r="J111" s="357">
        <v>52021142.962517671</v>
      </c>
      <c r="K111" s="353">
        <v>34942479.743000001</v>
      </c>
      <c r="L111" s="353">
        <v>106311</v>
      </c>
      <c r="M111" s="357">
        <v>13927320.481345396</v>
      </c>
      <c r="N111" s="353">
        <v>9354948.5089999996</v>
      </c>
      <c r="O111" s="353">
        <v>75235</v>
      </c>
      <c r="P111" s="357">
        <v>9653555.9769607615</v>
      </c>
      <c r="Q111" s="353">
        <v>6484270.9129999997</v>
      </c>
      <c r="R111" s="353">
        <v>181546</v>
      </c>
      <c r="S111" s="357">
        <v>23580876.458306156</v>
      </c>
      <c r="T111" s="353">
        <v>15839219.422</v>
      </c>
      <c r="U111" s="353">
        <v>396909</v>
      </c>
      <c r="V111" s="357">
        <v>51577581.866625071</v>
      </c>
      <c r="W111" s="353">
        <v>34644540.795000002</v>
      </c>
      <c r="X111" s="353">
        <v>186293</v>
      </c>
      <c r="Y111" s="357">
        <v>24024437.554198761</v>
      </c>
      <c r="Z111" s="353">
        <v>16137158.369999999</v>
      </c>
      <c r="AA111" s="353">
        <v>583202</v>
      </c>
      <c r="AB111" s="357">
        <v>75602019.420823827</v>
      </c>
      <c r="AC111" s="353">
        <v>50781699.164999999</v>
      </c>
    </row>
    <row r="112" spans="2:29" collapsed="1" x14ac:dyDescent="0.25">
      <c r="B112" s="355" t="s">
        <v>705</v>
      </c>
      <c r="C112" s="356">
        <v>288530.41666666669</v>
      </c>
      <c r="D112" s="358">
        <v>37133472.041281871</v>
      </c>
      <c r="E112" s="356"/>
      <c r="F112" s="356">
        <v>111136.16666666667</v>
      </c>
      <c r="G112" s="358">
        <v>14311944.424296143</v>
      </c>
      <c r="H112" s="356"/>
      <c r="I112" s="356">
        <v>399666.58333333331</v>
      </c>
      <c r="J112" s="358">
        <v>51445416.465578012</v>
      </c>
      <c r="K112" s="356"/>
      <c r="L112" s="356">
        <v>107377.16666666667</v>
      </c>
      <c r="M112" s="358">
        <v>14070987.325676883</v>
      </c>
      <c r="N112" s="356"/>
      <c r="O112" s="356">
        <v>75527.833333333328</v>
      </c>
      <c r="P112" s="358">
        <v>9724820.8821977805</v>
      </c>
      <c r="Q112" s="356"/>
      <c r="R112" s="356">
        <v>182905</v>
      </c>
      <c r="S112" s="358">
        <v>23795808.207874659</v>
      </c>
      <c r="T112" s="356"/>
      <c r="U112" s="356">
        <v>395907.58333333331</v>
      </c>
      <c r="V112" s="358">
        <v>51204459.36695876</v>
      </c>
      <c r="W112" s="356"/>
      <c r="X112" s="356">
        <v>186664</v>
      </c>
      <c r="Y112" s="358">
        <v>24036765.306493923</v>
      </c>
      <c r="Z112" s="356"/>
      <c r="AA112" s="356">
        <v>582571.58333333337</v>
      </c>
      <c r="AB112" s="358">
        <v>75241224.673452675</v>
      </c>
      <c r="AC112" s="356"/>
    </row>
    <row r="113" spans="2:29" hidden="1" outlineLevel="1" x14ac:dyDescent="0.25">
      <c r="B113" s="352">
        <v>42005</v>
      </c>
      <c r="C113" s="353">
        <v>288077</v>
      </c>
      <c r="D113" s="357">
        <v>37252519.964818165</v>
      </c>
      <c r="E113" s="353">
        <v>25041804.984999999</v>
      </c>
      <c r="F113" s="353">
        <v>110424</v>
      </c>
      <c r="G113" s="357">
        <v>14282417.980259126</v>
      </c>
      <c r="H113" s="353">
        <v>9600894.8149999995</v>
      </c>
      <c r="I113" s="353">
        <v>398501</v>
      </c>
      <c r="J113" s="357">
        <v>51534937.945077285</v>
      </c>
      <c r="K113" s="353">
        <v>34642699.799999997</v>
      </c>
      <c r="L113" s="353">
        <v>105707</v>
      </c>
      <c r="M113" s="357">
        <v>13852200.277832597</v>
      </c>
      <c r="N113" s="353">
        <v>9311694.841</v>
      </c>
      <c r="O113" s="353">
        <v>74385</v>
      </c>
      <c r="P113" s="357">
        <v>9619143.1173479613</v>
      </c>
      <c r="Q113" s="353">
        <v>6466158.7000000002</v>
      </c>
      <c r="R113" s="353">
        <v>180092</v>
      </c>
      <c r="S113" s="357">
        <v>23471343.395180561</v>
      </c>
      <c r="T113" s="353">
        <v>15777853.540999999</v>
      </c>
      <c r="U113" s="353">
        <v>393784</v>
      </c>
      <c r="V113" s="357">
        <v>51104720.242650755</v>
      </c>
      <c r="W113" s="353">
        <v>34353499.825999998</v>
      </c>
      <c r="X113" s="353">
        <v>184809</v>
      </c>
      <c r="Y113" s="357">
        <v>23901561.097607091</v>
      </c>
      <c r="Z113" s="353">
        <v>16067053.515000001</v>
      </c>
      <c r="AA113" s="353">
        <v>578593</v>
      </c>
      <c r="AB113" s="357">
        <v>75006281.340257838</v>
      </c>
      <c r="AC113" s="353">
        <v>50420553.340999998</v>
      </c>
    </row>
    <row r="114" spans="2:29" hidden="1" outlineLevel="1" x14ac:dyDescent="0.25">
      <c r="B114" s="352">
        <v>42036</v>
      </c>
      <c r="C114" s="353">
        <v>288289</v>
      </c>
      <c r="D114" s="357">
        <v>37035924.763007551</v>
      </c>
      <c r="E114" s="353">
        <v>24983780.566</v>
      </c>
      <c r="F114" s="353">
        <v>110423</v>
      </c>
      <c r="G114" s="357">
        <v>14206497.064820172</v>
      </c>
      <c r="H114" s="353">
        <v>9583451.9470000006</v>
      </c>
      <c r="I114" s="353">
        <v>398712</v>
      </c>
      <c r="J114" s="357">
        <v>51242421.827827722</v>
      </c>
      <c r="K114" s="353">
        <v>34567232.512999997</v>
      </c>
      <c r="L114" s="353">
        <v>105538</v>
      </c>
      <c r="M114" s="357">
        <v>13721653.401492869</v>
      </c>
      <c r="N114" s="353">
        <v>9256384.977</v>
      </c>
      <c r="O114" s="353">
        <v>74432</v>
      </c>
      <c r="P114" s="357">
        <v>9553838.7663131971</v>
      </c>
      <c r="Q114" s="353">
        <v>6444850.8530000001</v>
      </c>
      <c r="R114" s="353">
        <v>179970</v>
      </c>
      <c r="S114" s="357">
        <v>23275492.167806067</v>
      </c>
      <c r="T114" s="353">
        <v>15701235.83</v>
      </c>
      <c r="U114" s="353">
        <v>393827</v>
      </c>
      <c r="V114" s="357">
        <v>50757578.164500423</v>
      </c>
      <c r="W114" s="353">
        <v>34240165.542999998</v>
      </c>
      <c r="X114" s="353">
        <v>184855</v>
      </c>
      <c r="Y114" s="357">
        <v>23760335.831133366</v>
      </c>
      <c r="Z114" s="353">
        <v>16028302.800000001</v>
      </c>
      <c r="AA114" s="353">
        <v>578682</v>
      </c>
      <c r="AB114" s="357">
        <v>74517913.995633796</v>
      </c>
      <c r="AC114" s="353">
        <v>50268468.343000002</v>
      </c>
    </row>
    <row r="115" spans="2:29" hidden="1" outlineLevel="1" x14ac:dyDescent="0.25">
      <c r="B115" s="352">
        <v>42064</v>
      </c>
      <c r="C115" s="353">
        <v>288568</v>
      </c>
      <c r="D115" s="357">
        <v>36880727.244642712</v>
      </c>
      <c r="E115" s="353">
        <v>25035526.484999999</v>
      </c>
      <c r="F115" s="353">
        <v>110370</v>
      </c>
      <c r="G115" s="357">
        <v>14096473.228895882</v>
      </c>
      <c r="H115" s="353">
        <v>9569025.7550000008</v>
      </c>
      <c r="I115" s="353">
        <v>398938</v>
      </c>
      <c r="J115" s="357">
        <v>50977200.4735386</v>
      </c>
      <c r="K115" s="353">
        <v>34604552.240000002</v>
      </c>
      <c r="L115" s="353">
        <v>105402</v>
      </c>
      <c r="M115" s="357">
        <v>13564191.776431026</v>
      </c>
      <c r="N115" s="353">
        <v>9207700.2770000007</v>
      </c>
      <c r="O115" s="353">
        <v>74896</v>
      </c>
      <c r="P115" s="357">
        <v>9629868.8783780355</v>
      </c>
      <c r="Q115" s="353">
        <v>6536987.0760000004</v>
      </c>
      <c r="R115" s="353">
        <v>180298</v>
      </c>
      <c r="S115" s="357">
        <v>23194060.654809058</v>
      </c>
      <c r="T115" s="353">
        <v>15744687.353</v>
      </c>
      <c r="U115" s="353">
        <v>393970</v>
      </c>
      <c r="V115" s="357">
        <v>50444919.021073736</v>
      </c>
      <c r="W115" s="353">
        <v>34243226.762000002</v>
      </c>
      <c r="X115" s="353">
        <v>185266</v>
      </c>
      <c r="Y115" s="357">
        <v>23726342.107273914</v>
      </c>
      <c r="Z115" s="353">
        <v>16106012.831</v>
      </c>
      <c r="AA115" s="353">
        <v>579236</v>
      </c>
      <c r="AB115" s="357">
        <v>74171261.12834765</v>
      </c>
      <c r="AC115" s="353">
        <v>50349239.593000002</v>
      </c>
    </row>
    <row r="116" spans="2:29" hidden="1" outlineLevel="1" x14ac:dyDescent="0.25">
      <c r="B116" s="352">
        <v>42095</v>
      </c>
      <c r="C116" s="353">
        <v>288868</v>
      </c>
      <c r="D116" s="357">
        <v>36633802.185950316</v>
      </c>
      <c r="E116" s="353">
        <v>25010859.543000001</v>
      </c>
      <c r="F116" s="353">
        <v>110349</v>
      </c>
      <c r="G116" s="357">
        <v>13996097.213722156</v>
      </c>
      <c r="H116" s="353">
        <v>9555503.4059999995</v>
      </c>
      <c r="I116" s="353">
        <v>399217</v>
      </c>
      <c r="J116" s="357">
        <v>50629899.399672478</v>
      </c>
      <c r="K116" s="353">
        <v>34566362.949000001</v>
      </c>
      <c r="L116" s="353">
        <v>105285</v>
      </c>
      <c r="M116" s="357">
        <v>13551897.912735494</v>
      </c>
      <c r="N116" s="353">
        <v>9252236.8690000009</v>
      </c>
      <c r="O116" s="353">
        <v>74817</v>
      </c>
      <c r="P116" s="357">
        <v>9605961.8969900273</v>
      </c>
      <c r="Q116" s="353">
        <v>6558242.6459999997</v>
      </c>
      <c r="R116" s="353">
        <v>180102</v>
      </c>
      <c r="S116" s="357">
        <v>23157859.809725519</v>
      </c>
      <c r="T116" s="353">
        <v>15810479.515000001</v>
      </c>
      <c r="U116" s="353">
        <v>394153</v>
      </c>
      <c r="V116" s="357">
        <v>50185700.098685816</v>
      </c>
      <c r="W116" s="353">
        <v>34263096.412</v>
      </c>
      <c r="X116" s="353">
        <v>185166</v>
      </c>
      <c r="Y116" s="357">
        <v>23602059.110712186</v>
      </c>
      <c r="Z116" s="353">
        <v>16113746.051999999</v>
      </c>
      <c r="AA116" s="353">
        <v>579319</v>
      </c>
      <c r="AB116" s="357">
        <v>73787759.209398001</v>
      </c>
      <c r="AC116" s="353">
        <v>50376842.464000002</v>
      </c>
    </row>
    <row r="117" spans="2:29" hidden="1" outlineLevel="1" x14ac:dyDescent="0.25">
      <c r="B117" s="352">
        <v>42125</v>
      </c>
      <c r="C117" s="353">
        <v>289236</v>
      </c>
      <c r="D117" s="357">
        <v>36637074.258778267</v>
      </c>
      <c r="E117" s="353">
        <v>25057285.103999998</v>
      </c>
      <c r="F117" s="353">
        <v>110347</v>
      </c>
      <c r="G117" s="357">
        <v>14001283.214865262</v>
      </c>
      <c r="H117" s="353">
        <v>9575932.3699999992</v>
      </c>
      <c r="I117" s="353">
        <v>399583</v>
      </c>
      <c r="J117" s="357">
        <v>50638357.473643526</v>
      </c>
      <c r="K117" s="353">
        <v>34633217.473999999</v>
      </c>
      <c r="L117" s="353">
        <v>105163</v>
      </c>
      <c r="M117" s="357">
        <v>13534434.108048951</v>
      </c>
      <c r="N117" s="353">
        <v>9256639.102</v>
      </c>
      <c r="O117" s="353">
        <v>74786</v>
      </c>
      <c r="P117" s="357">
        <v>9613825.849978311</v>
      </c>
      <c r="Q117" s="353">
        <v>6575207.7680000002</v>
      </c>
      <c r="R117" s="353">
        <v>179949</v>
      </c>
      <c r="S117" s="357">
        <v>23148259.958027262</v>
      </c>
      <c r="T117" s="353">
        <v>15831846.869999999</v>
      </c>
      <c r="U117" s="353">
        <v>394399</v>
      </c>
      <c r="V117" s="357">
        <v>50171508.36682722</v>
      </c>
      <c r="W117" s="353">
        <v>34313924.206</v>
      </c>
      <c r="X117" s="353">
        <v>185133</v>
      </c>
      <c r="Y117" s="357">
        <v>23615109.064843569</v>
      </c>
      <c r="Z117" s="353">
        <v>16151140.138</v>
      </c>
      <c r="AA117" s="353">
        <v>579532</v>
      </c>
      <c r="AB117" s="357">
        <v>73786617.431670785</v>
      </c>
      <c r="AC117" s="353">
        <v>50465064.343999997</v>
      </c>
    </row>
    <row r="118" spans="2:29" hidden="1" outlineLevel="1" x14ac:dyDescent="0.25">
      <c r="B118" s="352">
        <v>42156</v>
      </c>
      <c r="C118" s="353">
        <v>289051</v>
      </c>
      <c r="D118" s="357">
        <v>36418326.354011185</v>
      </c>
      <c r="E118" s="353">
        <v>25028350.239</v>
      </c>
      <c r="F118" s="353">
        <v>110287</v>
      </c>
      <c r="G118" s="357">
        <v>13907134.508165808</v>
      </c>
      <c r="H118" s="353">
        <v>9557622.9920000006</v>
      </c>
      <c r="I118" s="353">
        <v>399338</v>
      </c>
      <c r="J118" s="357">
        <v>50325460.862176992</v>
      </c>
      <c r="K118" s="353">
        <v>34585973.230999999</v>
      </c>
      <c r="L118" s="353">
        <v>104884</v>
      </c>
      <c r="M118" s="357">
        <v>13467012.965955289</v>
      </c>
      <c r="N118" s="353">
        <v>9255151.2090000007</v>
      </c>
      <c r="O118" s="353">
        <v>74517</v>
      </c>
      <c r="P118" s="357">
        <v>9524876.3523293696</v>
      </c>
      <c r="Q118" s="353">
        <v>6545933.4680000003</v>
      </c>
      <c r="R118" s="353">
        <v>179401</v>
      </c>
      <c r="S118" s="357">
        <v>22991889.318284661</v>
      </c>
      <c r="T118" s="353">
        <v>15801084.676999999</v>
      </c>
      <c r="U118" s="353">
        <v>393935</v>
      </c>
      <c r="V118" s="357">
        <v>49885339.31996648</v>
      </c>
      <c r="W118" s="353">
        <v>34283501.447999999</v>
      </c>
      <c r="X118" s="353">
        <v>184804</v>
      </c>
      <c r="Y118" s="357">
        <v>23432010.86049518</v>
      </c>
      <c r="Z118" s="353">
        <v>16103556.460000001</v>
      </c>
      <c r="AA118" s="353">
        <v>578739</v>
      </c>
      <c r="AB118" s="357">
        <v>73317350.18046166</v>
      </c>
      <c r="AC118" s="353">
        <v>50387057.908</v>
      </c>
    </row>
    <row r="119" spans="2:29" hidden="1" outlineLevel="1" x14ac:dyDescent="0.25">
      <c r="B119" s="352">
        <v>42186</v>
      </c>
      <c r="C119" s="353">
        <v>289446</v>
      </c>
      <c r="D119" s="357">
        <v>37877056.772065647</v>
      </c>
      <c r="E119" s="353">
        <v>26140906.973000001</v>
      </c>
      <c r="F119" s="353">
        <v>110438</v>
      </c>
      <c r="G119" s="357">
        <v>14466842.516705981</v>
      </c>
      <c r="H119" s="353">
        <v>9984312.8440000005</v>
      </c>
      <c r="I119" s="353">
        <v>399884</v>
      </c>
      <c r="J119" s="357">
        <v>52343899.288771629</v>
      </c>
      <c r="K119" s="353">
        <v>36125219.817000002</v>
      </c>
      <c r="L119" s="353">
        <v>105035</v>
      </c>
      <c r="M119" s="357">
        <v>14128038.406111736</v>
      </c>
      <c r="N119" s="353">
        <v>9750486.6840000004</v>
      </c>
      <c r="O119" s="353">
        <v>74672</v>
      </c>
      <c r="P119" s="357">
        <v>10040265.091225712</v>
      </c>
      <c r="Q119" s="353">
        <v>6929303.8609999996</v>
      </c>
      <c r="R119" s="353">
        <v>179707</v>
      </c>
      <c r="S119" s="357">
        <v>24168303.497337449</v>
      </c>
      <c r="T119" s="353">
        <v>16679790.545</v>
      </c>
      <c r="U119" s="353">
        <v>394481</v>
      </c>
      <c r="V119" s="357">
        <v>52005095.178177387</v>
      </c>
      <c r="W119" s="353">
        <v>35891393.656999998</v>
      </c>
      <c r="X119" s="353">
        <v>185110</v>
      </c>
      <c r="Y119" s="357">
        <v>24507107.607931688</v>
      </c>
      <c r="Z119" s="353">
        <v>16913616.704999998</v>
      </c>
      <c r="AA119" s="353">
        <v>579591</v>
      </c>
      <c r="AB119" s="357">
        <v>76512202.786109075</v>
      </c>
      <c r="AC119" s="353">
        <v>52805010.362000003</v>
      </c>
    </row>
    <row r="120" spans="2:29" hidden="1" outlineLevel="1" x14ac:dyDescent="0.25">
      <c r="B120" s="352">
        <v>42217</v>
      </c>
      <c r="C120" s="353">
        <v>289186</v>
      </c>
      <c r="D120" s="357">
        <v>37497400.674511969</v>
      </c>
      <c r="E120" s="353">
        <v>26053736.006000001</v>
      </c>
      <c r="F120" s="353">
        <v>110169</v>
      </c>
      <c r="G120" s="357">
        <v>14294574.950788438</v>
      </c>
      <c r="H120" s="353">
        <v>9932077.3010000009</v>
      </c>
      <c r="I120" s="353">
        <v>399355</v>
      </c>
      <c r="J120" s="357">
        <v>51791975.625300407</v>
      </c>
      <c r="K120" s="353">
        <v>35985813.306999996</v>
      </c>
      <c r="L120" s="353">
        <v>104933</v>
      </c>
      <c r="M120" s="357">
        <v>13985147.729585147</v>
      </c>
      <c r="N120" s="353">
        <v>9717082.7949999999</v>
      </c>
      <c r="O120" s="353">
        <v>74524</v>
      </c>
      <c r="P120" s="357">
        <v>9833228.6725197006</v>
      </c>
      <c r="Q120" s="353">
        <v>6832269.4189999998</v>
      </c>
      <c r="R120" s="353">
        <v>179457</v>
      </c>
      <c r="S120" s="357">
        <v>23818376.402104847</v>
      </c>
      <c r="T120" s="353">
        <v>16549352.214</v>
      </c>
      <c r="U120" s="353">
        <v>394119</v>
      </c>
      <c r="V120" s="357">
        <v>51482548.404097117</v>
      </c>
      <c r="W120" s="353">
        <v>35770818.800999999</v>
      </c>
      <c r="X120" s="353">
        <v>184693</v>
      </c>
      <c r="Y120" s="357">
        <v>24127803.623308141</v>
      </c>
      <c r="Z120" s="353">
        <v>16764346.720000001</v>
      </c>
      <c r="AA120" s="353">
        <v>578812</v>
      </c>
      <c r="AB120" s="357">
        <v>75610352.027405262</v>
      </c>
      <c r="AC120" s="353">
        <v>52535165.520999998</v>
      </c>
    </row>
    <row r="121" spans="2:29" hidden="1" outlineLevel="1" x14ac:dyDescent="0.25">
      <c r="B121" s="352">
        <v>42248</v>
      </c>
      <c r="C121" s="353">
        <v>289306</v>
      </c>
      <c r="D121" s="357">
        <v>37487524.786162071</v>
      </c>
      <c r="E121" s="353">
        <v>26180153.942000002</v>
      </c>
      <c r="F121" s="353">
        <v>109983</v>
      </c>
      <c r="G121" s="357">
        <v>14265768.733035184</v>
      </c>
      <c r="H121" s="353">
        <v>9962781.5830000006</v>
      </c>
      <c r="I121" s="353">
        <v>399289</v>
      </c>
      <c r="J121" s="357">
        <v>51753293.519197248</v>
      </c>
      <c r="K121" s="353">
        <v>36142935.524999999</v>
      </c>
      <c r="L121" s="353">
        <v>104826</v>
      </c>
      <c r="M121" s="357">
        <v>13985816.419374788</v>
      </c>
      <c r="N121" s="353">
        <v>9767271.3509999998</v>
      </c>
      <c r="O121" s="353">
        <v>74536</v>
      </c>
      <c r="P121" s="357">
        <v>9869835.9220212083</v>
      </c>
      <c r="Q121" s="353">
        <v>6892795.0109999999</v>
      </c>
      <c r="R121" s="353">
        <v>179362</v>
      </c>
      <c r="S121" s="357">
        <v>23855652.341395997</v>
      </c>
      <c r="T121" s="353">
        <v>16660066.362</v>
      </c>
      <c r="U121" s="353">
        <v>394132</v>
      </c>
      <c r="V121" s="357">
        <v>51473341.205536857</v>
      </c>
      <c r="W121" s="353">
        <v>35947425.292999998</v>
      </c>
      <c r="X121" s="353">
        <v>184519</v>
      </c>
      <c r="Y121" s="357">
        <v>24135604.655056391</v>
      </c>
      <c r="Z121" s="353">
        <v>16855576.594000001</v>
      </c>
      <c r="AA121" s="353">
        <v>578651</v>
      </c>
      <c r="AB121" s="357">
        <v>75608945.860593244</v>
      </c>
      <c r="AC121" s="353">
        <v>52803001.887000002</v>
      </c>
    </row>
    <row r="122" spans="2:29" hidden="1" outlineLevel="1" x14ac:dyDescent="0.25">
      <c r="B122" s="352">
        <v>42278</v>
      </c>
      <c r="C122" s="353">
        <v>289406</v>
      </c>
      <c r="D122" s="357">
        <v>37338880.023576558</v>
      </c>
      <c r="E122" s="353">
        <v>26182709.629999999</v>
      </c>
      <c r="F122" s="353">
        <v>109773</v>
      </c>
      <c r="G122" s="357">
        <v>14184015.889487941</v>
      </c>
      <c r="H122" s="353">
        <v>9946092.898</v>
      </c>
      <c r="I122" s="353">
        <v>399179</v>
      </c>
      <c r="J122" s="357">
        <v>51522895.91306451</v>
      </c>
      <c r="K122" s="353">
        <v>36128802.527999997</v>
      </c>
      <c r="L122" s="353">
        <v>104834</v>
      </c>
      <c r="M122" s="357">
        <v>13922205.618185328</v>
      </c>
      <c r="N122" s="353">
        <v>9762506.7190000005</v>
      </c>
      <c r="O122" s="353">
        <v>74656</v>
      </c>
      <c r="P122" s="357">
        <v>9830869.8139075078</v>
      </c>
      <c r="Q122" s="353">
        <v>6893586.7810000004</v>
      </c>
      <c r="R122" s="353">
        <v>179490</v>
      </c>
      <c r="S122" s="357">
        <v>23753075.432092834</v>
      </c>
      <c r="T122" s="353">
        <v>16656093.5</v>
      </c>
      <c r="U122" s="353">
        <v>394240</v>
      </c>
      <c r="V122" s="357">
        <v>51261085.641761892</v>
      </c>
      <c r="W122" s="353">
        <v>35945216.348999999</v>
      </c>
      <c r="X122" s="353">
        <v>184429</v>
      </c>
      <c r="Y122" s="357">
        <v>24014885.703395449</v>
      </c>
      <c r="Z122" s="353">
        <v>16839679.679000001</v>
      </c>
      <c r="AA122" s="353">
        <v>578669</v>
      </c>
      <c r="AB122" s="357">
        <v>75275971.34515734</v>
      </c>
      <c r="AC122" s="353">
        <v>52784896.027999997</v>
      </c>
    </row>
    <row r="123" spans="2:29" hidden="1" outlineLevel="1" x14ac:dyDescent="0.25">
      <c r="B123" s="352">
        <v>42309</v>
      </c>
      <c r="C123" s="353">
        <v>289596</v>
      </c>
      <c r="D123" s="357">
        <v>37341724.880596802</v>
      </c>
      <c r="E123" s="353">
        <v>26177962.984999999</v>
      </c>
      <c r="F123" s="353">
        <v>109685</v>
      </c>
      <c r="G123" s="357">
        <v>14182505.568726081</v>
      </c>
      <c r="H123" s="353">
        <v>9942473.3859999999</v>
      </c>
      <c r="I123" s="353">
        <v>399281</v>
      </c>
      <c r="J123" s="357">
        <v>51524230.449322887</v>
      </c>
      <c r="K123" s="353">
        <v>36120436.370999999</v>
      </c>
      <c r="L123" s="353">
        <v>104776</v>
      </c>
      <c r="M123" s="357">
        <v>13882214.646765843</v>
      </c>
      <c r="N123" s="353">
        <v>9731958.0800000001</v>
      </c>
      <c r="O123" s="353">
        <v>74747</v>
      </c>
      <c r="P123" s="357">
        <v>9818451.9027092103</v>
      </c>
      <c r="Q123" s="353">
        <v>6883106.5329999998</v>
      </c>
      <c r="R123" s="353">
        <v>179523</v>
      </c>
      <c r="S123" s="357">
        <v>23700666.549475051</v>
      </c>
      <c r="T123" s="353">
        <v>16615064.613</v>
      </c>
      <c r="U123" s="353">
        <v>394372</v>
      </c>
      <c r="V123" s="357">
        <v>51223939.527362637</v>
      </c>
      <c r="W123" s="353">
        <v>35909921.064999998</v>
      </c>
      <c r="X123" s="353">
        <v>184432</v>
      </c>
      <c r="Y123" s="357">
        <v>24000957.47143529</v>
      </c>
      <c r="Z123" s="353">
        <v>16825579.919</v>
      </c>
      <c r="AA123" s="353">
        <v>578804</v>
      </c>
      <c r="AB123" s="357">
        <v>75224896.998797923</v>
      </c>
      <c r="AC123" s="353">
        <v>52735500.983999997</v>
      </c>
    </row>
    <row r="124" spans="2:29" hidden="1" outlineLevel="1" x14ac:dyDescent="0.25">
      <c r="B124" s="352">
        <v>42339</v>
      </c>
      <c r="C124" s="353">
        <v>289818</v>
      </c>
      <c r="D124" s="357">
        <v>37373982.68757882</v>
      </c>
      <c r="E124" s="353">
        <v>26203198.941</v>
      </c>
      <c r="F124" s="353">
        <v>109696</v>
      </c>
      <c r="G124" s="357">
        <v>14164702.206613397</v>
      </c>
      <c r="H124" s="353">
        <v>9930986.2949999999</v>
      </c>
      <c r="I124" s="353">
        <v>399514</v>
      </c>
      <c r="J124" s="357">
        <v>51538684.894192226</v>
      </c>
      <c r="K124" s="353">
        <v>36134185.236000001</v>
      </c>
      <c r="L124" s="353">
        <v>104882</v>
      </c>
      <c r="M124" s="357">
        <v>13903714.223016808</v>
      </c>
      <c r="N124" s="353">
        <v>9748005.5270000007</v>
      </c>
      <c r="O124" s="353">
        <v>74896</v>
      </c>
      <c r="P124" s="357">
        <v>9838297.4679893088</v>
      </c>
      <c r="Q124" s="353">
        <v>6897709.2419999996</v>
      </c>
      <c r="R124" s="353">
        <v>179778</v>
      </c>
      <c r="S124" s="357">
        <v>23742011.69100612</v>
      </c>
      <c r="T124" s="353">
        <v>16645714.768999999</v>
      </c>
      <c r="U124" s="353">
        <v>394700</v>
      </c>
      <c r="V124" s="357">
        <v>51277696.910595633</v>
      </c>
      <c r="W124" s="353">
        <v>35951204.468000002</v>
      </c>
      <c r="X124" s="353">
        <v>184592</v>
      </c>
      <c r="Y124" s="357">
        <v>24002999.674602706</v>
      </c>
      <c r="Z124" s="353">
        <v>16828695.537</v>
      </c>
      <c r="AA124" s="353">
        <v>579292</v>
      </c>
      <c r="AB124" s="357">
        <v>75280696.585198328</v>
      </c>
      <c r="AC124" s="353">
        <v>52779900.005000003</v>
      </c>
    </row>
    <row r="125" spans="2:29" collapsed="1" x14ac:dyDescent="0.25">
      <c r="B125" s="355" t="s">
        <v>706</v>
      </c>
      <c r="C125" s="356">
        <v>289070.58333333331</v>
      </c>
      <c r="D125" s="358">
        <v>37147912.049641676</v>
      </c>
      <c r="E125" s="356"/>
      <c r="F125" s="356">
        <v>110162</v>
      </c>
      <c r="G125" s="358">
        <v>14170692.756340453</v>
      </c>
      <c r="H125" s="356"/>
      <c r="I125" s="356">
        <v>399232.58333333331</v>
      </c>
      <c r="J125" s="358">
        <v>51318604.805982135</v>
      </c>
      <c r="K125" s="356"/>
      <c r="L125" s="356">
        <v>105105.41666666667</v>
      </c>
      <c r="M125" s="358">
        <v>13791543.957127988</v>
      </c>
      <c r="N125" s="356"/>
      <c r="O125" s="356">
        <v>74655.333333333328</v>
      </c>
      <c r="P125" s="358">
        <v>9731538.6443091296</v>
      </c>
      <c r="Q125" s="356"/>
      <c r="R125" s="356">
        <v>179760.75</v>
      </c>
      <c r="S125" s="358">
        <v>23523082.601437122</v>
      </c>
      <c r="T125" s="356"/>
      <c r="U125" s="356">
        <v>394176</v>
      </c>
      <c r="V125" s="358">
        <v>50939456.006769665</v>
      </c>
      <c r="W125" s="356"/>
      <c r="X125" s="356">
        <v>184817.33333333334</v>
      </c>
      <c r="Y125" s="358">
        <v>23902231.400649577</v>
      </c>
      <c r="Z125" s="356"/>
      <c r="AA125" s="356">
        <v>578993.33333333337</v>
      </c>
      <c r="AB125" s="358">
        <v>74841687.407419235</v>
      </c>
      <c r="AC125" s="356"/>
    </row>
    <row r="126" spans="2:29" hidden="1" outlineLevel="1" x14ac:dyDescent="0.25">
      <c r="B126" s="352">
        <v>42370</v>
      </c>
      <c r="C126" s="353">
        <v>289772</v>
      </c>
      <c r="D126" s="357">
        <v>37175367.164642736</v>
      </c>
      <c r="E126" s="353">
        <v>26186624.079999998</v>
      </c>
      <c r="F126" s="353">
        <v>109526</v>
      </c>
      <c r="G126" s="357">
        <v>14078102.609367903</v>
      </c>
      <c r="H126" s="353">
        <v>9916727.3629999999</v>
      </c>
      <c r="I126" s="353">
        <v>399298</v>
      </c>
      <c r="J126" s="357">
        <v>51253469.774010643</v>
      </c>
      <c r="K126" s="353">
        <v>36103351.443000004</v>
      </c>
      <c r="L126" s="353">
        <v>104970</v>
      </c>
      <c r="M126" s="357">
        <v>13884128.58409548</v>
      </c>
      <c r="N126" s="353">
        <v>9780090.5179999992</v>
      </c>
      <c r="O126" s="353">
        <v>74980</v>
      </c>
      <c r="P126" s="357">
        <v>9781069.6713178381</v>
      </c>
      <c r="Q126" s="353">
        <v>6889863.2110000001</v>
      </c>
      <c r="R126" s="353">
        <v>179950</v>
      </c>
      <c r="S126" s="357">
        <v>23665198.25541332</v>
      </c>
      <c r="T126" s="353">
        <v>16669953.729</v>
      </c>
      <c r="U126" s="353">
        <v>394742</v>
      </c>
      <c r="V126" s="357">
        <v>51059495.748738222</v>
      </c>
      <c r="W126" s="353">
        <v>35966714.597999997</v>
      </c>
      <c r="X126" s="353">
        <v>184506</v>
      </c>
      <c r="Y126" s="357">
        <v>23859172.280685741</v>
      </c>
      <c r="Z126" s="353">
        <v>16806590.574000001</v>
      </c>
      <c r="AA126" s="353">
        <v>579248</v>
      </c>
      <c r="AB126" s="357">
        <v>74918668.029423967</v>
      </c>
      <c r="AC126" s="353">
        <v>52773305.171999998</v>
      </c>
    </row>
    <row r="127" spans="2:29" hidden="1" outlineLevel="1" x14ac:dyDescent="0.25">
      <c r="B127" s="352">
        <v>42401</v>
      </c>
      <c r="C127" s="353">
        <v>290041</v>
      </c>
      <c r="D127" s="357">
        <v>37156831.611746825</v>
      </c>
      <c r="E127" s="353">
        <v>26246322.202</v>
      </c>
      <c r="F127" s="353">
        <v>109494</v>
      </c>
      <c r="G127" s="357">
        <v>14070295.641013835</v>
      </c>
      <c r="H127" s="353">
        <v>9938778.3310000002</v>
      </c>
      <c r="I127" s="353">
        <v>399535</v>
      </c>
      <c r="J127" s="357">
        <v>51227127.252760664</v>
      </c>
      <c r="K127" s="353">
        <v>36185100.533</v>
      </c>
      <c r="L127" s="353">
        <v>105124</v>
      </c>
      <c r="M127" s="357">
        <v>13869002.750765266</v>
      </c>
      <c r="N127" s="353">
        <v>9796591.8790000007</v>
      </c>
      <c r="O127" s="353">
        <v>75133</v>
      </c>
      <c r="P127" s="357">
        <v>9816028.602098437</v>
      </c>
      <c r="Q127" s="353">
        <v>6933708.7759999996</v>
      </c>
      <c r="R127" s="353">
        <v>180257</v>
      </c>
      <c r="S127" s="357">
        <v>23685031.352863699</v>
      </c>
      <c r="T127" s="353">
        <v>16730300.654999999</v>
      </c>
      <c r="U127" s="353">
        <v>395165</v>
      </c>
      <c r="V127" s="357">
        <v>51025834.362512089</v>
      </c>
      <c r="W127" s="353">
        <v>36042914.081</v>
      </c>
      <c r="X127" s="353">
        <v>184627</v>
      </c>
      <c r="Y127" s="357">
        <v>23886324.24311227</v>
      </c>
      <c r="Z127" s="353">
        <v>16872487.107000001</v>
      </c>
      <c r="AA127" s="353">
        <v>579792</v>
      </c>
      <c r="AB127" s="357">
        <v>74912158.605624363</v>
      </c>
      <c r="AC127" s="353">
        <v>52915401.188000001</v>
      </c>
    </row>
    <row r="128" spans="2:29" hidden="1" outlineLevel="1" x14ac:dyDescent="0.25">
      <c r="B128" s="352">
        <v>42430</v>
      </c>
      <c r="C128" s="353">
        <v>289522</v>
      </c>
      <c r="D128" s="357">
        <v>36795741.746629737</v>
      </c>
      <c r="E128" s="353">
        <v>26089860.443</v>
      </c>
      <c r="F128" s="353">
        <v>109195</v>
      </c>
      <c r="G128" s="357">
        <v>13895506.800361568</v>
      </c>
      <c r="H128" s="353">
        <v>9852548.5830000006</v>
      </c>
      <c r="I128" s="353">
        <v>398717</v>
      </c>
      <c r="J128" s="357">
        <v>50691248.546991311</v>
      </c>
      <c r="K128" s="353">
        <v>35942409.026000001</v>
      </c>
      <c r="L128" s="353">
        <v>105070</v>
      </c>
      <c r="M128" s="357">
        <v>13676163.994889474</v>
      </c>
      <c r="N128" s="353">
        <v>9697024.5219999999</v>
      </c>
      <c r="O128" s="353">
        <v>74986</v>
      </c>
      <c r="P128" s="357">
        <v>9655858.4267318677</v>
      </c>
      <c r="Q128" s="353">
        <v>6846444.3669999996</v>
      </c>
      <c r="R128" s="353">
        <v>180056</v>
      </c>
      <c r="S128" s="357">
        <v>23332022.421621338</v>
      </c>
      <c r="T128" s="353">
        <v>16543468.889</v>
      </c>
      <c r="U128" s="353">
        <v>394592</v>
      </c>
      <c r="V128" s="357">
        <v>50471905.741519213</v>
      </c>
      <c r="W128" s="353">
        <v>35786884.965000004</v>
      </c>
      <c r="X128" s="353">
        <v>184181</v>
      </c>
      <c r="Y128" s="357">
        <v>23551365.227093432</v>
      </c>
      <c r="Z128" s="353">
        <v>16698992.949999999</v>
      </c>
      <c r="AA128" s="353">
        <v>578773</v>
      </c>
      <c r="AB128" s="357">
        <v>74023270.968612641</v>
      </c>
      <c r="AC128" s="353">
        <v>52485877.914999999</v>
      </c>
    </row>
    <row r="129" spans="2:29" hidden="1" outlineLevel="1" x14ac:dyDescent="0.25">
      <c r="B129" s="352">
        <v>42461</v>
      </c>
      <c r="C129" s="353">
        <v>290006</v>
      </c>
      <c r="D129" s="357">
        <v>36939469.148120925</v>
      </c>
      <c r="E129" s="353">
        <v>26277141.800000001</v>
      </c>
      <c r="F129" s="353">
        <v>109202</v>
      </c>
      <c r="G129" s="357">
        <v>13907555.275688522</v>
      </c>
      <c r="H129" s="353">
        <v>9893233.7280000001</v>
      </c>
      <c r="I129" s="353">
        <v>399208</v>
      </c>
      <c r="J129" s="357">
        <v>50847024.423809446</v>
      </c>
      <c r="K129" s="353">
        <v>36170375.527999997</v>
      </c>
      <c r="L129" s="353">
        <v>105346</v>
      </c>
      <c r="M129" s="357">
        <v>13800139.473618342</v>
      </c>
      <c r="N129" s="353">
        <v>9816822.7689999994</v>
      </c>
      <c r="O129" s="353">
        <v>75254</v>
      </c>
      <c r="P129" s="357">
        <v>9802139.2450367063</v>
      </c>
      <c r="Q129" s="353">
        <v>6972818.2029999997</v>
      </c>
      <c r="R129" s="353">
        <v>180600</v>
      </c>
      <c r="S129" s="357">
        <v>23602278.71865505</v>
      </c>
      <c r="T129" s="353">
        <v>16789640.971999999</v>
      </c>
      <c r="U129" s="353">
        <v>395352</v>
      </c>
      <c r="V129" s="357">
        <v>50739608.621739268</v>
      </c>
      <c r="W129" s="353">
        <v>36093964.568999998</v>
      </c>
      <c r="X129" s="353">
        <v>184456</v>
      </c>
      <c r="Y129" s="357">
        <v>23709694.520725228</v>
      </c>
      <c r="Z129" s="353">
        <v>16866051.931000002</v>
      </c>
      <c r="AA129" s="353">
        <v>579808</v>
      </c>
      <c r="AB129" s="357">
        <v>74449303.142464489</v>
      </c>
      <c r="AC129" s="353">
        <v>52960016.5</v>
      </c>
    </row>
    <row r="130" spans="2:29" hidden="1" outlineLevel="1" x14ac:dyDescent="0.25">
      <c r="B130" s="352">
        <v>42491</v>
      </c>
      <c r="C130" s="353">
        <v>290387</v>
      </c>
      <c r="D130" s="357">
        <v>36865474.910684489</v>
      </c>
      <c r="E130" s="353">
        <v>26283366.634</v>
      </c>
      <c r="F130" s="353">
        <v>109075</v>
      </c>
      <c r="G130" s="357">
        <v>13872407.38045723</v>
      </c>
      <c r="H130" s="353">
        <v>9890380.3670000006</v>
      </c>
      <c r="I130" s="353">
        <v>399462</v>
      </c>
      <c r="J130" s="357">
        <v>50737882.291141719</v>
      </c>
      <c r="K130" s="353">
        <v>36173747.001000002</v>
      </c>
      <c r="L130" s="353">
        <v>105384</v>
      </c>
      <c r="M130" s="357">
        <v>13621639.833080441</v>
      </c>
      <c r="N130" s="353">
        <v>9711594.7850000001</v>
      </c>
      <c r="O130" s="353">
        <v>75437</v>
      </c>
      <c r="P130" s="357">
        <v>9721326.3580510803</v>
      </c>
      <c r="Q130" s="353">
        <v>6930852.9309999999</v>
      </c>
      <c r="R130" s="353">
        <v>180821</v>
      </c>
      <c r="S130" s="357">
        <v>23342966.191131525</v>
      </c>
      <c r="T130" s="353">
        <v>16642447.716</v>
      </c>
      <c r="U130" s="353">
        <v>395771</v>
      </c>
      <c r="V130" s="357">
        <v>50487114.743764922</v>
      </c>
      <c r="W130" s="353">
        <v>35994961.419</v>
      </c>
      <c r="X130" s="353">
        <v>184512</v>
      </c>
      <c r="Y130" s="357">
        <v>23593733.738508314</v>
      </c>
      <c r="Z130" s="353">
        <v>16821233.298</v>
      </c>
      <c r="AA130" s="353">
        <v>580283</v>
      </c>
      <c r="AB130" s="357">
        <v>74080848.482273236</v>
      </c>
      <c r="AC130" s="353">
        <v>52816194.717</v>
      </c>
    </row>
    <row r="131" spans="2:29" hidden="1" outlineLevel="1" x14ac:dyDescent="0.25">
      <c r="B131" s="352">
        <v>42522</v>
      </c>
      <c r="C131" s="353">
        <v>290710</v>
      </c>
      <c r="D131" s="357">
        <v>36651221.140928775</v>
      </c>
      <c r="E131" s="353">
        <v>26248141.977000002</v>
      </c>
      <c r="F131" s="353">
        <v>109011</v>
      </c>
      <c r="G131" s="357">
        <v>13746283.058307916</v>
      </c>
      <c r="H131" s="353">
        <v>9844539.3670000006</v>
      </c>
      <c r="I131" s="353">
        <v>399721</v>
      </c>
      <c r="J131" s="357">
        <v>50397504.199236691</v>
      </c>
      <c r="K131" s="353">
        <v>36092681.343999997</v>
      </c>
      <c r="L131" s="353">
        <v>105613</v>
      </c>
      <c r="M131" s="357">
        <v>13733447.277485738</v>
      </c>
      <c r="N131" s="353">
        <v>9835346.8929999992</v>
      </c>
      <c r="O131" s="353">
        <v>75584</v>
      </c>
      <c r="P131" s="357">
        <v>9744399.73631588</v>
      </c>
      <c r="Q131" s="353">
        <v>6978550.2309999997</v>
      </c>
      <c r="R131" s="353">
        <v>181197</v>
      </c>
      <c r="S131" s="357">
        <v>23477847.013801616</v>
      </c>
      <c r="T131" s="353">
        <v>16813897.124000002</v>
      </c>
      <c r="U131" s="353">
        <v>396323</v>
      </c>
      <c r="V131" s="357">
        <v>50384668.418414511</v>
      </c>
      <c r="W131" s="353">
        <v>36083488.869999997</v>
      </c>
      <c r="X131" s="353">
        <v>184595</v>
      </c>
      <c r="Y131" s="357">
        <v>23490682.7946238</v>
      </c>
      <c r="Z131" s="353">
        <v>16823089.598000001</v>
      </c>
      <c r="AA131" s="353">
        <v>580918</v>
      </c>
      <c r="AB131" s="357">
        <v>73875351.21303831</v>
      </c>
      <c r="AC131" s="353">
        <v>52906578.468000002</v>
      </c>
    </row>
    <row r="132" spans="2:29" hidden="1" outlineLevel="1" x14ac:dyDescent="0.25">
      <c r="B132" s="352">
        <v>42552</v>
      </c>
      <c r="C132" s="353">
        <v>290754</v>
      </c>
      <c r="D132" s="357">
        <v>38076212.819887258</v>
      </c>
      <c r="E132" s="353">
        <v>27334633.774</v>
      </c>
      <c r="F132" s="353">
        <v>108892</v>
      </c>
      <c r="G132" s="357">
        <v>14294772.187416347</v>
      </c>
      <c r="H132" s="353">
        <v>10262112.056</v>
      </c>
      <c r="I132" s="353">
        <v>399646</v>
      </c>
      <c r="J132" s="357">
        <v>52370985.007303603</v>
      </c>
      <c r="K132" s="353">
        <v>37596745.829999998</v>
      </c>
      <c r="L132" s="353">
        <v>105761</v>
      </c>
      <c r="M132" s="357">
        <v>14190967.862673497</v>
      </c>
      <c r="N132" s="353">
        <v>10187591.693</v>
      </c>
      <c r="O132" s="353">
        <v>75723</v>
      </c>
      <c r="P132" s="357">
        <v>10084817.012140166</v>
      </c>
      <c r="Q132" s="353">
        <v>7239816.1289999997</v>
      </c>
      <c r="R132" s="353">
        <v>181484</v>
      </c>
      <c r="S132" s="357">
        <v>24275784.874813661</v>
      </c>
      <c r="T132" s="353">
        <v>17427407.822000001</v>
      </c>
      <c r="U132" s="353">
        <v>396515</v>
      </c>
      <c r="V132" s="357">
        <v>52267180.682560749</v>
      </c>
      <c r="W132" s="353">
        <v>37522225.467</v>
      </c>
      <c r="X132" s="353">
        <v>184615</v>
      </c>
      <c r="Y132" s="357">
        <v>24379589.199556515</v>
      </c>
      <c r="Z132" s="353">
        <v>17501928.184999999</v>
      </c>
      <c r="AA132" s="353">
        <v>581130</v>
      </c>
      <c r="AB132" s="357">
        <v>76646769.882117257</v>
      </c>
      <c r="AC132" s="353">
        <v>55024153.652000003</v>
      </c>
    </row>
    <row r="133" spans="2:29" hidden="1" outlineLevel="1" x14ac:dyDescent="0.25">
      <c r="B133" s="352">
        <v>42583</v>
      </c>
      <c r="C133" s="353">
        <v>290722</v>
      </c>
      <c r="D133" s="357">
        <v>38088511.347320467</v>
      </c>
      <c r="E133" s="353">
        <v>27356818.116</v>
      </c>
      <c r="F133" s="353">
        <v>108727</v>
      </c>
      <c r="G133" s="357">
        <v>14264205.078330617</v>
      </c>
      <c r="H133" s="353">
        <v>10245169.74</v>
      </c>
      <c r="I133" s="353">
        <v>399449</v>
      </c>
      <c r="J133" s="357">
        <v>52352716.425651088</v>
      </c>
      <c r="K133" s="353">
        <v>37601987.855999999</v>
      </c>
      <c r="L133" s="353">
        <v>105741</v>
      </c>
      <c r="M133" s="357">
        <v>14150470.945483111</v>
      </c>
      <c r="N133" s="353">
        <v>10163480.960999999</v>
      </c>
      <c r="O133" s="353">
        <v>75743</v>
      </c>
      <c r="P133" s="357">
        <v>10041133.46422581</v>
      </c>
      <c r="Q133" s="353">
        <v>7211976.8439999996</v>
      </c>
      <c r="R133" s="353">
        <v>181484</v>
      </c>
      <c r="S133" s="357">
        <v>24191604.409708921</v>
      </c>
      <c r="T133" s="353">
        <v>17375457.805</v>
      </c>
      <c r="U133" s="353">
        <v>396463</v>
      </c>
      <c r="V133" s="357">
        <v>52238982.292803571</v>
      </c>
      <c r="W133" s="353">
        <v>37520299.077</v>
      </c>
      <c r="X133" s="353">
        <v>184470</v>
      </c>
      <c r="Y133" s="357">
        <v>24305338.542556427</v>
      </c>
      <c r="Z133" s="353">
        <v>17457146.583999999</v>
      </c>
      <c r="AA133" s="353">
        <v>580933</v>
      </c>
      <c r="AB133" s="357">
        <v>76544320.835360005</v>
      </c>
      <c r="AC133" s="353">
        <v>54977445.660999998</v>
      </c>
    </row>
    <row r="134" spans="2:29" hidden="1" outlineLevel="1" x14ac:dyDescent="0.25">
      <c r="B134" s="352">
        <v>42614</v>
      </c>
      <c r="C134" s="353">
        <v>290590</v>
      </c>
      <c r="D134" s="357">
        <v>37977707.264808923</v>
      </c>
      <c r="E134" s="353">
        <v>27343619.532000002</v>
      </c>
      <c r="F134" s="353">
        <v>108480</v>
      </c>
      <c r="G134" s="357">
        <v>14220027.571348464</v>
      </c>
      <c r="H134" s="353">
        <v>10238296.402000001</v>
      </c>
      <c r="I134" s="353">
        <v>399070</v>
      </c>
      <c r="J134" s="357">
        <v>52197734.836157389</v>
      </c>
      <c r="K134" s="353">
        <v>37581915.934</v>
      </c>
      <c r="L134" s="353">
        <v>105661</v>
      </c>
      <c r="M134" s="357">
        <v>14134701.121694602</v>
      </c>
      <c r="N134" s="353">
        <v>10176862.098999999</v>
      </c>
      <c r="O134" s="353">
        <v>75770</v>
      </c>
      <c r="P134" s="357">
        <v>10048351.870133199</v>
      </c>
      <c r="Q134" s="353">
        <v>7234726.1129999999</v>
      </c>
      <c r="R134" s="353">
        <v>181431</v>
      </c>
      <c r="S134" s="357">
        <v>24183052.991827805</v>
      </c>
      <c r="T134" s="353">
        <v>17411588.212000001</v>
      </c>
      <c r="U134" s="353">
        <v>396251</v>
      </c>
      <c r="V134" s="357">
        <v>52112408.386503525</v>
      </c>
      <c r="W134" s="353">
        <v>37520481.630999997</v>
      </c>
      <c r="X134" s="353">
        <v>184250</v>
      </c>
      <c r="Y134" s="357">
        <v>24268379.441481665</v>
      </c>
      <c r="Z134" s="353">
        <v>17473022.515000001</v>
      </c>
      <c r="AA134" s="353">
        <v>580501</v>
      </c>
      <c r="AB134" s="357">
        <v>76380787.827985182</v>
      </c>
      <c r="AC134" s="353">
        <v>54993504.145999998</v>
      </c>
    </row>
    <row r="135" spans="2:29" hidden="1" outlineLevel="1" x14ac:dyDescent="0.25">
      <c r="B135" s="352">
        <v>42644</v>
      </c>
      <c r="C135" s="353">
        <v>290392</v>
      </c>
      <c r="D135" s="357">
        <v>37871707.216955043</v>
      </c>
      <c r="E135" s="353">
        <v>27312508.570999999</v>
      </c>
      <c r="F135" s="353">
        <v>108234</v>
      </c>
      <c r="G135" s="357">
        <v>14124059.747815225</v>
      </c>
      <c r="H135" s="353">
        <v>10186060.551999999</v>
      </c>
      <c r="I135" s="353">
        <v>398626</v>
      </c>
      <c r="J135" s="357">
        <v>51995766.964770272</v>
      </c>
      <c r="K135" s="353">
        <v>37498569.123000003</v>
      </c>
      <c r="L135" s="353">
        <v>105680</v>
      </c>
      <c r="M135" s="357">
        <v>14111380.90600526</v>
      </c>
      <c r="N135" s="353">
        <v>10176916.761</v>
      </c>
      <c r="O135" s="353">
        <v>75906</v>
      </c>
      <c r="P135" s="357">
        <v>10073397.787190134</v>
      </c>
      <c r="Q135" s="353">
        <v>7264783.7560000001</v>
      </c>
      <c r="R135" s="353">
        <v>181586</v>
      </c>
      <c r="S135" s="357">
        <v>24184778.693195391</v>
      </c>
      <c r="T135" s="353">
        <v>17441700.517000001</v>
      </c>
      <c r="U135" s="353">
        <v>396072</v>
      </c>
      <c r="V135" s="357">
        <v>51983088.122960307</v>
      </c>
      <c r="W135" s="353">
        <v>37489425.332000002</v>
      </c>
      <c r="X135" s="353">
        <v>184140</v>
      </c>
      <c r="Y135" s="357">
        <v>24197457.535005361</v>
      </c>
      <c r="Z135" s="353">
        <v>17450844.307999998</v>
      </c>
      <c r="AA135" s="353">
        <v>580212</v>
      </c>
      <c r="AB135" s="357">
        <v>76180545.657965675</v>
      </c>
      <c r="AC135" s="353">
        <v>54940269.640000001</v>
      </c>
    </row>
    <row r="136" spans="2:29" hidden="1" outlineLevel="1" x14ac:dyDescent="0.25">
      <c r="B136" s="352">
        <v>42675</v>
      </c>
      <c r="C136" s="353">
        <v>290974</v>
      </c>
      <c r="D136" s="357">
        <v>38131798.477664679</v>
      </c>
      <c r="E136" s="353">
        <v>27514866.809999999</v>
      </c>
      <c r="F136" s="353">
        <v>108240</v>
      </c>
      <c r="G136" s="357">
        <v>14203846.324977234</v>
      </c>
      <c r="H136" s="353">
        <v>10249108.498</v>
      </c>
      <c r="I136" s="353">
        <v>399214</v>
      </c>
      <c r="J136" s="357">
        <v>52335644.802641913</v>
      </c>
      <c r="K136" s="353">
        <v>37763975.307999998</v>
      </c>
      <c r="L136" s="353">
        <v>105692</v>
      </c>
      <c r="M136" s="357">
        <v>14128385.90638122</v>
      </c>
      <c r="N136" s="353">
        <v>10194658.316</v>
      </c>
      <c r="O136" s="353">
        <v>76030</v>
      </c>
      <c r="P136" s="357">
        <v>10094274.153544081</v>
      </c>
      <c r="Q136" s="353">
        <v>7283753.1919999998</v>
      </c>
      <c r="R136" s="353">
        <v>181722</v>
      </c>
      <c r="S136" s="357">
        <v>24222660.059925299</v>
      </c>
      <c r="T136" s="353">
        <v>17478411.508000001</v>
      </c>
      <c r="U136" s="353">
        <v>396666</v>
      </c>
      <c r="V136" s="357">
        <v>52260184.384045899</v>
      </c>
      <c r="W136" s="353">
        <v>37709525.126000002</v>
      </c>
      <c r="X136" s="353">
        <v>184270</v>
      </c>
      <c r="Y136" s="357">
        <v>24298120.478521314</v>
      </c>
      <c r="Z136" s="353">
        <v>17532861.690000001</v>
      </c>
      <c r="AA136" s="353">
        <v>580936</v>
      </c>
      <c r="AB136" s="357">
        <v>76558304.862567216</v>
      </c>
      <c r="AC136" s="353">
        <v>55242386.816</v>
      </c>
    </row>
    <row r="137" spans="2:29" hidden="1" outlineLevel="1" x14ac:dyDescent="0.25">
      <c r="B137" s="352">
        <v>42705</v>
      </c>
      <c r="C137" s="353">
        <v>290606</v>
      </c>
      <c r="D137" s="357">
        <v>37903376.416770689</v>
      </c>
      <c r="E137" s="353">
        <v>27294187.395</v>
      </c>
      <c r="F137" s="353">
        <v>108045</v>
      </c>
      <c r="G137" s="357">
        <v>14106676.597782006</v>
      </c>
      <c r="H137" s="353">
        <v>10158205.177999999</v>
      </c>
      <c r="I137" s="353">
        <v>398651</v>
      </c>
      <c r="J137" s="357">
        <v>52010053.014552705</v>
      </c>
      <c r="K137" s="353">
        <v>37452392.572999999</v>
      </c>
      <c r="L137" s="353">
        <v>105476</v>
      </c>
      <c r="M137" s="357">
        <v>14026687.771684641</v>
      </c>
      <c r="N137" s="353">
        <v>10100605.296</v>
      </c>
      <c r="O137" s="353">
        <v>75845</v>
      </c>
      <c r="P137" s="357">
        <v>10036435.68252784</v>
      </c>
      <c r="Q137" s="353">
        <v>7227228.3420000002</v>
      </c>
      <c r="R137" s="353">
        <v>181321</v>
      </c>
      <c r="S137" s="357">
        <v>24063123.454212483</v>
      </c>
      <c r="T137" s="353">
        <v>17327833.638</v>
      </c>
      <c r="U137" s="353">
        <v>396082</v>
      </c>
      <c r="V137" s="357">
        <v>51930064.188455336</v>
      </c>
      <c r="W137" s="353">
        <v>37394792.691</v>
      </c>
      <c r="X137" s="353">
        <v>183890</v>
      </c>
      <c r="Y137" s="357">
        <v>24143112.280309845</v>
      </c>
      <c r="Z137" s="353">
        <v>17385433.52</v>
      </c>
      <c r="AA137" s="353">
        <v>579972</v>
      </c>
      <c r="AB137" s="357">
        <v>76073176.468765184</v>
      </c>
      <c r="AC137" s="353">
        <v>54780226.211000003</v>
      </c>
    </row>
    <row r="138" spans="2:29" collapsed="1" x14ac:dyDescent="0.25">
      <c r="B138" s="355" t="s">
        <v>707</v>
      </c>
      <c r="C138" s="356">
        <v>290373</v>
      </c>
      <c r="D138" s="358">
        <v>37469451.605513386</v>
      </c>
      <c r="E138" s="356"/>
      <c r="F138" s="356">
        <v>108843.41666666667</v>
      </c>
      <c r="G138" s="358">
        <v>14065311.522738909</v>
      </c>
      <c r="H138" s="356"/>
      <c r="I138" s="356">
        <v>399216.41666666669</v>
      </c>
      <c r="J138" s="358">
        <v>51534763.128252275</v>
      </c>
      <c r="K138" s="356"/>
      <c r="L138" s="356">
        <v>105459.83333333333</v>
      </c>
      <c r="M138" s="358">
        <v>13943926.368988089</v>
      </c>
      <c r="N138" s="356"/>
      <c r="O138" s="356">
        <v>75532.583333333328</v>
      </c>
      <c r="P138" s="358">
        <v>9908269.3341094218</v>
      </c>
      <c r="Q138" s="356"/>
      <c r="R138" s="356">
        <v>180992.41666666666</v>
      </c>
      <c r="S138" s="358">
        <v>23852195.703097507</v>
      </c>
      <c r="T138" s="356"/>
      <c r="U138" s="356">
        <v>395832.83333333331</v>
      </c>
      <c r="V138" s="358">
        <v>51413377.974501468</v>
      </c>
      <c r="W138" s="356"/>
      <c r="X138" s="356">
        <v>184376</v>
      </c>
      <c r="Y138" s="358">
        <v>23973580.856848329</v>
      </c>
      <c r="Z138" s="356"/>
      <c r="AA138" s="356">
        <v>580208.83333333337</v>
      </c>
      <c r="AB138" s="358">
        <v>75386958.83134979</v>
      </c>
      <c r="AC138" s="356"/>
    </row>
    <row r="139" spans="2:29" hidden="1" outlineLevel="1" x14ac:dyDescent="0.25">
      <c r="B139" s="352">
        <v>42736</v>
      </c>
      <c r="C139" s="353">
        <v>291095</v>
      </c>
      <c r="D139" s="357">
        <v>41688279.254288949</v>
      </c>
      <c r="E139" s="353">
        <v>30181828.090999998</v>
      </c>
      <c r="F139" s="353">
        <v>108041</v>
      </c>
      <c r="G139" s="357">
        <v>15477593.573398365</v>
      </c>
      <c r="H139" s="353">
        <v>11205597.277000001</v>
      </c>
      <c r="I139" s="353">
        <v>399136</v>
      </c>
      <c r="J139" s="357">
        <v>57165872.827687316</v>
      </c>
      <c r="K139" s="353">
        <v>41387425.368000001</v>
      </c>
      <c r="L139" s="353">
        <v>105535</v>
      </c>
      <c r="M139" s="357">
        <v>15441886.372639816</v>
      </c>
      <c r="N139" s="353">
        <v>11179745.68</v>
      </c>
      <c r="O139" s="353">
        <v>75921</v>
      </c>
      <c r="P139" s="357">
        <v>11028715.28289685</v>
      </c>
      <c r="Q139" s="353">
        <v>7984661.2690000003</v>
      </c>
      <c r="R139" s="353">
        <v>181456</v>
      </c>
      <c r="S139" s="357">
        <v>26470601.655536667</v>
      </c>
      <c r="T139" s="353">
        <v>19164406.949000001</v>
      </c>
      <c r="U139" s="353">
        <v>396630</v>
      </c>
      <c r="V139" s="357">
        <v>57130165.626928762</v>
      </c>
      <c r="W139" s="353">
        <v>41361573.770999998</v>
      </c>
      <c r="X139" s="353">
        <v>183962</v>
      </c>
      <c r="Y139" s="357">
        <v>26506308.856295217</v>
      </c>
      <c r="Z139" s="353">
        <v>19190258.546</v>
      </c>
      <c r="AA139" s="353">
        <v>580592</v>
      </c>
      <c r="AB139" s="357">
        <v>83636474.48322399</v>
      </c>
      <c r="AC139" s="353">
        <v>60551832.317000002</v>
      </c>
    </row>
    <row r="140" spans="2:29" hidden="1" outlineLevel="1" x14ac:dyDescent="0.25">
      <c r="B140" s="352">
        <v>42767</v>
      </c>
      <c r="C140" s="353">
        <v>291502</v>
      </c>
      <c r="D140" s="357">
        <v>41637637.449120067</v>
      </c>
      <c r="E140" s="353">
        <v>30217329.635000002</v>
      </c>
      <c r="F140" s="353">
        <v>108057</v>
      </c>
      <c r="G140" s="357">
        <v>15433893.575783143</v>
      </c>
      <c r="H140" s="353">
        <v>11200708.741</v>
      </c>
      <c r="I140" s="353">
        <v>399559</v>
      </c>
      <c r="J140" s="357">
        <v>57071531.024903208</v>
      </c>
      <c r="K140" s="353">
        <v>41418038.376000002</v>
      </c>
      <c r="L140" s="353">
        <v>105511</v>
      </c>
      <c r="M140" s="357">
        <v>15327425.466977473</v>
      </c>
      <c r="N140" s="353">
        <v>11123442.543</v>
      </c>
      <c r="O140" s="353">
        <v>75979</v>
      </c>
      <c r="P140" s="357">
        <v>10977148.629455222</v>
      </c>
      <c r="Q140" s="353">
        <v>7966353.0140000004</v>
      </c>
      <c r="R140" s="353">
        <v>181490</v>
      </c>
      <c r="S140" s="357">
        <v>26304574.096432697</v>
      </c>
      <c r="T140" s="353">
        <v>19089795.557</v>
      </c>
      <c r="U140" s="353">
        <v>397013</v>
      </c>
      <c r="V140" s="357">
        <v>56965062.916097544</v>
      </c>
      <c r="W140" s="353">
        <v>41340772.178000003</v>
      </c>
      <c r="X140" s="353">
        <v>184036</v>
      </c>
      <c r="Y140" s="357">
        <v>26411042.205238365</v>
      </c>
      <c r="Z140" s="353">
        <v>19167061.754999999</v>
      </c>
      <c r="AA140" s="353">
        <v>581049</v>
      </c>
      <c r="AB140" s="357">
        <v>83376105.121335909</v>
      </c>
      <c r="AC140" s="353">
        <v>60507833.932999998</v>
      </c>
    </row>
    <row r="141" spans="2:29" hidden="1" outlineLevel="1" x14ac:dyDescent="0.25">
      <c r="B141" s="352">
        <v>42795</v>
      </c>
      <c r="C141" s="353">
        <v>291371</v>
      </c>
      <c r="D141" s="357">
        <v>41399992.724472418</v>
      </c>
      <c r="E141" s="353">
        <v>30159711.811999999</v>
      </c>
      <c r="F141" s="353">
        <v>107931</v>
      </c>
      <c r="G141" s="357">
        <v>15351256.629243141</v>
      </c>
      <c r="H141" s="353">
        <v>11183322.639</v>
      </c>
      <c r="I141" s="353">
        <v>399302</v>
      </c>
      <c r="J141" s="357">
        <v>56751249.353715561</v>
      </c>
      <c r="K141" s="353">
        <v>41343034.450999998</v>
      </c>
      <c r="L141" s="353">
        <v>105627</v>
      </c>
      <c r="M141" s="357">
        <v>15306153.836868135</v>
      </c>
      <c r="N141" s="353">
        <v>11150465.454</v>
      </c>
      <c r="O141" s="353">
        <v>76113</v>
      </c>
      <c r="P141" s="357">
        <v>10989326.822553098</v>
      </c>
      <c r="Q141" s="353">
        <v>8005676.0439999998</v>
      </c>
      <c r="R141" s="353">
        <v>181740</v>
      </c>
      <c r="S141" s="357">
        <v>26295480.659421235</v>
      </c>
      <c r="T141" s="353">
        <v>19156141.498</v>
      </c>
      <c r="U141" s="353">
        <v>396998</v>
      </c>
      <c r="V141" s="357">
        <v>56706146.561340556</v>
      </c>
      <c r="W141" s="353">
        <v>41310177.266000003</v>
      </c>
      <c r="X141" s="353">
        <v>184044</v>
      </c>
      <c r="Y141" s="357">
        <v>26340583.451796241</v>
      </c>
      <c r="Z141" s="353">
        <v>19188998.682999998</v>
      </c>
      <c r="AA141" s="353">
        <v>581042</v>
      </c>
      <c r="AB141" s="357">
        <v>83046730.013136789</v>
      </c>
      <c r="AC141" s="353">
        <v>60499175.949000001</v>
      </c>
    </row>
    <row r="142" spans="2:29" hidden="1" outlineLevel="1" x14ac:dyDescent="0.25">
      <c r="B142" s="352">
        <v>42826</v>
      </c>
      <c r="C142" s="353">
        <v>291764</v>
      </c>
      <c r="D142" s="357">
        <v>41445625.362809271</v>
      </c>
      <c r="E142" s="353">
        <v>30265242.559</v>
      </c>
      <c r="F142" s="353">
        <v>108038</v>
      </c>
      <c r="G142" s="357">
        <v>15367608.212106552</v>
      </c>
      <c r="H142" s="353">
        <v>11222038.176999999</v>
      </c>
      <c r="I142" s="353">
        <v>399802</v>
      </c>
      <c r="J142" s="357">
        <v>56813233.574915826</v>
      </c>
      <c r="K142" s="353">
        <v>41487280.736000001</v>
      </c>
      <c r="L142" s="353">
        <v>105610</v>
      </c>
      <c r="M142" s="357">
        <v>15211208.050303724</v>
      </c>
      <c r="N142" s="353">
        <v>11107828.563999999</v>
      </c>
      <c r="O142" s="353">
        <v>76247</v>
      </c>
      <c r="P142" s="357">
        <v>10954595.485833885</v>
      </c>
      <c r="Q142" s="353">
        <v>7999480.9249999998</v>
      </c>
      <c r="R142" s="353">
        <v>181857</v>
      </c>
      <c r="S142" s="357">
        <v>26165803.536137607</v>
      </c>
      <c r="T142" s="353">
        <v>19107309.489</v>
      </c>
      <c r="U142" s="353">
        <v>397374</v>
      </c>
      <c r="V142" s="357">
        <v>56656833.413112998</v>
      </c>
      <c r="W142" s="353">
        <v>41373071.123000003</v>
      </c>
      <c r="X142" s="353">
        <v>184285</v>
      </c>
      <c r="Y142" s="357">
        <v>26322203.697940439</v>
      </c>
      <c r="Z142" s="353">
        <v>19221519.102000002</v>
      </c>
      <c r="AA142" s="353">
        <v>581659</v>
      </c>
      <c r="AB142" s="357">
        <v>82979037.111053437</v>
      </c>
      <c r="AC142" s="353">
        <v>60594590.225000001</v>
      </c>
    </row>
    <row r="143" spans="2:29" hidden="1" outlineLevel="1" x14ac:dyDescent="0.25">
      <c r="B143" s="352">
        <v>42856</v>
      </c>
      <c r="C143" s="353">
        <v>292373</v>
      </c>
      <c r="D143" s="357">
        <v>41521045.161195308</v>
      </c>
      <c r="E143" s="353">
        <v>30358785.506000001</v>
      </c>
      <c r="F143" s="353">
        <v>108173</v>
      </c>
      <c r="G143" s="357">
        <v>15376442.935205294</v>
      </c>
      <c r="H143" s="353">
        <v>11242735.607999999</v>
      </c>
      <c r="I143" s="353">
        <v>400546</v>
      </c>
      <c r="J143" s="357">
        <v>56897488.096400596</v>
      </c>
      <c r="K143" s="353">
        <v>41601521.114</v>
      </c>
      <c r="L143" s="353">
        <v>105793</v>
      </c>
      <c r="M143" s="357">
        <v>15286880.966257777</v>
      </c>
      <c r="N143" s="353">
        <v>11177250.922</v>
      </c>
      <c r="O143" s="353">
        <v>76469</v>
      </c>
      <c r="P143" s="357">
        <v>10983831.070179863</v>
      </c>
      <c r="Q143" s="353">
        <v>8031006.2089999998</v>
      </c>
      <c r="R143" s="353">
        <v>182262</v>
      </c>
      <c r="S143" s="357">
        <v>26270712.036437638</v>
      </c>
      <c r="T143" s="353">
        <v>19208257.131000001</v>
      </c>
      <c r="U143" s="353">
        <v>398166</v>
      </c>
      <c r="V143" s="357">
        <v>56807926.127453081</v>
      </c>
      <c r="W143" s="353">
        <v>41536036.428000003</v>
      </c>
      <c r="X143" s="353">
        <v>184642</v>
      </c>
      <c r="Y143" s="357">
        <v>26360274.005385153</v>
      </c>
      <c r="Z143" s="353">
        <v>19273741.817000002</v>
      </c>
      <c r="AA143" s="353">
        <v>582808</v>
      </c>
      <c r="AB143" s="357">
        <v>83168200.132838234</v>
      </c>
      <c r="AC143" s="353">
        <v>60809778.244999997</v>
      </c>
    </row>
    <row r="144" spans="2:29" hidden="1" outlineLevel="1" x14ac:dyDescent="0.25">
      <c r="B144" s="352">
        <v>42887</v>
      </c>
      <c r="C144" s="353">
        <v>291766</v>
      </c>
      <c r="D144" s="357">
        <v>41340448.220863283</v>
      </c>
      <c r="E144" s="353">
        <v>30108905.912</v>
      </c>
      <c r="F144" s="353">
        <v>107911</v>
      </c>
      <c r="G144" s="357">
        <v>15288161.686393589</v>
      </c>
      <c r="H144" s="353">
        <v>11134611.297</v>
      </c>
      <c r="I144" s="353">
        <v>399677</v>
      </c>
      <c r="J144" s="357">
        <v>56628609.907256864</v>
      </c>
      <c r="K144" s="353">
        <v>41243517.208999999</v>
      </c>
      <c r="L144" s="353">
        <v>105559</v>
      </c>
      <c r="M144" s="357">
        <v>15221921.81336014</v>
      </c>
      <c r="N144" s="353">
        <v>11086367.744000001</v>
      </c>
      <c r="O144" s="353">
        <v>76366</v>
      </c>
      <c r="P144" s="357">
        <v>10957045.15265152</v>
      </c>
      <c r="Q144" s="353">
        <v>7980190.2439999999</v>
      </c>
      <c r="R144" s="353">
        <v>181925</v>
      </c>
      <c r="S144" s="357">
        <v>26178966.966011658</v>
      </c>
      <c r="T144" s="353">
        <v>19066557.988000002</v>
      </c>
      <c r="U144" s="353">
        <v>397325</v>
      </c>
      <c r="V144" s="357">
        <v>56562370.034223422</v>
      </c>
      <c r="W144" s="353">
        <v>41195273.656000003</v>
      </c>
      <c r="X144" s="353">
        <v>184277</v>
      </c>
      <c r="Y144" s="357">
        <v>26245206.839045107</v>
      </c>
      <c r="Z144" s="353">
        <v>19114801.541000001</v>
      </c>
      <c r="AA144" s="353">
        <v>581602</v>
      </c>
      <c r="AB144" s="357">
        <v>82807576.87326853</v>
      </c>
      <c r="AC144" s="353">
        <v>60310075.196999997</v>
      </c>
    </row>
    <row r="145" spans="2:29" hidden="1" outlineLevel="1" x14ac:dyDescent="0.25">
      <c r="B145" s="352">
        <v>42917</v>
      </c>
      <c r="C145" s="353">
        <v>291786</v>
      </c>
      <c r="D145" s="357">
        <v>42337868.696126528</v>
      </c>
      <c r="E145" s="353">
        <v>30909688.848000001</v>
      </c>
      <c r="F145" s="353">
        <v>107824</v>
      </c>
      <c r="G145" s="357">
        <v>15668343.222546881</v>
      </c>
      <c r="H145" s="353">
        <v>11439017.331</v>
      </c>
      <c r="I145" s="353">
        <v>399610</v>
      </c>
      <c r="J145" s="357">
        <v>58006211.918673411</v>
      </c>
      <c r="K145" s="353">
        <v>42348706.178999998</v>
      </c>
      <c r="L145" s="353">
        <v>105652</v>
      </c>
      <c r="M145" s="357">
        <v>15655922.789953999</v>
      </c>
      <c r="N145" s="353">
        <v>11429949.522</v>
      </c>
      <c r="O145" s="353">
        <v>76509</v>
      </c>
      <c r="P145" s="357">
        <v>11261891.228137324</v>
      </c>
      <c r="Q145" s="353">
        <v>8221990.4879999999</v>
      </c>
      <c r="R145" s="353">
        <v>182161</v>
      </c>
      <c r="S145" s="357">
        <v>26917814.018091321</v>
      </c>
      <c r="T145" s="353">
        <v>19651940.010000002</v>
      </c>
      <c r="U145" s="353">
        <v>397438</v>
      </c>
      <c r="V145" s="357">
        <v>57993791.48608052</v>
      </c>
      <c r="W145" s="353">
        <v>42339638.369999997</v>
      </c>
      <c r="X145" s="353">
        <v>184333</v>
      </c>
      <c r="Y145" s="357">
        <v>26930234.450684205</v>
      </c>
      <c r="Z145" s="353">
        <v>19661007.818999998</v>
      </c>
      <c r="AA145" s="353">
        <v>581771</v>
      </c>
      <c r="AB145" s="357">
        <v>84924025.936764732</v>
      </c>
      <c r="AC145" s="353">
        <v>62000646.189000003</v>
      </c>
    </row>
    <row r="146" spans="2:29" hidden="1" outlineLevel="1" x14ac:dyDescent="0.25">
      <c r="B146" s="352">
        <v>42948</v>
      </c>
      <c r="C146" s="353">
        <v>291749</v>
      </c>
      <c r="D146" s="357">
        <v>42025498.886899836</v>
      </c>
      <c r="E146" s="353">
        <v>30743653.221000001</v>
      </c>
      <c r="F146" s="353">
        <v>107568</v>
      </c>
      <c r="G146" s="357">
        <v>15503935.169703877</v>
      </c>
      <c r="H146" s="353">
        <v>11341866.700999999</v>
      </c>
      <c r="I146" s="353">
        <v>399317</v>
      </c>
      <c r="J146" s="357">
        <v>57529434.056603707</v>
      </c>
      <c r="K146" s="353">
        <v>42085519.921999998</v>
      </c>
      <c r="L146" s="353">
        <v>105661</v>
      </c>
      <c r="M146" s="357">
        <v>15526844.129828271</v>
      </c>
      <c r="N146" s="353">
        <v>11358625.696</v>
      </c>
      <c r="O146" s="353">
        <v>76579</v>
      </c>
      <c r="P146" s="357">
        <v>11163497.257485233</v>
      </c>
      <c r="Q146" s="353">
        <v>8166629.7249999996</v>
      </c>
      <c r="R146" s="353">
        <v>182240</v>
      </c>
      <c r="S146" s="357">
        <v>26690341.387313504</v>
      </c>
      <c r="T146" s="353">
        <v>19525255.421</v>
      </c>
      <c r="U146" s="353">
        <v>397410</v>
      </c>
      <c r="V146" s="357">
        <v>57552343.016728096</v>
      </c>
      <c r="W146" s="353">
        <v>42102278.917000003</v>
      </c>
      <c r="X146" s="353">
        <v>184147</v>
      </c>
      <c r="Y146" s="357">
        <v>26667432.427189108</v>
      </c>
      <c r="Z146" s="353">
        <v>19508496.425999999</v>
      </c>
      <c r="AA146" s="353">
        <v>581557</v>
      </c>
      <c r="AB146" s="357">
        <v>84219775.4439172</v>
      </c>
      <c r="AC146" s="353">
        <v>61610775.343000002</v>
      </c>
    </row>
    <row r="147" spans="2:29" hidden="1" outlineLevel="1" x14ac:dyDescent="0.25">
      <c r="B147" s="352">
        <v>42979</v>
      </c>
      <c r="C147" s="353">
        <v>291749</v>
      </c>
      <c r="D147" s="357">
        <v>42061902.961696163</v>
      </c>
      <c r="E147" s="353">
        <v>30723767.350000001</v>
      </c>
      <c r="F147" s="353">
        <v>107329</v>
      </c>
      <c r="G147" s="357">
        <v>15498538.226041326</v>
      </c>
      <c r="H147" s="353">
        <v>11320778.404999999</v>
      </c>
      <c r="I147" s="353">
        <v>399078</v>
      </c>
      <c r="J147" s="357">
        <v>57560441.187737487</v>
      </c>
      <c r="K147" s="353">
        <v>42044545.755000003</v>
      </c>
      <c r="L147" s="353">
        <v>105608</v>
      </c>
      <c r="M147" s="357">
        <v>15504772.404733747</v>
      </c>
      <c r="N147" s="353">
        <v>11325332.108999999</v>
      </c>
      <c r="O147" s="353">
        <v>76689</v>
      </c>
      <c r="P147" s="357">
        <v>11191964.521690698</v>
      </c>
      <c r="Q147" s="353">
        <v>8175077.4440000001</v>
      </c>
      <c r="R147" s="353">
        <v>182297</v>
      </c>
      <c r="S147" s="357">
        <v>26696736.926424447</v>
      </c>
      <c r="T147" s="353">
        <v>19500409.552999999</v>
      </c>
      <c r="U147" s="353">
        <v>397357</v>
      </c>
      <c r="V147" s="357">
        <v>57566675.36642991</v>
      </c>
      <c r="W147" s="353">
        <v>42049099.458999999</v>
      </c>
      <c r="X147" s="353">
        <v>184018</v>
      </c>
      <c r="Y147" s="357">
        <v>26690502.747732025</v>
      </c>
      <c r="Z147" s="353">
        <v>19495855.848999999</v>
      </c>
      <c r="AA147" s="353">
        <v>581375</v>
      </c>
      <c r="AB147" s="357">
        <v>84257178.114161938</v>
      </c>
      <c r="AC147" s="353">
        <v>61544955.307999998</v>
      </c>
    </row>
    <row r="148" spans="2:29" hidden="1" outlineLevel="1" x14ac:dyDescent="0.25">
      <c r="B148" s="352">
        <v>43009</v>
      </c>
      <c r="C148" s="353">
        <v>291575</v>
      </c>
      <c r="D148" s="357">
        <v>41846458.122150637</v>
      </c>
      <c r="E148" s="353">
        <v>30745743.68</v>
      </c>
      <c r="F148" s="353">
        <v>107184</v>
      </c>
      <c r="G148" s="357">
        <v>15398288.573412973</v>
      </c>
      <c r="H148" s="353">
        <v>11313546.112</v>
      </c>
      <c r="I148" s="353">
        <v>398759</v>
      </c>
      <c r="J148" s="357">
        <v>57244746.695563607</v>
      </c>
      <c r="K148" s="353">
        <v>42059289.792000003</v>
      </c>
      <c r="L148" s="353">
        <v>105489</v>
      </c>
      <c r="M148" s="357">
        <v>15404090.833411887</v>
      </c>
      <c r="N148" s="353">
        <v>11317809.192</v>
      </c>
      <c r="O148" s="353">
        <v>76751</v>
      </c>
      <c r="P148" s="357">
        <v>11141890.284539364</v>
      </c>
      <c r="Q148" s="353">
        <v>8186253.2259999998</v>
      </c>
      <c r="R148" s="353">
        <v>182240</v>
      </c>
      <c r="S148" s="357">
        <v>26545981.117951252</v>
      </c>
      <c r="T148" s="353">
        <v>19504062.418000001</v>
      </c>
      <c r="U148" s="353">
        <v>397064</v>
      </c>
      <c r="V148" s="357">
        <v>57250548.955562524</v>
      </c>
      <c r="W148" s="353">
        <v>42063552.872000001</v>
      </c>
      <c r="X148" s="353">
        <v>183935</v>
      </c>
      <c r="Y148" s="357">
        <v>26540178.857952334</v>
      </c>
      <c r="Z148" s="353">
        <v>19499799.338</v>
      </c>
      <c r="AA148" s="353">
        <v>580999</v>
      </c>
      <c r="AB148" s="357">
        <v>83790727.813514858</v>
      </c>
      <c r="AC148" s="353">
        <v>61563352.210000001</v>
      </c>
    </row>
    <row r="149" spans="2:29" hidden="1" outlineLevel="1" x14ac:dyDescent="0.25">
      <c r="B149" s="352">
        <v>43040</v>
      </c>
      <c r="C149" s="353">
        <v>291941</v>
      </c>
      <c r="D149" s="357">
        <v>41847427.595837094</v>
      </c>
      <c r="E149" s="353">
        <v>30772771.949000001</v>
      </c>
      <c r="F149" s="353">
        <v>107149</v>
      </c>
      <c r="G149" s="357">
        <v>15375615.940254452</v>
      </c>
      <c r="H149" s="353">
        <v>11306556.939999999</v>
      </c>
      <c r="I149" s="353">
        <v>399090</v>
      </c>
      <c r="J149" s="357">
        <v>57223043.536091551</v>
      </c>
      <c r="K149" s="353">
        <v>42079328.888999999</v>
      </c>
      <c r="L149" s="353">
        <v>105467</v>
      </c>
      <c r="M149" s="357">
        <v>15448876.103729099</v>
      </c>
      <c r="N149" s="353">
        <v>11360429.267000001</v>
      </c>
      <c r="O149" s="353">
        <v>76753</v>
      </c>
      <c r="P149" s="357">
        <v>11134519.894745409</v>
      </c>
      <c r="Q149" s="353">
        <v>8187839.9979999997</v>
      </c>
      <c r="R149" s="353">
        <v>182220</v>
      </c>
      <c r="S149" s="357">
        <v>26583395.998474505</v>
      </c>
      <c r="T149" s="353">
        <v>19548269.265000001</v>
      </c>
      <c r="U149" s="353">
        <v>397408</v>
      </c>
      <c r="V149" s="357">
        <v>57296303.6995662</v>
      </c>
      <c r="W149" s="353">
        <v>42133201.215999998</v>
      </c>
      <c r="X149" s="353">
        <v>183902</v>
      </c>
      <c r="Y149" s="357">
        <v>26510135.834999863</v>
      </c>
      <c r="Z149" s="353">
        <v>19494396.938000001</v>
      </c>
      <c r="AA149" s="353">
        <v>581310</v>
      </c>
      <c r="AB149" s="357">
        <v>83806439.53456606</v>
      </c>
      <c r="AC149" s="353">
        <v>61627598.153999999</v>
      </c>
    </row>
    <row r="150" spans="2:29" hidden="1" outlineLevel="1" x14ac:dyDescent="0.25">
      <c r="B150" s="352">
        <v>43070</v>
      </c>
      <c r="C150" s="353">
        <v>292377</v>
      </c>
      <c r="D150" s="357">
        <v>41880326.516048968</v>
      </c>
      <c r="E150" s="353">
        <v>30842449.318</v>
      </c>
      <c r="F150" s="353">
        <v>107133</v>
      </c>
      <c r="G150" s="357">
        <v>15352022.29937933</v>
      </c>
      <c r="H150" s="353">
        <v>11305880.567</v>
      </c>
      <c r="I150" s="353">
        <v>399510</v>
      </c>
      <c r="J150" s="357">
        <v>57232348.815428294</v>
      </c>
      <c r="K150" s="353">
        <v>42148329.884999998</v>
      </c>
      <c r="L150" s="353">
        <v>105470</v>
      </c>
      <c r="M150" s="357">
        <v>15367751.475985255</v>
      </c>
      <c r="N150" s="353">
        <v>11317464.199999999</v>
      </c>
      <c r="O150" s="353">
        <v>76834</v>
      </c>
      <c r="P150" s="357">
        <v>11114261.170924706</v>
      </c>
      <c r="Q150" s="353">
        <v>8185013.4749999996</v>
      </c>
      <c r="R150" s="353">
        <v>182304</v>
      </c>
      <c r="S150" s="357">
        <v>26482012.64690996</v>
      </c>
      <c r="T150" s="353">
        <v>19502477.675000001</v>
      </c>
      <c r="U150" s="353">
        <v>397847</v>
      </c>
      <c r="V150" s="357">
        <v>57248077.992034219</v>
      </c>
      <c r="W150" s="353">
        <v>42159913.517999999</v>
      </c>
      <c r="X150" s="353">
        <v>183967</v>
      </c>
      <c r="Y150" s="357">
        <v>26466283.470304035</v>
      </c>
      <c r="Z150" s="353">
        <v>19490894.041999999</v>
      </c>
      <c r="AA150" s="353">
        <v>581814</v>
      </c>
      <c r="AB150" s="357">
        <v>83714361.462338254</v>
      </c>
      <c r="AC150" s="353">
        <v>61650807.560000002</v>
      </c>
    </row>
    <row r="151" spans="2:29" collapsed="1" x14ac:dyDescent="0.25">
      <c r="B151" s="355" t="s">
        <v>708</v>
      </c>
      <c r="C151" s="356">
        <v>291754</v>
      </c>
      <c r="D151" s="358">
        <v>41752709.245959051</v>
      </c>
      <c r="E151" s="356"/>
      <c r="F151" s="356">
        <v>107694.83333333333</v>
      </c>
      <c r="G151" s="358">
        <v>15424308.336955743</v>
      </c>
      <c r="H151" s="356"/>
      <c r="I151" s="356">
        <v>399448.83333333331</v>
      </c>
      <c r="J151" s="358">
        <v>57177017.582914777</v>
      </c>
      <c r="K151" s="356"/>
      <c r="L151" s="356">
        <v>105581.83333333333</v>
      </c>
      <c r="M151" s="358">
        <v>15391977.853670776</v>
      </c>
      <c r="N151" s="356"/>
      <c r="O151" s="356">
        <v>76434.166666666672</v>
      </c>
      <c r="P151" s="358">
        <v>11074890.566757765</v>
      </c>
      <c r="Q151" s="356"/>
      <c r="R151" s="356">
        <v>182016</v>
      </c>
      <c r="S151" s="358">
        <v>26466868.420428541</v>
      </c>
      <c r="T151" s="356"/>
      <c r="U151" s="356">
        <v>397335.83333333331</v>
      </c>
      <c r="V151" s="358">
        <v>57144687.099629819</v>
      </c>
      <c r="W151" s="356"/>
      <c r="X151" s="356">
        <v>184129</v>
      </c>
      <c r="Y151" s="358">
        <v>26499198.903713506</v>
      </c>
      <c r="Z151" s="356"/>
      <c r="AA151" s="356">
        <v>581464.83333333337</v>
      </c>
      <c r="AB151" s="358">
        <v>83643886.003343329</v>
      </c>
      <c r="AC151" s="356"/>
    </row>
    <row r="152" spans="2:29" hidden="1" outlineLevel="1" x14ac:dyDescent="0.25">
      <c r="B152" s="352">
        <v>43101</v>
      </c>
      <c r="C152" s="353">
        <v>292583</v>
      </c>
      <c r="D152" s="357">
        <v>41660162.97144752</v>
      </c>
      <c r="E152" s="353">
        <v>30821601.517000001</v>
      </c>
      <c r="F152" s="353">
        <v>107127</v>
      </c>
      <c r="G152" s="357">
        <v>15262038.021114049</v>
      </c>
      <c r="H152" s="353">
        <v>11291373.357000001</v>
      </c>
      <c r="I152" s="353">
        <v>399710</v>
      </c>
      <c r="J152" s="357">
        <v>56922200.992561571</v>
      </c>
      <c r="K152" s="353">
        <v>42112974.873999998</v>
      </c>
      <c r="L152" s="353">
        <v>105437</v>
      </c>
      <c r="M152" s="357">
        <v>15293722.713434204</v>
      </c>
      <c r="N152" s="353">
        <v>11314814.767000001</v>
      </c>
      <c r="O152" s="353">
        <v>76961</v>
      </c>
      <c r="P152" s="357">
        <v>11094428.348382793</v>
      </c>
      <c r="Q152" s="353">
        <v>8208034.3720000004</v>
      </c>
      <c r="R152" s="353">
        <v>182398</v>
      </c>
      <c r="S152" s="357">
        <v>26388151.061816998</v>
      </c>
      <c r="T152" s="353">
        <v>19522849.138999999</v>
      </c>
      <c r="U152" s="353">
        <v>398020</v>
      </c>
      <c r="V152" s="357">
        <v>56953885.684881724</v>
      </c>
      <c r="W152" s="353">
        <v>42136416.284000002</v>
      </c>
      <c r="X152" s="353">
        <v>184088</v>
      </c>
      <c r="Y152" s="357">
        <v>26356466.369496845</v>
      </c>
      <c r="Z152" s="353">
        <v>19499407.728999998</v>
      </c>
      <c r="AA152" s="353">
        <v>582108</v>
      </c>
      <c r="AB152" s="357">
        <v>83310352.054378569</v>
      </c>
      <c r="AC152" s="353">
        <v>61635824.012999997</v>
      </c>
    </row>
    <row r="153" spans="2:29" hidden="1" outlineLevel="1" x14ac:dyDescent="0.25">
      <c r="B153" s="352">
        <v>43132</v>
      </c>
      <c r="C153" s="353">
        <v>293042</v>
      </c>
      <c r="D153" s="357">
        <v>41730380.48872748</v>
      </c>
      <c r="E153" s="353">
        <v>30887435.579</v>
      </c>
      <c r="F153" s="353">
        <v>107132</v>
      </c>
      <c r="G153" s="357">
        <v>15272029.307584453</v>
      </c>
      <c r="H153" s="353">
        <v>11303846.642999999</v>
      </c>
      <c r="I153" s="353">
        <v>400174</v>
      </c>
      <c r="J153" s="357">
        <v>57002409.796311937</v>
      </c>
      <c r="K153" s="353">
        <v>42191282.222000003</v>
      </c>
      <c r="L153" s="353">
        <v>105456</v>
      </c>
      <c r="M153" s="357">
        <v>15323337.534496633</v>
      </c>
      <c r="N153" s="353">
        <v>11341823.280999999</v>
      </c>
      <c r="O153" s="353">
        <v>77084</v>
      </c>
      <c r="P153" s="357">
        <v>11092627.825350506</v>
      </c>
      <c r="Q153" s="353">
        <v>8210393.0839999998</v>
      </c>
      <c r="R153" s="353">
        <v>182540</v>
      </c>
      <c r="S153" s="357">
        <v>26415965.35984714</v>
      </c>
      <c r="T153" s="353">
        <v>19552216.364999998</v>
      </c>
      <c r="U153" s="353">
        <v>398498</v>
      </c>
      <c r="V153" s="357">
        <v>57053718.023224115</v>
      </c>
      <c r="W153" s="353">
        <v>42229258.859999999</v>
      </c>
      <c r="X153" s="353">
        <v>184216</v>
      </c>
      <c r="Y153" s="357">
        <v>26364657.132934958</v>
      </c>
      <c r="Z153" s="353">
        <v>19514239.727000002</v>
      </c>
      <c r="AA153" s="353">
        <v>582714</v>
      </c>
      <c r="AB153" s="357">
        <v>83418375.156159073</v>
      </c>
      <c r="AC153" s="353">
        <v>61743498.586999997</v>
      </c>
    </row>
    <row r="154" spans="2:29" hidden="1" outlineLevel="1" x14ac:dyDescent="0.25">
      <c r="B154" s="352">
        <v>43160</v>
      </c>
      <c r="C154" s="353">
        <v>293567</v>
      </c>
      <c r="D154" s="357">
        <v>41812562.51429148</v>
      </c>
      <c r="E154" s="353">
        <v>31011594.394000001</v>
      </c>
      <c r="F154" s="353">
        <v>107103</v>
      </c>
      <c r="G154" s="357">
        <v>15256630.707201937</v>
      </c>
      <c r="H154" s="353">
        <v>11315557.211999999</v>
      </c>
      <c r="I154" s="353">
        <v>400670</v>
      </c>
      <c r="J154" s="357">
        <v>57069193.221493416</v>
      </c>
      <c r="K154" s="353">
        <v>42327151.605999999</v>
      </c>
      <c r="L154" s="353">
        <v>105616</v>
      </c>
      <c r="M154" s="357">
        <v>15320735.915242001</v>
      </c>
      <c r="N154" s="353">
        <v>11363102.844000001</v>
      </c>
      <c r="O154" s="353">
        <v>77234</v>
      </c>
      <c r="P154" s="357">
        <v>11129593.57943406</v>
      </c>
      <c r="Q154" s="353">
        <v>8254611.0810000002</v>
      </c>
      <c r="R154" s="353">
        <v>182850</v>
      </c>
      <c r="S154" s="357">
        <v>26450329.494676061</v>
      </c>
      <c r="T154" s="353">
        <v>19617713.925000001</v>
      </c>
      <c r="U154" s="353">
        <v>399183</v>
      </c>
      <c r="V154" s="357">
        <v>57133298.429533474</v>
      </c>
      <c r="W154" s="353">
        <v>42374697.237999998</v>
      </c>
      <c r="X154" s="353">
        <v>184337</v>
      </c>
      <c r="Y154" s="357">
        <v>26386224.286635995</v>
      </c>
      <c r="Z154" s="353">
        <v>19570168.293000001</v>
      </c>
      <c r="AA154" s="353">
        <v>583520</v>
      </c>
      <c r="AB154" s="357">
        <v>83519522.716169477</v>
      </c>
      <c r="AC154" s="353">
        <v>61944865.531000003</v>
      </c>
    </row>
    <row r="155" spans="2:29" hidden="1" outlineLevel="1" x14ac:dyDescent="0.25">
      <c r="B155" s="352">
        <v>43191</v>
      </c>
      <c r="C155" s="353">
        <v>294247</v>
      </c>
      <c r="D155" s="357">
        <v>41754689.384982958</v>
      </c>
      <c r="E155" s="353">
        <v>31066575.741</v>
      </c>
      <c r="F155" s="353">
        <v>107208</v>
      </c>
      <c r="G155" s="357">
        <v>15223337.487429468</v>
      </c>
      <c r="H155" s="353">
        <v>11326559.341</v>
      </c>
      <c r="I155" s="353">
        <v>401455</v>
      </c>
      <c r="J155" s="357">
        <v>56978026.872412421</v>
      </c>
      <c r="K155" s="353">
        <v>42393135.082000002</v>
      </c>
      <c r="L155" s="353">
        <v>105655</v>
      </c>
      <c r="M155" s="357">
        <v>15213551.093251249</v>
      </c>
      <c r="N155" s="353">
        <v>11319278.009</v>
      </c>
      <c r="O155" s="353">
        <v>77305</v>
      </c>
      <c r="P155" s="357">
        <v>11045771.897955392</v>
      </c>
      <c r="Q155" s="353">
        <v>8218341.8039999995</v>
      </c>
      <c r="R155" s="353">
        <v>182960</v>
      </c>
      <c r="S155" s="357">
        <v>26259322.991206639</v>
      </c>
      <c r="T155" s="353">
        <v>19537619.813000001</v>
      </c>
      <c r="U155" s="353">
        <v>399902</v>
      </c>
      <c r="V155" s="357">
        <v>56968240.478234202</v>
      </c>
      <c r="W155" s="353">
        <v>42385853.75</v>
      </c>
      <c r="X155" s="353">
        <v>184513</v>
      </c>
      <c r="Y155" s="357">
        <v>26269109.385384858</v>
      </c>
      <c r="Z155" s="353">
        <v>19544901.145</v>
      </c>
      <c r="AA155" s="353">
        <v>584415</v>
      </c>
      <c r="AB155" s="357">
        <v>83237349.863619059</v>
      </c>
      <c r="AC155" s="353">
        <v>61930754.895000003</v>
      </c>
    </row>
    <row r="156" spans="2:29" hidden="1" outlineLevel="1" x14ac:dyDescent="0.25">
      <c r="B156" s="352">
        <v>43221</v>
      </c>
      <c r="C156" s="353">
        <v>294732</v>
      </c>
      <c r="D156" s="357">
        <v>41690349.911018692</v>
      </c>
      <c r="E156" s="353">
        <v>31105473.313000001</v>
      </c>
      <c r="F156" s="353">
        <v>107281</v>
      </c>
      <c r="G156" s="357">
        <v>15192022.1020218</v>
      </c>
      <c r="H156" s="353">
        <v>11334878.193</v>
      </c>
      <c r="I156" s="353">
        <v>402013</v>
      </c>
      <c r="J156" s="357">
        <v>56882372.013040498</v>
      </c>
      <c r="K156" s="353">
        <v>42440351.505999997</v>
      </c>
      <c r="L156" s="353">
        <v>105715</v>
      </c>
      <c r="M156" s="357">
        <v>15186442.385610268</v>
      </c>
      <c r="N156" s="353">
        <v>11330715.126</v>
      </c>
      <c r="O156" s="353">
        <v>77366</v>
      </c>
      <c r="P156" s="357">
        <v>11034872.70379943</v>
      </c>
      <c r="Q156" s="353">
        <v>8233198.7889999999</v>
      </c>
      <c r="R156" s="353">
        <v>183081</v>
      </c>
      <c r="S156" s="357">
        <v>26221315.089409698</v>
      </c>
      <c r="T156" s="353">
        <v>19563913.914999999</v>
      </c>
      <c r="U156" s="353">
        <v>400447</v>
      </c>
      <c r="V156" s="357">
        <v>56876792.296628959</v>
      </c>
      <c r="W156" s="353">
        <v>42436188.439000003</v>
      </c>
      <c r="X156" s="353">
        <v>184647</v>
      </c>
      <c r="Y156" s="357">
        <v>26226894.805821232</v>
      </c>
      <c r="Z156" s="353">
        <v>19568076.982000001</v>
      </c>
      <c r="AA156" s="353">
        <v>585094</v>
      </c>
      <c r="AB156" s="357">
        <v>83103687.102450192</v>
      </c>
      <c r="AC156" s="353">
        <v>62004265.420999996</v>
      </c>
    </row>
    <row r="157" spans="2:29" hidden="1" outlineLevel="1" x14ac:dyDescent="0.25">
      <c r="B157" s="352">
        <v>43252</v>
      </c>
      <c r="C157" s="353">
        <v>295169</v>
      </c>
      <c r="D157" s="357">
        <v>41692021.825152174</v>
      </c>
      <c r="E157" s="353">
        <v>31138783.287999999</v>
      </c>
      <c r="F157" s="353">
        <v>107282</v>
      </c>
      <c r="G157" s="357">
        <v>15164596.214059997</v>
      </c>
      <c r="H157" s="353">
        <v>11326077.616</v>
      </c>
      <c r="I157" s="353">
        <v>402451</v>
      </c>
      <c r="J157" s="357">
        <v>56856618.039212175</v>
      </c>
      <c r="K157" s="353">
        <v>42464860.903999999</v>
      </c>
      <c r="L157" s="353">
        <v>105807</v>
      </c>
      <c r="M157" s="357">
        <v>15230404.839324802</v>
      </c>
      <c r="N157" s="353">
        <v>11375228.518999999</v>
      </c>
      <c r="O157" s="353">
        <v>77464</v>
      </c>
      <c r="P157" s="357">
        <v>11047730.568985896</v>
      </c>
      <c r="Q157" s="353">
        <v>8251288.2070000004</v>
      </c>
      <c r="R157" s="353">
        <v>183271</v>
      </c>
      <c r="S157" s="357">
        <v>26278135.4083107</v>
      </c>
      <c r="T157" s="353">
        <v>19626516.726</v>
      </c>
      <c r="U157" s="353">
        <v>400976</v>
      </c>
      <c r="V157" s="357">
        <v>56922426.664476976</v>
      </c>
      <c r="W157" s="353">
        <v>42514011.806999996</v>
      </c>
      <c r="X157" s="353">
        <v>184746</v>
      </c>
      <c r="Y157" s="357">
        <v>26212326.783045895</v>
      </c>
      <c r="Z157" s="353">
        <v>19577365.822999999</v>
      </c>
      <c r="AA157" s="353">
        <v>585722</v>
      </c>
      <c r="AB157" s="357">
        <v>83134753.447522879</v>
      </c>
      <c r="AC157" s="353">
        <v>62091377.630000003</v>
      </c>
    </row>
    <row r="158" spans="2:29" hidden="1" outlineLevel="1" x14ac:dyDescent="0.25">
      <c r="B158" s="352">
        <v>43282</v>
      </c>
      <c r="C158" s="353">
        <v>295634</v>
      </c>
      <c r="D158" s="357">
        <v>42620708.44501549</v>
      </c>
      <c r="E158" s="353">
        <v>31945149.120999999</v>
      </c>
      <c r="F158" s="353">
        <v>107234</v>
      </c>
      <c r="G158" s="357">
        <v>15458012.220665043</v>
      </c>
      <c r="H158" s="353">
        <v>11586116.785</v>
      </c>
      <c r="I158" s="353">
        <v>402868</v>
      </c>
      <c r="J158" s="357">
        <v>58078720.665680528</v>
      </c>
      <c r="K158" s="353">
        <v>43531265.906000003</v>
      </c>
      <c r="L158" s="353">
        <v>105788</v>
      </c>
      <c r="M158" s="357">
        <v>15493209.101953279</v>
      </c>
      <c r="N158" s="353">
        <v>11612497.614</v>
      </c>
      <c r="O158" s="353">
        <v>77547</v>
      </c>
      <c r="P158" s="357">
        <v>11283722.46290301</v>
      </c>
      <c r="Q158" s="353">
        <v>8457395.7090000007</v>
      </c>
      <c r="R158" s="353">
        <v>183335</v>
      </c>
      <c r="S158" s="357">
        <v>26776931.564856287</v>
      </c>
      <c r="T158" s="353">
        <v>20069893.322999999</v>
      </c>
      <c r="U158" s="353">
        <v>401422</v>
      </c>
      <c r="V158" s="357">
        <v>58113917.546968766</v>
      </c>
      <c r="W158" s="353">
        <v>43557646.734999999</v>
      </c>
      <c r="X158" s="353">
        <v>184781</v>
      </c>
      <c r="Y158" s="357">
        <v>26741734.683568053</v>
      </c>
      <c r="Z158" s="353">
        <v>20043512.493999999</v>
      </c>
      <c r="AA158" s="353">
        <v>586203</v>
      </c>
      <c r="AB158" s="357">
        <v>84855652.230536819</v>
      </c>
      <c r="AC158" s="353">
        <v>63601159.229000002</v>
      </c>
    </row>
    <row r="159" spans="2:29" hidden="1" outlineLevel="1" x14ac:dyDescent="0.25">
      <c r="B159" s="352">
        <v>43313</v>
      </c>
      <c r="C159" s="353">
        <v>295924</v>
      </c>
      <c r="D159" s="357">
        <v>42599469.056972757</v>
      </c>
      <c r="E159" s="353">
        <v>31984105.603999998</v>
      </c>
      <c r="F159" s="353">
        <v>107093</v>
      </c>
      <c r="G159" s="357">
        <v>15419995.181997024</v>
      </c>
      <c r="H159" s="353">
        <v>11577485.946</v>
      </c>
      <c r="I159" s="353">
        <v>403017</v>
      </c>
      <c r="J159" s="357">
        <v>58019464.238969781</v>
      </c>
      <c r="K159" s="353">
        <v>43561591.549999997</v>
      </c>
      <c r="L159" s="353">
        <v>105679</v>
      </c>
      <c r="M159" s="357">
        <v>15442593.269306639</v>
      </c>
      <c r="N159" s="353">
        <v>11594452.814999999</v>
      </c>
      <c r="O159" s="353">
        <v>77605</v>
      </c>
      <c r="P159" s="357">
        <v>11265467.571130801</v>
      </c>
      <c r="Q159" s="353">
        <v>8458225.2420000006</v>
      </c>
      <c r="R159" s="353">
        <v>183284</v>
      </c>
      <c r="S159" s="357">
        <v>26708060.840437438</v>
      </c>
      <c r="T159" s="353">
        <v>20052678.057</v>
      </c>
      <c r="U159" s="353">
        <v>401603</v>
      </c>
      <c r="V159" s="357">
        <v>58042062.326279394</v>
      </c>
      <c r="W159" s="353">
        <v>43578558.419</v>
      </c>
      <c r="X159" s="353">
        <v>184698</v>
      </c>
      <c r="Y159" s="357">
        <v>26685462.753127825</v>
      </c>
      <c r="Z159" s="353">
        <v>20035711.188000001</v>
      </c>
      <c r="AA159" s="353">
        <v>586301</v>
      </c>
      <c r="AB159" s="357">
        <v>84727525.079407215</v>
      </c>
      <c r="AC159" s="353">
        <v>63614269.607000001</v>
      </c>
    </row>
    <row r="160" spans="2:29" hidden="1" outlineLevel="1" x14ac:dyDescent="0.25">
      <c r="B160" s="352">
        <v>43344</v>
      </c>
      <c r="C160" s="353">
        <v>296093</v>
      </c>
      <c r="D160" s="357">
        <v>42490829.782844596</v>
      </c>
      <c r="E160" s="353">
        <v>32010968.695</v>
      </c>
      <c r="F160" s="353">
        <v>106961</v>
      </c>
      <c r="G160" s="357">
        <v>15352817.124553775</v>
      </c>
      <c r="H160" s="353">
        <v>11566226.192</v>
      </c>
      <c r="I160" s="353">
        <v>403054</v>
      </c>
      <c r="J160" s="357">
        <v>57843646.907398365</v>
      </c>
      <c r="K160" s="353">
        <v>43577194.887000002</v>
      </c>
      <c r="L160" s="353">
        <v>105529</v>
      </c>
      <c r="M160" s="357">
        <v>15389645.303796683</v>
      </c>
      <c r="N160" s="353">
        <v>11593971.136</v>
      </c>
      <c r="O160" s="353">
        <v>77584</v>
      </c>
      <c r="P160" s="357">
        <v>11218659.031820666</v>
      </c>
      <c r="Q160" s="353">
        <v>8451709.3430000003</v>
      </c>
      <c r="R160" s="353">
        <v>183113</v>
      </c>
      <c r="S160" s="357">
        <v>26608304.335617349</v>
      </c>
      <c r="T160" s="353">
        <v>20045680.478999998</v>
      </c>
      <c r="U160" s="353">
        <v>401622</v>
      </c>
      <c r="V160" s="357">
        <v>57880475.086641274</v>
      </c>
      <c r="W160" s="353">
        <v>43604939.831</v>
      </c>
      <c r="X160" s="353">
        <v>184545</v>
      </c>
      <c r="Y160" s="357">
        <v>26571476.15637444</v>
      </c>
      <c r="Z160" s="353">
        <v>20017935.535</v>
      </c>
      <c r="AA160" s="353">
        <v>586167</v>
      </c>
      <c r="AB160" s="357">
        <v>84451951.243015721</v>
      </c>
      <c r="AC160" s="353">
        <v>63622875.365999997</v>
      </c>
    </row>
    <row r="161" spans="2:29" hidden="1" outlineLevel="1" x14ac:dyDescent="0.25">
      <c r="B161" s="352">
        <v>43374</v>
      </c>
      <c r="C161" s="353">
        <v>296516</v>
      </c>
      <c r="D161" s="357">
        <v>42457108.508449443</v>
      </c>
      <c r="E161" s="353">
        <v>32102815.280999999</v>
      </c>
      <c r="F161" s="353">
        <v>106848</v>
      </c>
      <c r="G161" s="357">
        <v>15292294.547048857</v>
      </c>
      <c r="H161" s="353">
        <v>11562862.482000001</v>
      </c>
      <c r="I161" s="353">
        <v>403364</v>
      </c>
      <c r="J161" s="357">
        <v>57749403.055498302</v>
      </c>
      <c r="K161" s="353">
        <v>43665677.762999997</v>
      </c>
      <c r="L161" s="353">
        <v>105419</v>
      </c>
      <c r="M161" s="357">
        <v>15316709.417460334</v>
      </c>
      <c r="N161" s="353">
        <v>11581323.138</v>
      </c>
      <c r="O161" s="353">
        <v>77638</v>
      </c>
      <c r="P161" s="357">
        <v>11208725.348352103</v>
      </c>
      <c r="Q161" s="353">
        <v>8475180.0590000004</v>
      </c>
      <c r="R161" s="353">
        <v>183057</v>
      </c>
      <c r="S161" s="357">
        <v>26525434.765812434</v>
      </c>
      <c r="T161" s="353">
        <v>20056503.197000001</v>
      </c>
      <c r="U161" s="353">
        <v>401935</v>
      </c>
      <c r="V161" s="357">
        <v>57773817.925909773</v>
      </c>
      <c r="W161" s="353">
        <v>43684138.419</v>
      </c>
      <c r="X161" s="353">
        <v>184486</v>
      </c>
      <c r="Y161" s="357">
        <v>26501019.89540096</v>
      </c>
      <c r="Z161" s="353">
        <v>20038042.541000001</v>
      </c>
      <c r="AA161" s="353">
        <v>586421</v>
      </c>
      <c r="AB161" s="357">
        <v>84274837.821310729</v>
      </c>
      <c r="AC161" s="353">
        <v>63722180.960000001</v>
      </c>
    </row>
    <row r="162" spans="2:29" hidden="1" outlineLevel="1" x14ac:dyDescent="0.25">
      <c r="B162" s="352">
        <v>43405</v>
      </c>
      <c r="C162" s="353">
        <v>297058</v>
      </c>
      <c r="D162" s="357">
        <v>42479914.566505656</v>
      </c>
      <c r="E162" s="353">
        <v>32118362.077</v>
      </c>
      <c r="F162" s="353">
        <v>106809</v>
      </c>
      <c r="G162" s="357">
        <v>15261768.271142263</v>
      </c>
      <c r="H162" s="353">
        <v>11539171.024</v>
      </c>
      <c r="I162" s="353">
        <v>403867</v>
      </c>
      <c r="J162" s="357">
        <v>57741682.837647922</v>
      </c>
      <c r="K162" s="353">
        <v>43657533.101000004</v>
      </c>
      <c r="L162" s="353">
        <v>105310</v>
      </c>
      <c r="M162" s="357">
        <v>15298230.559170408</v>
      </c>
      <c r="N162" s="353">
        <v>11566739.558</v>
      </c>
      <c r="O162" s="353">
        <v>77607</v>
      </c>
      <c r="P162" s="357">
        <v>11195032.615526233</v>
      </c>
      <c r="Q162" s="353">
        <v>8464379.3350000009</v>
      </c>
      <c r="R162" s="353">
        <v>182917</v>
      </c>
      <c r="S162" s="357">
        <v>26493263.174696643</v>
      </c>
      <c r="T162" s="353">
        <v>20031118.892999999</v>
      </c>
      <c r="U162" s="353">
        <v>402368</v>
      </c>
      <c r="V162" s="357">
        <v>57778145.125676066</v>
      </c>
      <c r="W162" s="353">
        <v>43685101.634999998</v>
      </c>
      <c r="X162" s="353">
        <v>184416</v>
      </c>
      <c r="Y162" s="357">
        <v>26456800.8866685</v>
      </c>
      <c r="Z162" s="353">
        <v>20003550.359000001</v>
      </c>
      <c r="AA162" s="353">
        <v>586784</v>
      </c>
      <c r="AB162" s="357">
        <v>84234946.012344554</v>
      </c>
      <c r="AC162" s="353">
        <v>63688651.994000003</v>
      </c>
    </row>
    <row r="163" spans="2:29" hidden="1" outlineLevel="1" x14ac:dyDescent="0.25">
      <c r="B163" s="352">
        <v>43435</v>
      </c>
      <c r="C163" s="353">
        <v>297497</v>
      </c>
      <c r="D163" s="357">
        <v>42601894.4782492</v>
      </c>
      <c r="E163" s="353">
        <v>32178023.912999999</v>
      </c>
      <c r="F163" s="353">
        <v>106851</v>
      </c>
      <c r="G163" s="357">
        <v>15306690.32499994</v>
      </c>
      <c r="H163" s="353">
        <v>11561435.314999999</v>
      </c>
      <c r="I163" s="353">
        <v>404348</v>
      </c>
      <c r="J163" s="357">
        <v>57908584.803249136</v>
      </c>
      <c r="K163" s="353">
        <v>43739459.228</v>
      </c>
      <c r="L163" s="353">
        <v>105302</v>
      </c>
      <c r="M163" s="357">
        <v>15383999.197817681</v>
      </c>
      <c r="N163" s="353">
        <v>11619828.182</v>
      </c>
      <c r="O163" s="353">
        <v>77609</v>
      </c>
      <c r="P163" s="357">
        <v>11240856.475244949</v>
      </c>
      <c r="Q163" s="353">
        <v>8490433.4159999993</v>
      </c>
      <c r="R163" s="353">
        <v>182911</v>
      </c>
      <c r="S163" s="357">
        <v>26624855.673062634</v>
      </c>
      <c r="T163" s="353">
        <v>20110261.598000001</v>
      </c>
      <c r="U163" s="353">
        <v>402799</v>
      </c>
      <c r="V163" s="357">
        <v>57985893.676066883</v>
      </c>
      <c r="W163" s="353">
        <v>43797852.094999999</v>
      </c>
      <c r="X163" s="353">
        <v>184460</v>
      </c>
      <c r="Y163" s="357">
        <v>26547546.80024489</v>
      </c>
      <c r="Z163" s="353">
        <v>20051868.730999999</v>
      </c>
      <c r="AA163" s="353">
        <v>587259</v>
      </c>
      <c r="AB163" s="357">
        <v>84533440.476311773</v>
      </c>
      <c r="AC163" s="353">
        <v>63849720.825999998</v>
      </c>
    </row>
    <row r="164" spans="2:29" collapsed="1" x14ac:dyDescent="0.25">
      <c r="B164" s="355" t="s">
        <v>709</v>
      </c>
      <c r="C164" s="356">
        <v>295171.83333333331</v>
      </c>
      <c r="D164" s="358">
        <v>42132507.661138125</v>
      </c>
      <c r="E164" s="356"/>
      <c r="F164" s="356">
        <v>107077.41666666667</v>
      </c>
      <c r="G164" s="358">
        <v>15288519.292484885</v>
      </c>
      <c r="H164" s="356"/>
      <c r="I164" s="356">
        <v>402249.25</v>
      </c>
      <c r="J164" s="358">
        <v>57421026.953622997</v>
      </c>
      <c r="K164" s="356"/>
      <c r="L164" s="356">
        <v>105559.41666666667</v>
      </c>
      <c r="M164" s="358">
        <v>15324381.777572013</v>
      </c>
      <c r="N164" s="356"/>
      <c r="O164" s="356">
        <v>77417</v>
      </c>
      <c r="P164" s="358">
        <v>11154790.702407153</v>
      </c>
      <c r="Q164" s="356"/>
      <c r="R164" s="356">
        <v>182976.41666666666</v>
      </c>
      <c r="S164" s="358">
        <v>26479172.479979169</v>
      </c>
      <c r="T164" s="356"/>
      <c r="U164" s="356">
        <v>400731.25</v>
      </c>
      <c r="V164" s="358">
        <v>57456889.438710131</v>
      </c>
      <c r="W164" s="356"/>
      <c r="X164" s="356">
        <v>184494.41666666666</v>
      </c>
      <c r="Y164" s="358">
        <v>26443309.994892035</v>
      </c>
      <c r="Z164" s="356"/>
      <c r="AA164" s="356">
        <v>585225.66666666663</v>
      </c>
      <c r="AB164" s="358">
        <v>83900199.433602184</v>
      </c>
      <c r="AC164" s="356"/>
    </row>
    <row r="165" spans="2:29" hidden="1" outlineLevel="1" x14ac:dyDescent="0.25">
      <c r="B165" s="352">
        <v>43466</v>
      </c>
      <c r="C165" s="353">
        <v>298080</v>
      </c>
      <c r="D165" s="357">
        <v>42682242.178853884</v>
      </c>
      <c r="E165" s="353">
        <v>32274734.541999999</v>
      </c>
      <c r="F165" s="353">
        <v>106872</v>
      </c>
      <c r="G165" s="357">
        <v>15299483.3147517</v>
      </c>
      <c r="H165" s="353">
        <v>11568904.007999999</v>
      </c>
      <c r="I165" s="353">
        <v>404952</v>
      </c>
      <c r="J165" s="357">
        <v>57981725.493605584</v>
      </c>
      <c r="K165" s="353">
        <v>43843638.549999997</v>
      </c>
      <c r="L165" s="353">
        <v>105208</v>
      </c>
      <c r="M165" s="357">
        <v>15305794.071384104</v>
      </c>
      <c r="N165" s="353">
        <v>11573675.969000001</v>
      </c>
      <c r="O165" s="353">
        <v>77670</v>
      </c>
      <c r="P165" s="357">
        <v>11214395.962262886</v>
      </c>
      <c r="Q165" s="353">
        <v>8479911.8849999998</v>
      </c>
      <c r="R165" s="353">
        <v>182878</v>
      </c>
      <c r="S165" s="357">
        <v>26520190.033646993</v>
      </c>
      <c r="T165" s="353">
        <v>20053587.853999998</v>
      </c>
      <c r="U165" s="353">
        <v>403288</v>
      </c>
      <c r="V165" s="357">
        <v>57988036.250237986</v>
      </c>
      <c r="W165" s="353">
        <v>43848410.511</v>
      </c>
      <c r="X165" s="353">
        <v>184542</v>
      </c>
      <c r="Y165" s="357">
        <v>26513879.277014587</v>
      </c>
      <c r="Z165" s="353">
        <v>20048815.892999999</v>
      </c>
      <c r="AA165" s="353">
        <v>587830</v>
      </c>
      <c r="AB165" s="357">
        <v>84501915.527252585</v>
      </c>
      <c r="AC165" s="353">
        <v>63897226.403999999</v>
      </c>
    </row>
    <row r="166" spans="2:29" hidden="1" outlineLevel="1" x14ac:dyDescent="0.25">
      <c r="B166" s="352">
        <v>43497</v>
      </c>
      <c r="C166" s="353">
        <v>298635</v>
      </c>
      <c r="D166" s="357">
        <v>42676372.831040852</v>
      </c>
      <c r="E166" s="353">
        <v>32285206.327</v>
      </c>
      <c r="F166" s="353">
        <v>106895</v>
      </c>
      <c r="G166" s="357">
        <v>15286001.001965368</v>
      </c>
      <c r="H166" s="353">
        <v>11564049.696</v>
      </c>
      <c r="I166" s="353">
        <v>405530</v>
      </c>
      <c r="J166" s="357">
        <v>57962373.833006226</v>
      </c>
      <c r="K166" s="353">
        <v>43849256.023000002</v>
      </c>
      <c r="L166" s="353">
        <v>105188</v>
      </c>
      <c r="M166" s="357">
        <v>15290389.035641467</v>
      </c>
      <c r="N166" s="353">
        <v>11567369.298</v>
      </c>
      <c r="O166" s="353">
        <v>77752</v>
      </c>
      <c r="P166" s="357">
        <v>11229004.651255446</v>
      </c>
      <c r="Q166" s="353">
        <v>8494881.5460000001</v>
      </c>
      <c r="R166" s="353">
        <v>182940</v>
      </c>
      <c r="S166" s="357">
        <v>26519393.686896913</v>
      </c>
      <c r="T166" s="353">
        <v>20062250.844000001</v>
      </c>
      <c r="U166" s="353">
        <v>403823</v>
      </c>
      <c r="V166" s="357">
        <v>57966761.866682321</v>
      </c>
      <c r="W166" s="353">
        <v>43852575.625</v>
      </c>
      <c r="X166" s="353">
        <v>184647</v>
      </c>
      <c r="Y166" s="357">
        <v>26515005.653220814</v>
      </c>
      <c r="Z166" s="353">
        <v>20058931.241999999</v>
      </c>
      <c r="AA166" s="353">
        <v>588470</v>
      </c>
      <c r="AB166" s="357">
        <v>84481767.519903138</v>
      </c>
      <c r="AC166" s="353">
        <v>63911506.866999999</v>
      </c>
    </row>
    <row r="167" spans="2:29" hidden="1" outlineLevel="1" x14ac:dyDescent="0.25">
      <c r="B167" s="352">
        <v>43525</v>
      </c>
      <c r="C167" s="353">
        <v>299080</v>
      </c>
      <c r="D167" s="357">
        <v>42566653.424914993</v>
      </c>
      <c r="E167" s="353">
        <v>32354929.274999999</v>
      </c>
      <c r="F167" s="353">
        <v>106958</v>
      </c>
      <c r="G167" s="357">
        <v>15235199.411880979</v>
      </c>
      <c r="H167" s="353">
        <v>11580280.801999999</v>
      </c>
      <c r="I167" s="353">
        <v>406038</v>
      </c>
      <c r="J167" s="357">
        <v>57801852.836795978</v>
      </c>
      <c r="K167" s="353">
        <v>43935210.077</v>
      </c>
      <c r="L167" s="353">
        <v>105239</v>
      </c>
      <c r="M167" s="357">
        <v>15198301.331200961</v>
      </c>
      <c r="N167" s="353">
        <v>11552234.557</v>
      </c>
      <c r="O167" s="353">
        <v>77866</v>
      </c>
      <c r="P167" s="357">
        <v>11198760.71810174</v>
      </c>
      <c r="Q167" s="353">
        <v>8512182.2329999991</v>
      </c>
      <c r="R167" s="353">
        <v>183105</v>
      </c>
      <c r="S167" s="357">
        <v>26397062.049302701</v>
      </c>
      <c r="T167" s="353">
        <v>20064416.789999999</v>
      </c>
      <c r="U167" s="353">
        <v>404319</v>
      </c>
      <c r="V167" s="357">
        <v>57764954.756115958</v>
      </c>
      <c r="W167" s="353">
        <v>43907163.832000002</v>
      </c>
      <c r="X167" s="353">
        <v>184824</v>
      </c>
      <c r="Y167" s="357">
        <v>26433960.129982721</v>
      </c>
      <c r="Z167" s="353">
        <v>20092463.035</v>
      </c>
      <c r="AA167" s="353">
        <v>589143</v>
      </c>
      <c r="AB167" s="357">
        <v>84198914.886098683</v>
      </c>
      <c r="AC167" s="353">
        <v>63999626.866999999</v>
      </c>
    </row>
    <row r="168" spans="2:29" hidden="1" outlineLevel="1" x14ac:dyDescent="0.25">
      <c r="B168" s="352">
        <v>43556</v>
      </c>
      <c r="C168" s="353">
        <v>299513</v>
      </c>
      <c r="D168" s="357">
        <v>42465135.997974753</v>
      </c>
      <c r="E168" s="353">
        <v>32361884.473999999</v>
      </c>
      <c r="F168" s="353">
        <v>106957</v>
      </c>
      <c r="G168" s="357">
        <v>15167401.147988781</v>
      </c>
      <c r="H168" s="353">
        <v>11558792.222999999</v>
      </c>
      <c r="I168" s="353">
        <v>406470</v>
      </c>
      <c r="J168" s="357">
        <v>57632537.145963535</v>
      </c>
      <c r="K168" s="353">
        <v>43920676.696999997</v>
      </c>
      <c r="L168" s="353">
        <v>105215</v>
      </c>
      <c r="M168" s="357">
        <v>15157728.809410127</v>
      </c>
      <c r="N168" s="353">
        <v>11551421.115</v>
      </c>
      <c r="O168" s="353">
        <v>77900</v>
      </c>
      <c r="P168" s="357">
        <v>11118760.621215204</v>
      </c>
      <c r="Q168" s="353">
        <v>8473399.1370000001</v>
      </c>
      <c r="R168" s="353">
        <v>183115</v>
      </c>
      <c r="S168" s="357">
        <v>26276489.430625331</v>
      </c>
      <c r="T168" s="353">
        <v>20024820.252</v>
      </c>
      <c r="U168" s="353">
        <v>404728</v>
      </c>
      <c r="V168" s="357">
        <v>57622864.807384878</v>
      </c>
      <c r="W168" s="353">
        <v>43913305.589000002</v>
      </c>
      <c r="X168" s="353">
        <v>184857</v>
      </c>
      <c r="Y168" s="357">
        <v>26286161.769203983</v>
      </c>
      <c r="Z168" s="353">
        <v>20032191.359999999</v>
      </c>
      <c r="AA168" s="353">
        <v>589585</v>
      </c>
      <c r="AB168" s="357">
        <v>83909026.576588869</v>
      </c>
      <c r="AC168" s="353">
        <v>63945496.949000001</v>
      </c>
    </row>
    <row r="169" spans="2:29" hidden="1" outlineLevel="1" x14ac:dyDescent="0.25">
      <c r="B169" s="352">
        <v>43586</v>
      </c>
      <c r="C169" s="353">
        <v>299970</v>
      </c>
      <c r="D169" s="357">
        <v>42286065.433987796</v>
      </c>
      <c r="E169" s="353">
        <v>32420201.219000001</v>
      </c>
      <c r="F169" s="353">
        <v>107023</v>
      </c>
      <c r="G169" s="357">
        <v>15089985.598054811</v>
      </c>
      <c r="H169" s="353">
        <v>11569304.556</v>
      </c>
      <c r="I169" s="353">
        <v>406993</v>
      </c>
      <c r="J169" s="357">
        <v>57376051.0320426</v>
      </c>
      <c r="K169" s="353">
        <v>43989505.774999999</v>
      </c>
      <c r="L169" s="353">
        <v>105207</v>
      </c>
      <c r="M169" s="357">
        <v>15043120.37304155</v>
      </c>
      <c r="N169" s="353">
        <v>11533373.57</v>
      </c>
      <c r="O169" s="353">
        <v>77981</v>
      </c>
      <c r="P169" s="357">
        <v>11110652.942257583</v>
      </c>
      <c r="Q169" s="353">
        <v>8518399.6280000005</v>
      </c>
      <c r="R169" s="353">
        <v>183188</v>
      </c>
      <c r="S169" s="357">
        <v>26153773.315299135</v>
      </c>
      <c r="T169" s="353">
        <v>20051773.197999999</v>
      </c>
      <c r="U169" s="353">
        <v>405177</v>
      </c>
      <c r="V169" s="357">
        <v>57329185.807029344</v>
      </c>
      <c r="W169" s="353">
        <v>43953574.788999997</v>
      </c>
      <c r="X169" s="353">
        <v>185004</v>
      </c>
      <c r="Y169" s="357">
        <v>26200638.540312398</v>
      </c>
      <c r="Z169" s="353">
        <v>20087704.184</v>
      </c>
      <c r="AA169" s="353">
        <v>590181</v>
      </c>
      <c r="AB169" s="357">
        <v>83529824.347341731</v>
      </c>
      <c r="AC169" s="353">
        <v>64041278.972999997</v>
      </c>
    </row>
    <row r="170" spans="2:29" hidden="1" outlineLevel="1" x14ac:dyDescent="0.25">
      <c r="B170" s="352">
        <v>43617</v>
      </c>
      <c r="C170" s="353">
        <v>299952</v>
      </c>
      <c r="D170" s="357">
        <v>42227349.150646619</v>
      </c>
      <c r="E170" s="353">
        <v>32390976.789999999</v>
      </c>
      <c r="F170" s="353">
        <v>106910</v>
      </c>
      <c r="G170" s="357">
        <v>15069403.801423587</v>
      </c>
      <c r="H170" s="353">
        <v>11559160.558</v>
      </c>
      <c r="I170" s="353">
        <v>406862</v>
      </c>
      <c r="J170" s="357">
        <v>57296752.952070214</v>
      </c>
      <c r="K170" s="353">
        <v>43950137.347999997</v>
      </c>
      <c r="L170" s="353">
        <v>105150</v>
      </c>
      <c r="M170" s="357">
        <v>15049129.427654244</v>
      </c>
      <c r="N170" s="353">
        <v>11543608.865</v>
      </c>
      <c r="O170" s="353">
        <v>78001</v>
      </c>
      <c r="P170" s="357">
        <v>11075241.167342901</v>
      </c>
      <c r="Q170" s="353">
        <v>8495391.8920000009</v>
      </c>
      <c r="R170" s="353">
        <v>183151</v>
      </c>
      <c r="S170" s="357">
        <v>26124370.594997142</v>
      </c>
      <c r="T170" s="353">
        <v>20039000.756999999</v>
      </c>
      <c r="U170" s="353">
        <v>405102</v>
      </c>
      <c r="V170" s="357">
        <v>57276478.578300864</v>
      </c>
      <c r="W170" s="353">
        <v>43934585.655000001</v>
      </c>
      <c r="X170" s="353">
        <v>184911</v>
      </c>
      <c r="Y170" s="357">
        <v>26144644.968766492</v>
      </c>
      <c r="Z170" s="353">
        <v>20054552.449999999</v>
      </c>
      <c r="AA170" s="353">
        <v>590013</v>
      </c>
      <c r="AB170" s="357">
        <v>83421123.547067359</v>
      </c>
      <c r="AC170" s="353">
        <v>63989138.104999997</v>
      </c>
    </row>
    <row r="171" spans="2:29" hidden="1" outlineLevel="1" x14ac:dyDescent="0.25">
      <c r="B171" s="352">
        <v>43647</v>
      </c>
      <c r="C171" s="353">
        <v>300192</v>
      </c>
      <c r="D171" s="357">
        <v>43331294.006776422</v>
      </c>
      <c r="E171" s="353">
        <v>33312088.054000001</v>
      </c>
      <c r="F171" s="353">
        <v>106888</v>
      </c>
      <c r="G171" s="357">
        <v>15429192.705480451</v>
      </c>
      <c r="H171" s="353">
        <v>11861603.438999999</v>
      </c>
      <c r="I171" s="353">
        <v>407080</v>
      </c>
      <c r="J171" s="357">
        <v>58760486.712256864</v>
      </c>
      <c r="K171" s="353">
        <v>45173691.493000001</v>
      </c>
      <c r="L171" s="353">
        <v>105129</v>
      </c>
      <c r="M171" s="357">
        <v>15381233.337977409</v>
      </c>
      <c r="N171" s="353">
        <v>11824733.396</v>
      </c>
      <c r="O171" s="353">
        <v>78024</v>
      </c>
      <c r="P171" s="357">
        <v>11342752.3186605</v>
      </c>
      <c r="Q171" s="353">
        <v>8720043.3929999992</v>
      </c>
      <c r="R171" s="353">
        <v>183153</v>
      </c>
      <c r="S171" s="357">
        <v>26723985.656637911</v>
      </c>
      <c r="T171" s="353">
        <v>20544776.789000001</v>
      </c>
      <c r="U171" s="353">
        <v>405321</v>
      </c>
      <c r="V171" s="357">
        <v>58712527.344753832</v>
      </c>
      <c r="W171" s="353">
        <v>45136821.450000003</v>
      </c>
      <c r="X171" s="353">
        <v>184912</v>
      </c>
      <c r="Y171" s="357">
        <v>26771945.02414095</v>
      </c>
      <c r="Z171" s="353">
        <v>20581646.831999999</v>
      </c>
      <c r="AA171" s="353">
        <v>590233</v>
      </c>
      <c r="AB171" s="357">
        <v>85484472.368894771</v>
      </c>
      <c r="AC171" s="353">
        <v>65718468.281999998</v>
      </c>
    </row>
    <row r="172" spans="2:29" hidden="1" outlineLevel="1" x14ac:dyDescent="0.25">
      <c r="B172" s="352">
        <v>43678</v>
      </c>
      <c r="C172" s="353">
        <v>300148</v>
      </c>
      <c r="D172" s="357">
        <v>43221820.266443424</v>
      </c>
      <c r="E172" s="353">
        <v>33290132.502999999</v>
      </c>
      <c r="F172" s="353">
        <v>106680</v>
      </c>
      <c r="G172" s="357">
        <v>15358447.095556561</v>
      </c>
      <c r="H172" s="353">
        <v>11829319.905999999</v>
      </c>
      <c r="I172" s="353">
        <v>406828</v>
      </c>
      <c r="J172" s="357">
        <v>58580267.361999974</v>
      </c>
      <c r="K172" s="353">
        <v>45119452.409000002</v>
      </c>
      <c r="L172" s="353">
        <v>104843</v>
      </c>
      <c r="M172" s="357">
        <v>15281137.126702584</v>
      </c>
      <c r="N172" s="353">
        <v>11769774.539999999</v>
      </c>
      <c r="O172" s="353">
        <v>77895</v>
      </c>
      <c r="P172" s="357">
        <v>11287394.579907011</v>
      </c>
      <c r="Q172" s="353">
        <v>8693730.5940000005</v>
      </c>
      <c r="R172" s="353">
        <v>182738</v>
      </c>
      <c r="S172" s="357">
        <v>26568531.706609596</v>
      </c>
      <c r="T172" s="353">
        <v>20463505.134</v>
      </c>
      <c r="U172" s="353">
        <v>404991</v>
      </c>
      <c r="V172" s="357">
        <v>58502957.393146001</v>
      </c>
      <c r="W172" s="353">
        <v>45059907.042999998</v>
      </c>
      <c r="X172" s="353">
        <v>184575</v>
      </c>
      <c r="Y172" s="357">
        <v>26645841.675463568</v>
      </c>
      <c r="Z172" s="353">
        <v>20523050.5</v>
      </c>
      <c r="AA172" s="353">
        <v>589566</v>
      </c>
      <c r="AB172" s="357">
        <v>85148799.06860958</v>
      </c>
      <c r="AC172" s="353">
        <v>65582957.542999998</v>
      </c>
    </row>
    <row r="173" spans="2:29" hidden="1" outlineLevel="1" x14ac:dyDescent="0.25">
      <c r="B173" s="352">
        <v>43709</v>
      </c>
      <c r="C173" s="353">
        <v>300285</v>
      </c>
      <c r="D173" s="357">
        <v>43264741.679256909</v>
      </c>
      <c r="E173" s="353">
        <v>33327225.112</v>
      </c>
      <c r="F173" s="353">
        <v>106524</v>
      </c>
      <c r="G173" s="357">
        <v>15351412.222907646</v>
      </c>
      <c r="H173" s="353">
        <v>11825332.847999999</v>
      </c>
      <c r="I173" s="353">
        <v>406809</v>
      </c>
      <c r="J173" s="357">
        <v>58616153.902164556</v>
      </c>
      <c r="K173" s="353">
        <v>45152557.960000001</v>
      </c>
      <c r="L173" s="353">
        <v>104591</v>
      </c>
      <c r="M173" s="357">
        <v>15277274.221059429</v>
      </c>
      <c r="N173" s="353">
        <v>11768223.669</v>
      </c>
      <c r="O173" s="353">
        <v>77795</v>
      </c>
      <c r="P173" s="357">
        <v>11302347.695489369</v>
      </c>
      <c r="Q173" s="353">
        <v>8706301.5130000003</v>
      </c>
      <c r="R173" s="353">
        <v>182386</v>
      </c>
      <c r="S173" s="357">
        <v>26579621.916548796</v>
      </c>
      <c r="T173" s="353">
        <v>20474525.182</v>
      </c>
      <c r="U173" s="353">
        <v>404876</v>
      </c>
      <c r="V173" s="357">
        <v>58542015.900316343</v>
      </c>
      <c r="W173" s="353">
        <v>45095448.781000003</v>
      </c>
      <c r="X173" s="353">
        <v>184319</v>
      </c>
      <c r="Y173" s="357">
        <v>26653759.918397013</v>
      </c>
      <c r="Z173" s="353">
        <v>20531634.361000001</v>
      </c>
      <c r="AA173" s="353">
        <v>589195</v>
      </c>
      <c r="AB173" s="357">
        <v>85195775.818713367</v>
      </c>
      <c r="AC173" s="353">
        <v>65627083.141999997</v>
      </c>
    </row>
    <row r="174" spans="2:29" hidden="1" outlineLevel="1" x14ac:dyDescent="0.25">
      <c r="B174" s="352">
        <v>43739</v>
      </c>
      <c r="C174" s="353">
        <v>300301</v>
      </c>
      <c r="D174" s="357">
        <v>42926664.2708496</v>
      </c>
      <c r="E174" s="353">
        <v>33335034.397</v>
      </c>
      <c r="F174" s="353">
        <v>106310</v>
      </c>
      <c r="G174" s="357">
        <v>15194329.10454035</v>
      </c>
      <c r="H174" s="353">
        <v>11799274.226</v>
      </c>
      <c r="I174" s="353">
        <v>406611</v>
      </c>
      <c r="J174" s="357">
        <v>58120993.375389948</v>
      </c>
      <c r="K174" s="353">
        <v>45134308.623000003</v>
      </c>
      <c r="L174" s="353">
        <v>104481</v>
      </c>
      <c r="M174" s="357">
        <v>15198481.852928083</v>
      </c>
      <c r="N174" s="353">
        <v>11802499.074999999</v>
      </c>
      <c r="O174" s="353">
        <v>77796</v>
      </c>
      <c r="P174" s="357">
        <v>11235665.208779877</v>
      </c>
      <c r="Q174" s="353">
        <v>8725143.0449999999</v>
      </c>
      <c r="R174" s="353">
        <v>182277</v>
      </c>
      <c r="S174" s="357">
        <v>26434147.061707959</v>
      </c>
      <c r="T174" s="353">
        <v>20527642.120000001</v>
      </c>
      <c r="U174" s="353">
        <v>404782</v>
      </c>
      <c r="V174" s="357">
        <v>58125146.12377768</v>
      </c>
      <c r="W174" s="353">
        <v>45137533.472000003</v>
      </c>
      <c r="X174" s="353">
        <v>184106</v>
      </c>
      <c r="Y174" s="357">
        <v>26429994.313320223</v>
      </c>
      <c r="Z174" s="353">
        <v>20524417.271000002</v>
      </c>
      <c r="AA174" s="353">
        <v>588888</v>
      </c>
      <c r="AB174" s="357">
        <v>84555140.437097907</v>
      </c>
      <c r="AC174" s="353">
        <v>65661950.743000001</v>
      </c>
    </row>
    <row r="175" spans="2:29" hidden="1" outlineLevel="1" x14ac:dyDescent="0.25">
      <c r="B175" s="352">
        <v>43770</v>
      </c>
      <c r="C175" s="353">
        <v>300782</v>
      </c>
      <c r="D175" s="357">
        <v>42962555.534880549</v>
      </c>
      <c r="E175" s="353">
        <v>33391211.605</v>
      </c>
      <c r="F175" s="353">
        <v>106300</v>
      </c>
      <c r="G175" s="357">
        <v>15174458.312454686</v>
      </c>
      <c r="H175" s="353">
        <v>11793840.99</v>
      </c>
      <c r="I175" s="353">
        <v>407082</v>
      </c>
      <c r="J175" s="357">
        <v>58137013.847335234</v>
      </c>
      <c r="K175" s="353">
        <v>45185052.594999999</v>
      </c>
      <c r="L175" s="353">
        <v>104343</v>
      </c>
      <c r="M175" s="357">
        <v>15175210.466996113</v>
      </c>
      <c r="N175" s="353">
        <v>11794425.577</v>
      </c>
      <c r="O175" s="353">
        <v>77764</v>
      </c>
      <c r="P175" s="357">
        <v>11236786.930083521</v>
      </c>
      <c r="Q175" s="353">
        <v>8733417.4020000007</v>
      </c>
      <c r="R175" s="353">
        <v>182107</v>
      </c>
      <c r="S175" s="357">
        <v>26411997.397079635</v>
      </c>
      <c r="T175" s="353">
        <v>20527842.978999998</v>
      </c>
      <c r="U175" s="353">
        <v>405125</v>
      </c>
      <c r="V175" s="357">
        <v>58137766.00187666</v>
      </c>
      <c r="W175" s="353">
        <v>45185637.181999996</v>
      </c>
      <c r="X175" s="353">
        <v>184064</v>
      </c>
      <c r="Y175" s="357">
        <v>26411245.242538206</v>
      </c>
      <c r="Z175" s="353">
        <v>20527258.392000001</v>
      </c>
      <c r="AA175" s="353">
        <v>589189</v>
      </c>
      <c r="AB175" s="357">
        <v>84549011.244414866</v>
      </c>
      <c r="AC175" s="353">
        <v>65712895.574000001</v>
      </c>
    </row>
    <row r="176" spans="2:29" hidden="1" outlineLevel="1" x14ac:dyDescent="0.25">
      <c r="B176" s="352">
        <v>43800</v>
      </c>
      <c r="C176" s="353">
        <v>300920</v>
      </c>
      <c r="D176" s="357">
        <v>55480119.912528582</v>
      </c>
      <c r="E176" s="353">
        <v>43162878.689999998</v>
      </c>
      <c r="F176" s="353">
        <v>106146</v>
      </c>
      <c r="G176" s="357">
        <v>19472636.091040764</v>
      </c>
      <c r="H176" s="353">
        <v>15149481.124</v>
      </c>
      <c r="I176" s="353">
        <v>407066</v>
      </c>
      <c r="J176" s="357">
        <v>74952756.00356935</v>
      </c>
      <c r="K176" s="353">
        <v>58312359.814000003</v>
      </c>
      <c r="L176" s="353">
        <v>104196</v>
      </c>
      <c r="M176" s="357">
        <v>18561086.784820933</v>
      </c>
      <c r="N176" s="353">
        <v>14440306.518999999</v>
      </c>
      <c r="O176" s="353">
        <v>77761</v>
      </c>
      <c r="P176" s="357">
        <v>13794887.686238721</v>
      </c>
      <c r="Q176" s="353">
        <v>10732259.856000001</v>
      </c>
      <c r="R176" s="353">
        <v>181957</v>
      </c>
      <c r="S176" s="357">
        <v>32355974.471059658</v>
      </c>
      <c r="T176" s="353">
        <v>25172566.375</v>
      </c>
      <c r="U176" s="353">
        <v>405116</v>
      </c>
      <c r="V176" s="357">
        <v>74041206.697349519</v>
      </c>
      <c r="W176" s="353">
        <v>57603185.208999999</v>
      </c>
      <c r="X176" s="353">
        <v>183907</v>
      </c>
      <c r="Y176" s="357">
        <v>33267523.777279489</v>
      </c>
      <c r="Z176" s="353">
        <v>25881740.98</v>
      </c>
      <c r="AA176" s="353">
        <v>589023</v>
      </c>
      <c r="AB176" s="357">
        <v>107308730.474629</v>
      </c>
      <c r="AC176" s="353">
        <v>83484926.188999996</v>
      </c>
    </row>
    <row r="177" spans="2:29" collapsed="1" x14ac:dyDescent="0.25">
      <c r="B177" s="355" t="s">
        <v>710</v>
      </c>
      <c r="C177" s="356">
        <v>299821.5</v>
      </c>
      <c r="D177" s="358">
        <v>43840917.890679531</v>
      </c>
      <c r="E177" s="356"/>
      <c r="F177" s="356">
        <v>106705.25</v>
      </c>
      <c r="G177" s="358">
        <v>15593995.817337139</v>
      </c>
      <c r="H177" s="356"/>
      <c r="I177" s="356">
        <v>406526.75</v>
      </c>
      <c r="J177" s="358">
        <v>59434913.708016686</v>
      </c>
      <c r="K177" s="356"/>
      <c r="L177" s="356">
        <v>104899.16666666667</v>
      </c>
      <c r="M177" s="358">
        <v>15493240.569901416</v>
      </c>
      <c r="N177" s="356"/>
      <c r="O177" s="356">
        <v>77850.416666666672</v>
      </c>
      <c r="P177" s="358">
        <v>11428887.540132895</v>
      </c>
      <c r="Q177" s="356"/>
      <c r="R177" s="356">
        <v>182749.58333333334</v>
      </c>
      <c r="S177" s="358">
        <v>26922128.110034317</v>
      </c>
      <c r="T177" s="356"/>
      <c r="U177" s="356">
        <v>404720.66666666669</v>
      </c>
      <c r="V177" s="358">
        <v>59334158.460580952</v>
      </c>
      <c r="W177" s="356"/>
      <c r="X177" s="356">
        <v>184555.66666666666</v>
      </c>
      <c r="Y177" s="358">
        <v>27022883.357470036</v>
      </c>
      <c r="Z177" s="356"/>
      <c r="AA177" s="356">
        <v>589276.33333333337</v>
      </c>
      <c r="AB177" s="358">
        <v>86357041.818050995</v>
      </c>
      <c r="AC177" s="356"/>
    </row>
    <row r="178" spans="2:29" hidden="1" outlineLevel="1" x14ac:dyDescent="0.25">
      <c r="B178" s="352">
        <v>43831</v>
      </c>
      <c r="C178" s="353">
        <v>301556</v>
      </c>
      <c r="D178" s="357">
        <v>57662155.803609237</v>
      </c>
      <c r="E178" s="353">
        <v>45114474.414999999</v>
      </c>
      <c r="F178" s="353">
        <v>106262</v>
      </c>
      <c r="G178" s="357">
        <v>20752843.647553474</v>
      </c>
      <c r="H178" s="353">
        <v>16236882.244999999</v>
      </c>
      <c r="I178" s="353">
        <v>407818</v>
      </c>
      <c r="J178" s="357">
        <v>78414999.451162711</v>
      </c>
      <c r="K178" s="353">
        <v>61351356.659999996</v>
      </c>
      <c r="L178" s="353">
        <v>104225</v>
      </c>
      <c r="M178" s="357">
        <v>19143039.257915638</v>
      </c>
      <c r="N178" s="353">
        <v>14977382.354</v>
      </c>
      <c r="O178" s="353">
        <v>77856</v>
      </c>
      <c r="P178" s="357">
        <v>14201774.721794151</v>
      </c>
      <c r="Q178" s="353">
        <v>11111370.939999999</v>
      </c>
      <c r="R178" s="353">
        <v>182081</v>
      </c>
      <c r="S178" s="357">
        <v>33344813.979709789</v>
      </c>
      <c r="T178" s="353">
        <v>26088753.294</v>
      </c>
      <c r="U178" s="353">
        <v>405781</v>
      </c>
      <c r="V178" s="357">
        <v>76805195.061524868</v>
      </c>
      <c r="W178" s="353">
        <v>60091856.769000001</v>
      </c>
      <c r="X178" s="353">
        <v>184118</v>
      </c>
      <c r="Y178" s="357">
        <v>34954618.369347624</v>
      </c>
      <c r="Z178" s="353">
        <v>27348253.184999999</v>
      </c>
      <c r="AA178" s="353">
        <v>589899</v>
      </c>
      <c r="AB178" s="357">
        <v>111759813.4308725</v>
      </c>
      <c r="AC178" s="353">
        <v>87440109.953999996</v>
      </c>
    </row>
    <row r="179" spans="2:29" hidden="1" outlineLevel="1" x14ac:dyDescent="0.25">
      <c r="B179" s="352">
        <v>43862</v>
      </c>
      <c r="C179" s="353">
        <v>302529</v>
      </c>
      <c r="D179" s="357">
        <v>56082045.680207089</v>
      </c>
      <c r="E179" s="353">
        <v>44074943.619000003</v>
      </c>
      <c r="F179" s="353">
        <v>106478</v>
      </c>
      <c r="G179" s="357">
        <v>19923627.522908542</v>
      </c>
      <c r="H179" s="353">
        <v>15658001.578</v>
      </c>
      <c r="I179" s="353">
        <v>409007</v>
      </c>
      <c r="J179" s="357">
        <v>76005673.203115627</v>
      </c>
      <c r="K179" s="353">
        <v>59732945.196999997</v>
      </c>
      <c r="L179" s="353">
        <v>104288</v>
      </c>
      <c r="M179" s="357">
        <v>18271401.724597156</v>
      </c>
      <c r="N179" s="353">
        <v>14359515.439999999</v>
      </c>
      <c r="O179" s="353">
        <v>77902</v>
      </c>
      <c r="P179" s="357">
        <v>13646310.060772078</v>
      </c>
      <c r="Q179" s="353">
        <v>10724650.630000001</v>
      </c>
      <c r="R179" s="353">
        <v>182190</v>
      </c>
      <c r="S179" s="357">
        <v>31917711.785369232</v>
      </c>
      <c r="T179" s="353">
        <v>25084166.07</v>
      </c>
      <c r="U179" s="353">
        <v>406817</v>
      </c>
      <c r="V179" s="357">
        <v>74353447.404804245</v>
      </c>
      <c r="W179" s="353">
        <v>58434459.059</v>
      </c>
      <c r="X179" s="353">
        <v>184380</v>
      </c>
      <c r="Y179" s="357">
        <v>33569937.583680622</v>
      </c>
      <c r="Z179" s="353">
        <v>26382652.208000001</v>
      </c>
      <c r="AA179" s="353">
        <v>591197</v>
      </c>
      <c r="AB179" s="357">
        <v>107923384.98848486</v>
      </c>
      <c r="AC179" s="353">
        <v>84817111.267000005</v>
      </c>
    </row>
    <row r="180" spans="2:29" hidden="1" outlineLevel="1" x14ac:dyDescent="0.25">
      <c r="B180" s="352">
        <v>43891</v>
      </c>
      <c r="C180" s="353">
        <v>302939</v>
      </c>
      <c r="D180" s="357">
        <v>55975371.513154611</v>
      </c>
      <c r="E180" s="353">
        <v>44136538.858999997</v>
      </c>
      <c r="F180" s="353">
        <v>106463</v>
      </c>
      <c r="G180" s="357">
        <v>19856371.325975008</v>
      </c>
      <c r="H180" s="353">
        <v>15656734.040999999</v>
      </c>
      <c r="I180" s="353">
        <v>409402</v>
      </c>
      <c r="J180" s="357">
        <v>75831742.839129627</v>
      </c>
      <c r="K180" s="353">
        <v>59793272.899999999</v>
      </c>
      <c r="L180" s="353">
        <v>104495</v>
      </c>
      <c r="M180" s="357">
        <v>18247359.209054373</v>
      </c>
      <c r="N180" s="353">
        <v>14388029.182</v>
      </c>
      <c r="O180" s="353">
        <v>77989</v>
      </c>
      <c r="P180" s="357">
        <v>13616263.410666348</v>
      </c>
      <c r="Q180" s="353">
        <v>10736413.585000001</v>
      </c>
      <c r="R180" s="353">
        <v>182484</v>
      </c>
      <c r="S180" s="357">
        <v>31863622.619720727</v>
      </c>
      <c r="T180" s="353">
        <v>25124442.767000001</v>
      </c>
      <c r="U180" s="353">
        <v>407434</v>
      </c>
      <c r="V180" s="357">
        <v>74222730.722208992</v>
      </c>
      <c r="W180" s="353">
        <v>58524568.041000001</v>
      </c>
      <c r="X180" s="353">
        <v>184452</v>
      </c>
      <c r="Y180" s="357">
        <v>33472634.736641359</v>
      </c>
      <c r="Z180" s="353">
        <v>26393147.625999998</v>
      </c>
      <c r="AA180" s="353">
        <v>591886</v>
      </c>
      <c r="AB180" s="357">
        <v>107695365.45885034</v>
      </c>
      <c r="AC180" s="353">
        <v>84917715.666999996</v>
      </c>
    </row>
    <row r="181" spans="2:29" hidden="1" outlineLevel="1" x14ac:dyDescent="0.25">
      <c r="B181" s="352">
        <v>43922</v>
      </c>
      <c r="C181" s="353">
        <v>303117</v>
      </c>
      <c r="D181" s="357">
        <v>56037821.37711779</v>
      </c>
      <c r="E181" s="353">
        <v>44167807.281000003</v>
      </c>
      <c r="F181" s="353">
        <v>106371</v>
      </c>
      <c r="G181" s="357">
        <v>19850159.273461513</v>
      </c>
      <c r="H181" s="353">
        <v>15645469.216</v>
      </c>
      <c r="I181" s="353">
        <v>409488</v>
      </c>
      <c r="J181" s="357">
        <v>75887980.650579304</v>
      </c>
      <c r="K181" s="353">
        <v>59813276.497000001</v>
      </c>
      <c r="L181" s="353">
        <v>104476</v>
      </c>
      <c r="M181" s="357">
        <v>18251462.638944715</v>
      </c>
      <c r="N181" s="353">
        <v>14385410.864</v>
      </c>
      <c r="O181" s="353">
        <v>78073</v>
      </c>
      <c r="P181" s="357">
        <v>13640991.513050038</v>
      </c>
      <c r="Q181" s="353">
        <v>10751536.541999999</v>
      </c>
      <c r="R181" s="353">
        <v>182549</v>
      </c>
      <c r="S181" s="357">
        <v>31892454.15199475</v>
      </c>
      <c r="T181" s="353">
        <v>25136947.405999999</v>
      </c>
      <c r="U181" s="353">
        <v>407593</v>
      </c>
      <c r="V181" s="357">
        <v>74289284.016062498</v>
      </c>
      <c r="W181" s="353">
        <v>58553218.145000003</v>
      </c>
      <c r="X181" s="353">
        <v>184444</v>
      </c>
      <c r="Y181" s="357">
        <v>33491150.786511552</v>
      </c>
      <c r="Z181" s="353">
        <v>26397005.758000001</v>
      </c>
      <c r="AA181" s="353">
        <v>592037</v>
      </c>
      <c r="AB181" s="357">
        <v>107780434.80257405</v>
      </c>
      <c r="AC181" s="353">
        <v>84950223.902999997</v>
      </c>
    </row>
    <row r="182" spans="2:29" hidden="1" outlineLevel="1" x14ac:dyDescent="0.25">
      <c r="B182" s="352">
        <v>43952</v>
      </c>
      <c r="C182" s="353">
        <v>303106</v>
      </c>
      <c r="D182" s="357">
        <v>56078175.43558833</v>
      </c>
      <c r="E182" s="353">
        <v>44177632.133000001</v>
      </c>
      <c r="F182" s="353">
        <v>106379</v>
      </c>
      <c r="G182" s="357">
        <v>19867040.022770114</v>
      </c>
      <c r="H182" s="353">
        <v>15650986.839</v>
      </c>
      <c r="I182" s="353">
        <v>409485</v>
      </c>
      <c r="J182" s="357">
        <v>75945215.458358437</v>
      </c>
      <c r="K182" s="353">
        <v>59828618.972000003</v>
      </c>
      <c r="L182" s="353">
        <v>104421</v>
      </c>
      <c r="M182" s="357">
        <v>18250788.239279706</v>
      </c>
      <c r="N182" s="353">
        <v>14377725.429</v>
      </c>
      <c r="O182" s="353">
        <v>78092</v>
      </c>
      <c r="P182" s="357">
        <v>13646592.45887926</v>
      </c>
      <c r="Q182" s="353">
        <v>10750601.937999999</v>
      </c>
      <c r="R182" s="353">
        <v>182513</v>
      </c>
      <c r="S182" s="357">
        <v>31897380.698158965</v>
      </c>
      <c r="T182" s="353">
        <v>25128327.366999999</v>
      </c>
      <c r="U182" s="353">
        <v>407527</v>
      </c>
      <c r="V182" s="357">
        <v>74328963.674868047</v>
      </c>
      <c r="W182" s="353">
        <v>58555357.561999999</v>
      </c>
      <c r="X182" s="353">
        <v>184471</v>
      </c>
      <c r="Y182" s="357">
        <v>33513632.481649376</v>
      </c>
      <c r="Z182" s="353">
        <v>26401588.776999999</v>
      </c>
      <c r="AA182" s="353">
        <v>591998</v>
      </c>
      <c r="AB182" s="357">
        <v>107842596.15651742</v>
      </c>
      <c r="AC182" s="353">
        <v>84956946.339000002</v>
      </c>
    </row>
    <row r="183" spans="2:29" hidden="1" outlineLevel="1" x14ac:dyDescent="0.25">
      <c r="B183" s="352">
        <v>43983</v>
      </c>
      <c r="C183" s="353">
        <v>303034</v>
      </c>
      <c r="D183" s="357">
        <v>56115026.378746629</v>
      </c>
      <c r="E183" s="353">
        <v>44174881.732000001</v>
      </c>
      <c r="F183" s="353">
        <v>106296</v>
      </c>
      <c r="G183" s="357">
        <v>19867499.135774065</v>
      </c>
      <c r="H183" s="353">
        <v>15640096.446</v>
      </c>
      <c r="I183" s="353">
        <v>409330</v>
      </c>
      <c r="J183" s="357">
        <v>75982525.51452069</v>
      </c>
      <c r="K183" s="353">
        <v>59814978.178000003</v>
      </c>
      <c r="L183" s="353">
        <v>104307</v>
      </c>
      <c r="M183" s="357">
        <v>18244271.569828965</v>
      </c>
      <c r="N183" s="353">
        <v>14362258.933</v>
      </c>
      <c r="O183" s="353">
        <v>78085</v>
      </c>
      <c r="P183" s="357">
        <v>13654590.101355812</v>
      </c>
      <c r="Q183" s="353">
        <v>10749169.015000001</v>
      </c>
      <c r="R183" s="353">
        <v>182392</v>
      </c>
      <c r="S183" s="357">
        <v>31898861.671184774</v>
      </c>
      <c r="T183" s="353">
        <v>25111427.947999999</v>
      </c>
      <c r="U183" s="353">
        <v>407341</v>
      </c>
      <c r="V183" s="357">
        <v>74359297.948575586</v>
      </c>
      <c r="W183" s="353">
        <v>58537140.664999999</v>
      </c>
      <c r="X183" s="353">
        <v>184381</v>
      </c>
      <c r="Y183" s="357">
        <v>33522089.237129875</v>
      </c>
      <c r="Z183" s="353">
        <v>26389265.460999999</v>
      </c>
      <c r="AA183" s="353">
        <v>591722</v>
      </c>
      <c r="AB183" s="357">
        <v>107881387.18570545</v>
      </c>
      <c r="AC183" s="353">
        <v>84926406.126000002</v>
      </c>
    </row>
    <row r="184" spans="2:29" hidden="1" outlineLevel="1" x14ac:dyDescent="0.25">
      <c r="B184" s="352">
        <v>44013</v>
      </c>
      <c r="C184" s="353">
        <v>303114</v>
      </c>
      <c r="D184" s="357">
        <v>57544871.869369179</v>
      </c>
      <c r="E184" s="353">
        <v>45345935.370999999</v>
      </c>
      <c r="F184" s="353">
        <v>106052</v>
      </c>
      <c r="G184" s="357">
        <v>20319352.909243524</v>
      </c>
      <c r="H184" s="353">
        <v>16011853.6</v>
      </c>
      <c r="I184" s="353">
        <v>409166</v>
      </c>
      <c r="J184" s="357">
        <v>77864224.778612703</v>
      </c>
      <c r="K184" s="353">
        <v>61357788.971000001</v>
      </c>
      <c r="L184" s="353">
        <v>104212</v>
      </c>
      <c r="M184" s="357">
        <v>18683711.241339475</v>
      </c>
      <c r="N184" s="353">
        <v>14722951.584000001</v>
      </c>
      <c r="O184" s="353">
        <v>77973</v>
      </c>
      <c r="P184" s="357">
        <v>13976882.377153469</v>
      </c>
      <c r="Q184" s="353">
        <v>11013923.298</v>
      </c>
      <c r="R184" s="353">
        <v>182185</v>
      </c>
      <c r="S184" s="357">
        <v>32660593.618492942</v>
      </c>
      <c r="T184" s="353">
        <v>25736874.881999999</v>
      </c>
      <c r="U184" s="353">
        <v>407326</v>
      </c>
      <c r="V184" s="357">
        <v>76228583.110708654</v>
      </c>
      <c r="W184" s="353">
        <v>60068886.954999998</v>
      </c>
      <c r="X184" s="353">
        <v>184025</v>
      </c>
      <c r="Y184" s="357">
        <v>34296235.286396995</v>
      </c>
      <c r="Z184" s="353">
        <v>27025776.897999998</v>
      </c>
      <c r="AA184" s="353">
        <v>591351</v>
      </c>
      <c r="AB184" s="357">
        <v>110524818.39710565</v>
      </c>
      <c r="AC184" s="353">
        <v>87094663.853</v>
      </c>
    </row>
    <row r="185" spans="2:29" hidden="1" outlineLevel="1" x14ac:dyDescent="0.25">
      <c r="B185" s="352">
        <v>44044</v>
      </c>
      <c r="C185" s="353">
        <v>302726</v>
      </c>
      <c r="D185" s="357">
        <v>57418475.677254446</v>
      </c>
      <c r="E185" s="353">
        <v>45306102.685000002</v>
      </c>
      <c r="F185" s="353">
        <v>105522</v>
      </c>
      <c r="G185" s="357">
        <v>20198299.475668889</v>
      </c>
      <c r="H185" s="353">
        <v>15937487.356000001</v>
      </c>
      <c r="I185" s="353">
        <v>408248</v>
      </c>
      <c r="J185" s="357">
        <v>77616775.152923346</v>
      </c>
      <c r="K185" s="353">
        <v>61243590.041000001</v>
      </c>
      <c r="L185" s="353">
        <v>104019</v>
      </c>
      <c r="M185" s="357">
        <v>18629482.144399624</v>
      </c>
      <c r="N185" s="353">
        <v>14699610.552999999</v>
      </c>
      <c r="O185" s="353">
        <v>77954</v>
      </c>
      <c r="P185" s="357">
        <v>13958850.870482851</v>
      </c>
      <c r="Q185" s="353">
        <v>11014244.517000001</v>
      </c>
      <c r="R185" s="353">
        <v>181973</v>
      </c>
      <c r="S185" s="357">
        <v>32588333.014882471</v>
      </c>
      <c r="T185" s="353">
        <v>25713855.07</v>
      </c>
      <c r="U185" s="353">
        <v>406745</v>
      </c>
      <c r="V185" s="357">
        <v>76047957.821654066</v>
      </c>
      <c r="W185" s="353">
        <v>60005713.237999998</v>
      </c>
      <c r="X185" s="353">
        <v>183476</v>
      </c>
      <c r="Y185" s="357">
        <v>34157150.346151739</v>
      </c>
      <c r="Z185" s="353">
        <v>26951731.873</v>
      </c>
      <c r="AA185" s="353">
        <v>590221</v>
      </c>
      <c r="AB185" s="357">
        <v>110205108.16780582</v>
      </c>
      <c r="AC185" s="353">
        <v>86957445.111000001</v>
      </c>
    </row>
    <row r="186" spans="2:29" hidden="1" outlineLevel="1" x14ac:dyDescent="0.25">
      <c r="B186" s="352">
        <v>44075</v>
      </c>
      <c r="C186" s="353">
        <v>302786</v>
      </c>
      <c r="D186" s="357">
        <v>57075818.101825349</v>
      </c>
      <c r="E186" s="353">
        <v>45321808.817000002</v>
      </c>
      <c r="F186" s="353">
        <v>105100</v>
      </c>
      <c r="G186" s="357">
        <v>19994273.659836952</v>
      </c>
      <c r="H186" s="353">
        <v>15876717.642999999</v>
      </c>
      <c r="I186" s="353">
        <v>407886</v>
      </c>
      <c r="J186" s="357">
        <v>77070091.761662304</v>
      </c>
      <c r="K186" s="353">
        <v>61198526.460000001</v>
      </c>
      <c r="L186" s="353">
        <v>103817</v>
      </c>
      <c r="M186" s="357">
        <v>18475300.752670713</v>
      </c>
      <c r="N186" s="353">
        <v>14670557.101</v>
      </c>
      <c r="O186" s="353">
        <v>77928</v>
      </c>
      <c r="P186" s="357">
        <v>13865334.64893287</v>
      </c>
      <c r="Q186" s="353">
        <v>11009952.499</v>
      </c>
      <c r="R186" s="353">
        <v>181745</v>
      </c>
      <c r="S186" s="357">
        <v>32340635.401603583</v>
      </c>
      <c r="T186" s="353">
        <v>25680509.600000001</v>
      </c>
      <c r="U186" s="353">
        <v>406603</v>
      </c>
      <c r="V186" s="357">
        <v>75551118.854496062</v>
      </c>
      <c r="W186" s="353">
        <v>59992365.917999998</v>
      </c>
      <c r="X186" s="353">
        <v>183028</v>
      </c>
      <c r="Y186" s="357">
        <v>33859608.308769822</v>
      </c>
      <c r="Z186" s="353">
        <v>26886670.142000001</v>
      </c>
      <c r="AA186" s="353">
        <v>589631</v>
      </c>
      <c r="AB186" s="357">
        <v>109410727.16326588</v>
      </c>
      <c r="AC186" s="353">
        <v>86879036.060000002</v>
      </c>
    </row>
    <row r="187" spans="2:29" hidden="1" outlineLevel="1" x14ac:dyDescent="0.25">
      <c r="B187" s="352">
        <v>44105</v>
      </c>
      <c r="C187" s="353">
        <v>302124</v>
      </c>
      <c r="D187" s="357">
        <v>56579777.751271233</v>
      </c>
      <c r="E187" s="353">
        <v>45236459.303999998</v>
      </c>
      <c r="F187" s="353">
        <v>104702</v>
      </c>
      <c r="G187" s="357">
        <v>19789855.710979927</v>
      </c>
      <c r="H187" s="353">
        <v>15822313.874</v>
      </c>
      <c r="I187" s="353">
        <v>406826</v>
      </c>
      <c r="J187" s="357">
        <v>76369633.462251157</v>
      </c>
      <c r="K187" s="353">
        <v>61058773.178000003</v>
      </c>
      <c r="L187" s="353">
        <v>103576</v>
      </c>
      <c r="M187" s="357">
        <v>18306674.213983707</v>
      </c>
      <c r="N187" s="353">
        <v>14636485.967</v>
      </c>
      <c r="O187" s="353">
        <v>77950</v>
      </c>
      <c r="P187" s="357">
        <v>13774655.466887314</v>
      </c>
      <c r="Q187" s="353">
        <v>11013062.727</v>
      </c>
      <c r="R187" s="353">
        <v>181526</v>
      </c>
      <c r="S187" s="357">
        <v>32081329.680871025</v>
      </c>
      <c r="T187" s="353">
        <v>25649548.693999998</v>
      </c>
      <c r="U187" s="353">
        <v>405700</v>
      </c>
      <c r="V187" s="357">
        <v>74886451.965254948</v>
      </c>
      <c r="W187" s="353">
        <v>59872945.270999998</v>
      </c>
      <c r="X187" s="353">
        <v>182652</v>
      </c>
      <c r="Y187" s="357">
        <v>33564511.177867241</v>
      </c>
      <c r="Z187" s="353">
        <v>26835376.601</v>
      </c>
      <c r="AA187" s="353">
        <v>588352</v>
      </c>
      <c r="AB187" s="357">
        <v>108450963.14312218</v>
      </c>
      <c r="AC187" s="353">
        <v>86708321.871999994</v>
      </c>
    </row>
    <row r="188" spans="2:29" hidden="1" outlineLevel="1" x14ac:dyDescent="0.25">
      <c r="B188" s="352">
        <v>44136</v>
      </c>
      <c r="C188" s="353">
        <v>302029</v>
      </c>
      <c r="D188" s="357">
        <v>56652696.58308088</v>
      </c>
      <c r="E188" s="353">
        <v>45232599.262999997</v>
      </c>
      <c r="F188" s="353">
        <v>104460</v>
      </c>
      <c r="G188" s="357">
        <v>19775088.377019417</v>
      </c>
      <c r="H188" s="353">
        <v>15788809.745999999</v>
      </c>
      <c r="I188" s="353">
        <v>406489</v>
      </c>
      <c r="J188" s="357">
        <v>76427784.960100293</v>
      </c>
      <c r="K188" s="353">
        <v>61021409.009000003</v>
      </c>
      <c r="L188" s="353">
        <v>103373</v>
      </c>
      <c r="M188" s="357">
        <v>18295887.052584052</v>
      </c>
      <c r="N188" s="353">
        <v>14607787.045</v>
      </c>
      <c r="O188" s="353">
        <v>77999</v>
      </c>
      <c r="P188" s="357">
        <v>13802256.729454461</v>
      </c>
      <c r="Q188" s="353">
        <v>11019986.43</v>
      </c>
      <c r="R188" s="353">
        <v>181372</v>
      </c>
      <c r="S188" s="357">
        <v>32098143.782038514</v>
      </c>
      <c r="T188" s="353">
        <v>25627773.475000001</v>
      </c>
      <c r="U188" s="353">
        <v>405402</v>
      </c>
      <c r="V188" s="357">
        <v>74948583.635664925</v>
      </c>
      <c r="W188" s="353">
        <v>59840386.307999998</v>
      </c>
      <c r="X188" s="353">
        <v>182459</v>
      </c>
      <c r="Y188" s="357">
        <v>33577345.106473878</v>
      </c>
      <c r="Z188" s="353">
        <v>26808796.175999999</v>
      </c>
      <c r="AA188" s="353">
        <v>587861</v>
      </c>
      <c r="AB188" s="357">
        <v>108525928.7421388</v>
      </c>
      <c r="AC188" s="353">
        <v>86649182.483999997</v>
      </c>
    </row>
    <row r="189" spans="2:29" hidden="1" outlineLevel="1" x14ac:dyDescent="0.25">
      <c r="B189" s="352">
        <v>44166</v>
      </c>
      <c r="C189" s="353">
        <v>302560</v>
      </c>
      <c r="D189" s="357">
        <v>56598258.683000393</v>
      </c>
      <c r="E189" s="353">
        <v>45341815.088</v>
      </c>
      <c r="F189" s="353">
        <v>104548</v>
      </c>
      <c r="G189" s="357">
        <v>19735822.195667908</v>
      </c>
      <c r="H189" s="353">
        <v>15810698.446</v>
      </c>
      <c r="I189" s="353">
        <v>407108</v>
      </c>
      <c r="J189" s="357">
        <v>76334080.878668308</v>
      </c>
      <c r="K189" s="353">
        <v>61152513.534000002</v>
      </c>
      <c r="L189" s="353">
        <v>103131</v>
      </c>
      <c r="M189" s="357">
        <v>18198613.110105317</v>
      </c>
      <c r="N189" s="353">
        <v>14579214.444</v>
      </c>
      <c r="O189" s="353">
        <v>78045</v>
      </c>
      <c r="P189" s="357">
        <v>13774429.246975867</v>
      </c>
      <c r="Q189" s="353">
        <v>11034926.487</v>
      </c>
      <c r="R189" s="353">
        <v>181176</v>
      </c>
      <c r="S189" s="357">
        <v>31973042.357081182</v>
      </c>
      <c r="T189" s="353">
        <v>25614140.931000002</v>
      </c>
      <c r="U189" s="353">
        <v>405691</v>
      </c>
      <c r="V189" s="357">
        <v>74796871.793105707</v>
      </c>
      <c r="W189" s="353">
        <v>59921029.531999998</v>
      </c>
      <c r="X189" s="353">
        <v>182593</v>
      </c>
      <c r="Y189" s="357">
        <v>33510251.442643773</v>
      </c>
      <c r="Z189" s="353">
        <v>26845624.932999998</v>
      </c>
      <c r="AA189" s="353">
        <v>588284</v>
      </c>
      <c r="AB189" s="357">
        <v>108307123.23574948</v>
      </c>
      <c r="AC189" s="353">
        <v>86766654.465000004</v>
      </c>
    </row>
    <row r="190" spans="2:29" collapsed="1" x14ac:dyDescent="0.25">
      <c r="B190" s="355" t="s">
        <v>711</v>
      </c>
      <c r="C190" s="356">
        <v>302635</v>
      </c>
      <c r="D190" s="358">
        <v>56651707.904518776</v>
      </c>
      <c r="E190" s="356"/>
      <c r="F190" s="356">
        <v>105719.41666666667</v>
      </c>
      <c r="G190" s="358">
        <v>19994186.104738276</v>
      </c>
      <c r="H190" s="356"/>
      <c r="I190" s="356">
        <v>408354.41666666669</v>
      </c>
      <c r="J190" s="358">
        <v>76645894.009257048</v>
      </c>
      <c r="K190" s="356"/>
      <c r="L190" s="356">
        <v>104028.33333333333</v>
      </c>
      <c r="M190" s="358">
        <v>18416499.262891952</v>
      </c>
      <c r="N190" s="356"/>
      <c r="O190" s="356">
        <v>77987.166666666672</v>
      </c>
      <c r="P190" s="358">
        <v>13796577.633867042</v>
      </c>
      <c r="Q190" s="356"/>
      <c r="R190" s="356">
        <v>182015.5</v>
      </c>
      <c r="S190" s="358">
        <v>32213076.896758992</v>
      </c>
      <c r="T190" s="356"/>
      <c r="U190" s="356">
        <v>406663.33333333331</v>
      </c>
      <c r="V190" s="358">
        <v>75068207.167410716</v>
      </c>
      <c r="W190" s="356"/>
      <c r="X190" s="356">
        <v>183706.58333333334</v>
      </c>
      <c r="Y190" s="358">
        <v>33790763.73860532</v>
      </c>
      <c r="Z190" s="356"/>
      <c r="AA190" s="356">
        <v>590369.91666666663</v>
      </c>
      <c r="AB190" s="358">
        <v>108858970.90601604</v>
      </c>
      <c r="AC190" s="356"/>
    </row>
    <row r="191" spans="2:29" hidden="1" outlineLevel="1" x14ac:dyDescent="0.25">
      <c r="B191" s="352">
        <v>44197</v>
      </c>
      <c r="C191" s="353">
        <v>303535</v>
      </c>
      <c r="D191" s="357">
        <v>61614517.042376541</v>
      </c>
      <c r="E191" s="353">
        <v>49707068.979999997</v>
      </c>
      <c r="F191" s="353">
        <v>104773</v>
      </c>
      <c r="G191" s="357">
        <v>21341472.668059498</v>
      </c>
      <c r="H191" s="353">
        <v>17217079.756000001</v>
      </c>
      <c r="I191" s="353">
        <v>408308</v>
      </c>
      <c r="J191" s="357">
        <v>82955989.710436046</v>
      </c>
      <c r="K191" s="353">
        <v>66924148.736000001</v>
      </c>
      <c r="L191" s="353">
        <v>102915</v>
      </c>
      <c r="M191" s="357">
        <v>20197753.020610671</v>
      </c>
      <c r="N191" s="353">
        <v>16294392.147</v>
      </c>
      <c r="O191" s="353">
        <v>78093</v>
      </c>
      <c r="P191" s="357">
        <v>15326181.847654801</v>
      </c>
      <c r="Q191" s="353">
        <v>12364287.101</v>
      </c>
      <c r="R191" s="353">
        <v>181008</v>
      </c>
      <c r="S191" s="357">
        <v>35523934.868265472</v>
      </c>
      <c r="T191" s="353">
        <v>28658679.248</v>
      </c>
      <c r="U191" s="353">
        <v>406450</v>
      </c>
      <c r="V191" s="357">
        <v>81812270.062987208</v>
      </c>
      <c r="W191" s="353">
        <v>66001461.126999997</v>
      </c>
      <c r="X191" s="353">
        <v>182866</v>
      </c>
      <c r="Y191" s="357">
        <v>36667654.515714303</v>
      </c>
      <c r="Z191" s="353">
        <v>29581366.857000001</v>
      </c>
      <c r="AA191" s="353">
        <v>589316</v>
      </c>
      <c r="AB191" s="357">
        <v>118479924.57870153</v>
      </c>
      <c r="AC191" s="353">
        <v>95582827.983999997</v>
      </c>
    </row>
    <row r="192" spans="2:29" hidden="1" outlineLevel="1" x14ac:dyDescent="0.25">
      <c r="B192" s="352">
        <v>44228</v>
      </c>
      <c r="C192" s="353">
        <v>303509</v>
      </c>
      <c r="D192" s="357">
        <v>61504453.523659647</v>
      </c>
      <c r="E192" s="353">
        <v>49710219.506999999</v>
      </c>
      <c r="F192" s="353">
        <v>104543</v>
      </c>
      <c r="G192" s="357">
        <v>21254443.090779833</v>
      </c>
      <c r="H192" s="353">
        <v>17178642.699999999</v>
      </c>
      <c r="I192" s="353">
        <v>408052</v>
      </c>
      <c r="J192" s="357">
        <v>82758896.614439487</v>
      </c>
      <c r="K192" s="353">
        <v>66888862.207000002</v>
      </c>
      <c r="L192" s="353">
        <v>102585</v>
      </c>
      <c r="M192" s="357">
        <v>20095609.942244727</v>
      </c>
      <c r="N192" s="353">
        <v>16242030.034</v>
      </c>
      <c r="O192" s="353">
        <v>78054</v>
      </c>
      <c r="P192" s="357">
        <v>15293589.272224197</v>
      </c>
      <c r="Q192" s="353">
        <v>12360855.778999999</v>
      </c>
      <c r="R192" s="353">
        <v>180639</v>
      </c>
      <c r="S192" s="357">
        <v>35389199.214468926</v>
      </c>
      <c r="T192" s="353">
        <v>28602885.813000001</v>
      </c>
      <c r="U192" s="353">
        <v>406094</v>
      </c>
      <c r="V192" s="357">
        <v>81600063.46590437</v>
      </c>
      <c r="W192" s="353">
        <v>65952249.541000001</v>
      </c>
      <c r="X192" s="353">
        <v>182597</v>
      </c>
      <c r="Y192" s="357">
        <v>36548032.363004029</v>
      </c>
      <c r="Z192" s="353">
        <v>29539498.478999998</v>
      </c>
      <c r="AA192" s="353">
        <v>588691</v>
      </c>
      <c r="AB192" s="357">
        <v>118148095.8289084</v>
      </c>
      <c r="AC192" s="353">
        <v>95491748.019999996</v>
      </c>
    </row>
    <row r="193" spans="2:29" hidden="1" outlineLevel="1" x14ac:dyDescent="0.25">
      <c r="B193" s="352">
        <v>44256</v>
      </c>
      <c r="C193" s="353">
        <v>303836</v>
      </c>
      <c r="D193" s="357">
        <v>61335520.320245542</v>
      </c>
      <c r="E193" s="353">
        <v>49759756.866999999</v>
      </c>
      <c r="F193" s="353">
        <v>104524</v>
      </c>
      <c r="G193" s="357">
        <v>21169982.620053705</v>
      </c>
      <c r="H193" s="353">
        <v>17174602.620999999</v>
      </c>
      <c r="I193" s="353">
        <v>408360</v>
      </c>
      <c r="J193" s="357">
        <v>82505502.940299243</v>
      </c>
      <c r="K193" s="353">
        <v>66934359.487999998</v>
      </c>
      <c r="L193" s="353">
        <v>102435</v>
      </c>
      <c r="M193" s="357">
        <v>19990591.216507878</v>
      </c>
      <c r="N193" s="353">
        <v>16217796.039999999</v>
      </c>
      <c r="O193" s="353">
        <v>78131</v>
      </c>
      <c r="P193" s="357">
        <v>15247590.206008594</v>
      </c>
      <c r="Q193" s="353">
        <v>12369934.705</v>
      </c>
      <c r="R193" s="353">
        <v>180566</v>
      </c>
      <c r="S193" s="357">
        <v>35238181.422516473</v>
      </c>
      <c r="T193" s="353">
        <v>28587730.745000001</v>
      </c>
      <c r="U193" s="353">
        <v>406271</v>
      </c>
      <c r="V193" s="357">
        <v>81326111.536753416</v>
      </c>
      <c r="W193" s="353">
        <v>65977552.906999998</v>
      </c>
      <c r="X193" s="353">
        <v>182655</v>
      </c>
      <c r="Y193" s="357">
        <v>36417572.826062292</v>
      </c>
      <c r="Z193" s="353">
        <v>29544537.326000001</v>
      </c>
      <c r="AA193" s="353">
        <v>588926</v>
      </c>
      <c r="AB193" s="357">
        <v>117743684.36281572</v>
      </c>
      <c r="AC193" s="353">
        <v>95522090.232999995</v>
      </c>
    </row>
    <row r="194" spans="2:29" hidden="1" outlineLevel="1" x14ac:dyDescent="0.25">
      <c r="B194" s="352">
        <v>44287</v>
      </c>
      <c r="C194" s="353">
        <v>304229</v>
      </c>
      <c r="D194" s="357">
        <v>61174035.482481673</v>
      </c>
      <c r="E194" s="353">
        <v>49815834.487999998</v>
      </c>
      <c r="F194" s="353">
        <v>104568</v>
      </c>
      <c r="G194" s="357">
        <v>21097441.801125094</v>
      </c>
      <c r="H194" s="353">
        <v>17180273.634</v>
      </c>
      <c r="I194" s="353">
        <v>408797</v>
      </c>
      <c r="J194" s="357">
        <v>82271477.283606768</v>
      </c>
      <c r="K194" s="353">
        <v>66996108.122000001</v>
      </c>
      <c r="L194" s="353">
        <v>102581</v>
      </c>
      <c r="M194" s="357">
        <v>19943928.367823929</v>
      </c>
      <c r="N194" s="353">
        <v>16240933.376</v>
      </c>
      <c r="O194" s="353">
        <v>78384</v>
      </c>
      <c r="P194" s="357">
        <v>15239075.767502388</v>
      </c>
      <c r="Q194" s="353">
        <v>12409632.129000001</v>
      </c>
      <c r="R194" s="353">
        <v>180965</v>
      </c>
      <c r="S194" s="357">
        <v>35183004.135326318</v>
      </c>
      <c r="T194" s="353">
        <v>28650565.504999999</v>
      </c>
      <c r="U194" s="353">
        <v>406810</v>
      </c>
      <c r="V194" s="357">
        <v>81117963.850305602</v>
      </c>
      <c r="W194" s="353">
        <v>66056767.864</v>
      </c>
      <c r="X194" s="353">
        <v>182952</v>
      </c>
      <c r="Y194" s="357">
        <v>36336517.568627484</v>
      </c>
      <c r="Z194" s="353">
        <v>29589905.763</v>
      </c>
      <c r="AA194" s="353">
        <v>589762</v>
      </c>
      <c r="AB194" s="357">
        <v>117454481.41893309</v>
      </c>
      <c r="AC194" s="353">
        <v>95646673.627000004</v>
      </c>
    </row>
    <row r="195" spans="2:29" hidden="1" outlineLevel="1" x14ac:dyDescent="0.25">
      <c r="B195" s="352">
        <v>44317</v>
      </c>
      <c r="C195" s="353">
        <v>304427</v>
      </c>
      <c r="D195" s="357">
        <v>61042766.234602422</v>
      </c>
      <c r="E195" s="353">
        <v>49842484.652000003</v>
      </c>
      <c r="F195" s="353">
        <v>104477</v>
      </c>
      <c r="G195" s="357">
        <v>21022420.673090141</v>
      </c>
      <c r="H195" s="353">
        <v>17165173.605</v>
      </c>
      <c r="I195" s="353">
        <v>408904</v>
      </c>
      <c r="J195" s="357">
        <v>82065186.907692567</v>
      </c>
      <c r="K195" s="353">
        <v>67007658.256999999</v>
      </c>
      <c r="L195" s="353">
        <v>102248</v>
      </c>
      <c r="M195" s="357">
        <v>19825722.389638845</v>
      </c>
      <c r="N195" s="353">
        <v>16188048.558</v>
      </c>
      <c r="O195" s="353">
        <v>78324</v>
      </c>
      <c r="P195" s="357">
        <v>15186332.08844601</v>
      </c>
      <c r="Q195" s="353">
        <v>12399905.357000001</v>
      </c>
      <c r="R195" s="353">
        <v>180572</v>
      </c>
      <c r="S195" s="357">
        <v>35012054.478084855</v>
      </c>
      <c r="T195" s="353">
        <v>28587953.914999999</v>
      </c>
      <c r="U195" s="353">
        <v>406675</v>
      </c>
      <c r="V195" s="357">
        <v>80868488.624241278</v>
      </c>
      <c r="W195" s="353">
        <v>66030533.210000001</v>
      </c>
      <c r="X195" s="353">
        <v>182801</v>
      </c>
      <c r="Y195" s="357">
        <v>36208752.761536151</v>
      </c>
      <c r="Z195" s="353">
        <v>29565078.962000001</v>
      </c>
      <c r="AA195" s="353">
        <v>589476</v>
      </c>
      <c r="AB195" s="357">
        <v>117077241.38577741</v>
      </c>
      <c r="AC195" s="353">
        <v>95595612.172000006</v>
      </c>
    </row>
    <row r="196" spans="2:29" hidden="1" outlineLevel="1" x14ac:dyDescent="0.25">
      <c r="B196" s="352">
        <v>44348</v>
      </c>
      <c r="C196" s="353">
        <v>304385</v>
      </c>
      <c r="D196" s="357">
        <v>60978574.913392961</v>
      </c>
      <c r="E196" s="353">
        <v>49829768.321999997</v>
      </c>
      <c r="F196" s="353">
        <v>104256</v>
      </c>
      <c r="G196" s="357">
        <v>20960225.129818752</v>
      </c>
      <c r="H196" s="353">
        <v>17128034.947999999</v>
      </c>
      <c r="I196" s="353">
        <v>408641</v>
      </c>
      <c r="J196" s="357">
        <v>81938800.043211713</v>
      </c>
      <c r="K196" s="353">
        <v>66957803.270000003</v>
      </c>
      <c r="L196" s="353">
        <v>102342</v>
      </c>
      <c r="M196" s="357">
        <v>19827620.961643126</v>
      </c>
      <c r="N196" s="353">
        <v>16202506.540999999</v>
      </c>
      <c r="O196" s="353">
        <v>78508</v>
      </c>
      <c r="P196" s="357">
        <v>15209519.929757444</v>
      </c>
      <c r="Q196" s="353">
        <v>12428740.02</v>
      </c>
      <c r="R196" s="353">
        <v>180850</v>
      </c>
      <c r="S196" s="357">
        <v>35037140.891400576</v>
      </c>
      <c r="T196" s="353">
        <v>28631246.561000001</v>
      </c>
      <c r="U196" s="353">
        <v>406727</v>
      </c>
      <c r="V196" s="357">
        <v>80806195.875036091</v>
      </c>
      <c r="W196" s="353">
        <v>66032274.862999998</v>
      </c>
      <c r="X196" s="353">
        <v>182764</v>
      </c>
      <c r="Y196" s="357">
        <v>36169745.059576198</v>
      </c>
      <c r="Z196" s="353">
        <v>29556774.967999998</v>
      </c>
      <c r="AA196" s="353">
        <v>589491</v>
      </c>
      <c r="AB196" s="357">
        <v>116975940.93461229</v>
      </c>
      <c r="AC196" s="353">
        <v>95589049.831</v>
      </c>
    </row>
    <row r="197" spans="2:29" hidden="1" outlineLevel="1" x14ac:dyDescent="0.25">
      <c r="B197" s="352">
        <v>44378</v>
      </c>
      <c r="C197" s="353">
        <v>304412</v>
      </c>
      <c r="D197" s="357">
        <v>62738564.147948124</v>
      </c>
      <c r="E197" s="353">
        <v>51682733.987000003</v>
      </c>
      <c r="F197" s="353">
        <v>104136</v>
      </c>
      <c r="G197" s="357">
        <v>21538877.604768611</v>
      </c>
      <c r="H197" s="353">
        <v>17743282.728</v>
      </c>
      <c r="I197" s="353">
        <v>408548</v>
      </c>
      <c r="J197" s="357">
        <v>84277441.752716735</v>
      </c>
      <c r="K197" s="353">
        <v>69426016.715000004</v>
      </c>
      <c r="L197" s="353">
        <v>102344</v>
      </c>
      <c r="M197" s="357">
        <v>20399422.03956484</v>
      </c>
      <c r="N197" s="353">
        <v>16804622.756000001</v>
      </c>
      <c r="O197" s="353">
        <v>78636</v>
      </c>
      <c r="P197" s="357">
        <v>15673770.989465371</v>
      </c>
      <c r="Q197" s="353">
        <v>12911728.976</v>
      </c>
      <c r="R197" s="353">
        <v>180980</v>
      </c>
      <c r="S197" s="357">
        <v>36073193.029030211</v>
      </c>
      <c r="T197" s="353">
        <v>29716351.732000001</v>
      </c>
      <c r="U197" s="353">
        <v>406756</v>
      </c>
      <c r="V197" s="357">
        <v>83137986.187512949</v>
      </c>
      <c r="W197" s="353">
        <v>68487356.743000001</v>
      </c>
      <c r="X197" s="353">
        <v>182772</v>
      </c>
      <c r="Y197" s="357">
        <v>37212648.594233975</v>
      </c>
      <c r="Z197" s="353">
        <v>30655011.704</v>
      </c>
      <c r="AA197" s="353">
        <v>589528</v>
      </c>
      <c r="AB197" s="357">
        <v>120350634.78174694</v>
      </c>
      <c r="AC197" s="353">
        <v>99142368.446999997</v>
      </c>
    </row>
    <row r="198" spans="2:29" hidden="1" outlineLevel="1" x14ac:dyDescent="0.25">
      <c r="B198" s="352">
        <v>44409</v>
      </c>
      <c r="C198" s="353">
        <v>304998</v>
      </c>
      <c r="D198" s="357">
        <v>62674890.569074064</v>
      </c>
      <c r="E198" s="353">
        <v>51815794.846000001</v>
      </c>
      <c r="F198" s="353">
        <v>104304</v>
      </c>
      <c r="G198" s="357">
        <v>21510351.75492166</v>
      </c>
      <c r="H198" s="353">
        <v>17783453.046</v>
      </c>
      <c r="I198" s="353">
        <v>409302</v>
      </c>
      <c r="J198" s="357">
        <v>84185242.323995724</v>
      </c>
      <c r="K198" s="353">
        <v>69599247.892000005</v>
      </c>
      <c r="L198" s="353">
        <v>102353</v>
      </c>
      <c r="M198" s="357">
        <v>20343508.160110638</v>
      </c>
      <c r="N198" s="353">
        <v>16818777.594999999</v>
      </c>
      <c r="O198" s="353">
        <v>78808</v>
      </c>
      <c r="P198" s="357">
        <v>15663418.484686688</v>
      </c>
      <c r="Q198" s="353">
        <v>12949563.556</v>
      </c>
      <c r="R198" s="353">
        <v>181161</v>
      </c>
      <c r="S198" s="357">
        <v>36006926.644797325</v>
      </c>
      <c r="T198" s="353">
        <v>29768341.151000001</v>
      </c>
      <c r="U198" s="353">
        <v>407351</v>
      </c>
      <c r="V198" s="357">
        <v>83018398.729184702</v>
      </c>
      <c r="W198" s="353">
        <v>68634572.441</v>
      </c>
      <c r="X198" s="353">
        <v>183112</v>
      </c>
      <c r="Y198" s="357">
        <v>37173770.239608355</v>
      </c>
      <c r="Z198" s="353">
        <v>30733016.602000002</v>
      </c>
      <c r="AA198" s="353">
        <v>590463</v>
      </c>
      <c r="AB198" s="357">
        <v>120192168.96879306</v>
      </c>
      <c r="AC198" s="353">
        <v>99367589.042999998</v>
      </c>
    </row>
    <row r="199" spans="2:29" hidden="1" outlineLevel="1" x14ac:dyDescent="0.25">
      <c r="B199" s="352">
        <v>44440</v>
      </c>
      <c r="C199" s="353">
        <v>305471</v>
      </c>
      <c r="D199" s="357">
        <v>62035222.446466953</v>
      </c>
      <c r="E199" s="353">
        <v>51891053.582999997</v>
      </c>
      <c r="F199" s="353">
        <v>104316</v>
      </c>
      <c r="G199" s="357">
        <v>21259327.596543588</v>
      </c>
      <c r="H199" s="353">
        <v>17782944.333000001</v>
      </c>
      <c r="I199" s="353">
        <v>409787</v>
      </c>
      <c r="J199" s="357">
        <v>83294550.043010533</v>
      </c>
      <c r="K199" s="353">
        <v>69673997.915999994</v>
      </c>
      <c r="L199" s="353">
        <v>102289</v>
      </c>
      <c r="M199" s="357">
        <v>20094675.658374872</v>
      </c>
      <c r="N199" s="353">
        <v>16808739.458000001</v>
      </c>
      <c r="O199" s="353">
        <v>78880</v>
      </c>
      <c r="P199" s="357">
        <v>15495306.238543049</v>
      </c>
      <c r="Q199" s="353">
        <v>12961471.477</v>
      </c>
      <c r="R199" s="353">
        <v>181169</v>
      </c>
      <c r="S199" s="357">
        <v>35589981.896917924</v>
      </c>
      <c r="T199" s="353">
        <v>29770210.934999999</v>
      </c>
      <c r="U199" s="353">
        <v>407760</v>
      </c>
      <c r="V199" s="357">
        <v>82129898.104841828</v>
      </c>
      <c r="W199" s="353">
        <v>68699793.040999994</v>
      </c>
      <c r="X199" s="353">
        <v>183196</v>
      </c>
      <c r="Y199" s="357">
        <v>36754633.835086629</v>
      </c>
      <c r="Z199" s="353">
        <v>30744415.809999999</v>
      </c>
      <c r="AA199" s="353">
        <v>590956</v>
      </c>
      <c r="AB199" s="357">
        <v>118884531.93992846</v>
      </c>
      <c r="AC199" s="353">
        <v>99444208.850999996</v>
      </c>
    </row>
    <row r="200" spans="2:29" hidden="1" outlineLevel="1" x14ac:dyDescent="0.25">
      <c r="B200" s="352">
        <v>44470</v>
      </c>
      <c r="C200" s="353">
        <v>306429</v>
      </c>
      <c r="D200" s="357">
        <v>61391656.72200013</v>
      </c>
      <c r="E200" s="353">
        <v>52041374.004000001</v>
      </c>
      <c r="F200" s="353">
        <v>104673</v>
      </c>
      <c r="G200" s="357">
        <v>21048210.217491541</v>
      </c>
      <c r="H200" s="353">
        <v>17842453.495000001</v>
      </c>
      <c r="I200" s="353">
        <v>411102</v>
      </c>
      <c r="J200" s="357">
        <v>82439866.939491674</v>
      </c>
      <c r="K200" s="353">
        <v>69883827.498999998</v>
      </c>
      <c r="L200" s="353">
        <v>102399</v>
      </c>
      <c r="M200" s="357">
        <v>19850549.170978099</v>
      </c>
      <c r="N200" s="353">
        <v>16827202.73</v>
      </c>
      <c r="O200" s="353">
        <v>79105</v>
      </c>
      <c r="P200" s="357">
        <v>15333146.907648169</v>
      </c>
      <c r="Q200" s="353">
        <v>12997825.364</v>
      </c>
      <c r="R200" s="353">
        <v>181504</v>
      </c>
      <c r="S200" s="357">
        <v>35183696.078626268</v>
      </c>
      <c r="T200" s="353">
        <v>29825028.094000001</v>
      </c>
      <c r="U200" s="353">
        <v>408828</v>
      </c>
      <c r="V200" s="357">
        <v>81242205.892978221</v>
      </c>
      <c r="W200" s="353">
        <v>68868576.733999997</v>
      </c>
      <c r="X200" s="353">
        <v>183778</v>
      </c>
      <c r="Y200" s="357">
        <v>36381357.125139706</v>
      </c>
      <c r="Z200" s="353">
        <v>30840278.859000001</v>
      </c>
      <c r="AA200" s="353">
        <v>592606</v>
      </c>
      <c r="AB200" s="357">
        <v>117623563.01811795</v>
      </c>
      <c r="AC200" s="353">
        <v>99708855.592999995</v>
      </c>
    </row>
    <row r="201" spans="2:29" hidden="1" outlineLevel="1" x14ac:dyDescent="0.25">
      <c r="B201" s="352">
        <v>44501</v>
      </c>
      <c r="C201" s="353">
        <v>307296</v>
      </c>
      <c r="D201" s="357">
        <v>61249876.44989232</v>
      </c>
      <c r="E201" s="353">
        <v>52180158.678999998</v>
      </c>
      <c r="F201" s="353">
        <v>105079</v>
      </c>
      <c r="G201" s="357">
        <v>21024004.078743726</v>
      </c>
      <c r="H201" s="353">
        <v>17910825.824999999</v>
      </c>
      <c r="I201" s="353">
        <v>412375</v>
      </c>
      <c r="J201" s="357">
        <v>82273880.528636053</v>
      </c>
      <c r="K201" s="353">
        <v>70090984.503999993</v>
      </c>
      <c r="L201" s="353">
        <v>102500</v>
      </c>
      <c r="M201" s="357">
        <v>19772662.620842796</v>
      </c>
      <c r="N201" s="353">
        <v>16844779.660999998</v>
      </c>
      <c r="O201" s="353">
        <v>79398</v>
      </c>
      <c r="P201" s="357">
        <v>15313512.789645378</v>
      </c>
      <c r="Q201" s="353">
        <v>13045928.801999999</v>
      </c>
      <c r="R201" s="353">
        <v>181898</v>
      </c>
      <c r="S201" s="357">
        <v>35086175.410488173</v>
      </c>
      <c r="T201" s="353">
        <v>29890708.463</v>
      </c>
      <c r="U201" s="353">
        <v>409796</v>
      </c>
      <c r="V201" s="357">
        <v>81022539.070735112</v>
      </c>
      <c r="W201" s="353">
        <v>69024938.340000004</v>
      </c>
      <c r="X201" s="353">
        <v>184477</v>
      </c>
      <c r="Y201" s="357">
        <v>36337516.8683891</v>
      </c>
      <c r="Z201" s="353">
        <v>30956754.627</v>
      </c>
      <c r="AA201" s="353">
        <v>594273</v>
      </c>
      <c r="AB201" s="357">
        <v>117360055.93912423</v>
      </c>
      <c r="AC201" s="353">
        <v>99981692.966999993</v>
      </c>
    </row>
    <row r="202" spans="2:29" hidden="1" outlineLevel="1" x14ac:dyDescent="0.25">
      <c r="B202" s="352">
        <v>44531</v>
      </c>
      <c r="C202" s="353">
        <v>308126</v>
      </c>
      <c r="D202" s="357">
        <v>60922023.655854411</v>
      </c>
      <c r="E202" s="353">
        <v>52306407.840999998</v>
      </c>
      <c r="F202" s="353">
        <v>105397</v>
      </c>
      <c r="G202" s="357">
        <v>20920067.211883571</v>
      </c>
      <c r="H202" s="353">
        <v>17961543.329999998</v>
      </c>
      <c r="I202" s="353">
        <v>413523</v>
      </c>
      <c r="J202" s="357">
        <v>81842090.867737979</v>
      </c>
      <c r="K202" s="353">
        <v>70267951.171000004</v>
      </c>
      <c r="L202" s="353">
        <v>102539</v>
      </c>
      <c r="M202" s="357">
        <v>19625769.829562817</v>
      </c>
      <c r="N202" s="353">
        <v>16850285.977000002</v>
      </c>
      <c r="O202" s="353">
        <v>79548</v>
      </c>
      <c r="P202" s="357">
        <v>15226252.609819811</v>
      </c>
      <c r="Q202" s="353">
        <v>13072950.16</v>
      </c>
      <c r="R202" s="353">
        <v>182087</v>
      </c>
      <c r="S202" s="357">
        <v>34852022.439382628</v>
      </c>
      <c r="T202" s="353">
        <v>29923236.136999998</v>
      </c>
      <c r="U202" s="353">
        <v>410665</v>
      </c>
      <c r="V202" s="357">
        <v>80547793.485417217</v>
      </c>
      <c r="W202" s="353">
        <v>69156693.818000004</v>
      </c>
      <c r="X202" s="353">
        <v>184945</v>
      </c>
      <c r="Y202" s="357">
        <v>36146319.821703382</v>
      </c>
      <c r="Z202" s="353">
        <v>31034493.489999998</v>
      </c>
      <c r="AA202" s="353">
        <v>595610</v>
      </c>
      <c r="AB202" s="357">
        <v>116694113.30712061</v>
      </c>
      <c r="AC202" s="353">
        <v>100191187.308</v>
      </c>
    </row>
    <row r="203" spans="2:29" collapsed="1" x14ac:dyDescent="0.25">
      <c r="B203" s="355" t="s">
        <v>712</v>
      </c>
      <c r="C203" s="356">
        <v>305054.41666666669</v>
      </c>
      <c r="D203" s="358">
        <v>61555175.125666231</v>
      </c>
      <c r="E203" s="356"/>
      <c r="F203" s="356">
        <v>104587.16666666667</v>
      </c>
      <c r="G203" s="358">
        <v>21178902.037273306</v>
      </c>
      <c r="H203" s="356"/>
      <c r="I203" s="356">
        <v>409641.58333333331</v>
      </c>
      <c r="J203" s="358">
        <v>82734077.162939548</v>
      </c>
      <c r="K203" s="356"/>
      <c r="L203" s="356">
        <v>102460.83333333333</v>
      </c>
      <c r="M203" s="358">
        <v>19997317.781491935</v>
      </c>
      <c r="N203" s="356"/>
      <c r="O203" s="356">
        <v>78655.75</v>
      </c>
      <c r="P203" s="358">
        <v>15350641.427616825</v>
      </c>
      <c r="Q203" s="356"/>
      <c r="R203" s="356">
        <v>181116.58333333334</v>
      </c>
      <c r="S203" s="358">
        <v>35347959.209108762</v>
      </c>
      <c r="T203" s="356"/>
      <c r="U203" s="356">
        <v>407515.25</v>
      </c>
      <c r="V203" s="358">
        <v>81552492.907158181</v>
      </c>
      <c r="W203" s="356"/>
      <c r="X203" s="356">
        <v>183242.91666666666</v>
      </c>
      <c r="Y203" s="358">
        <v>36529543.464890137</v>
      </c>
      <c r="Z203" s="356"/>
      <c r="AA203" s="356">
        <v>590758.16666666663</v>
      </c>
      <c r="AB203" s="358">
        <v>118082036.37204832</v>
      </c>
      <c r="AC203" s="356"/>
    </row>
    <row r="204" spans="2:29" outlineLevel="1" x14ac:dyDescent="0.25">
      <c r="B204" s="352">
        <v>44562</v>
      </c>
      <c r="C204" s="353">
        <v>309032</v>
      </c>
      <c r="D204" s="357">
        <v>62510726.824698992</v>
      </c>
      <c r="E204" s="353">
        <v>54315078.549999997</v>
      </c>
      <c r="F204" s="353">
        <v>105909</v>
      </c>
      <c r="G204" s="357">
        <v>21459830.595778201</v>
      </c>
      <c r="H204" s="353">
        <v>18646277.905999999</v>
      </c>
      <c r="I204" s="353">
        <v>414941</v>
      </c>
      <c r="J204" s="357">
        <v>83970557.420477182</v>
      </c>
      <c r="K204" s="353">
        <v>72961356.456</v>
      </c>
      <c r="L204" s="353">
        <v>102612</v>
      </c>
      <c r="M204" s="357">
        <v>20791453.302148692</v>
      </c>
      <c r="N204" s="353">
        <v>18065530.136</v>
      </c>
      <c r="O204" s="353">
        <v>79732</v>
      </c>
      <c r="P204" s="357">
        <v>16154948.993934514</v>
      </c>
      <c r="Q204" s="353">
        <v>14036908.034</v>
      </c>
      <c r="R204" s="353">
        <v>182344</v>
      </c>
      <c r="S204" s="357">
        <v>36946402.296083204</v>
      </c>
      <c r="T204" s="353">
        <v>32102438.170000002</v>
      </c>
      <c r="U204" s="353">
        <v>411644</v>
      </c>
      <c r="V204" s="357">
        <v>83302180.126847684</v>
      </c>
      <c r="W204" s="353">
        <v>72380608.686000004</v>
      </c>
      <c r="X204" s="353">
        <v>185641</v>
      </c>
      <c r="Y204" s="357">
        <v>37614779.589712717</v>
      </c>
      <c r="Z204" s="353">
        <v>32683185.940000001</v>
      </c>
      <c r="AA204" s="353">
        <v>597285</v>
      </c>
      <c r="AB204" s="357">
        <v>120916959.71656039</v>
      </c>
      <c r="AC204" s="353">
        <v>105063794.626</v>
      </c>
    </row>
    <row r="205" spans="2:29" outlineLevel="1" x14ac:dyDescent="0.25">
      <c r="B205" s="352">
        <v>44593</v>
      </c>
      <c r="C205" s="353"/>
      <c r="D205" s="357"/>
      <c r="E205" s="353"/>
      <c r="F205" s="353"/>
      <c r="G205" s="357"/>
      <c r="H205" s="353"/>
      <c r="I205" s="353"/>
      <c r="J205" s="357"/>
      <c r="K205" s="353"/>
      <c r="L205" s="353">
        <v>102691</v>
      </c>
      <c r="M205" s="357">
        <v>21795660.047564536</v>
      </c>
      <c r="N205" s="353">
        <v>18992871.736000001</v>
      </c>
      <c r="O205" s="353">
        <v>79908</v>
      </c>
      <c r="P205" s="357">
        <v>16959788.190460827</v>
      </c>
      <c r="Q205" s="353">
        <v>14778863.364</v>
      </c>
      <c r="R205" s="353">
        <v>182599</v>
      </c>
      <c r="S205" s="357">
        <v>38755448.23802536</v>
      </c>
      <c r="T205" s="353">
        <v>33771735.100000001</v>
      </c>
      <c r="U205" s="353">
        <v>102691</v>
      </c>
      <c r="V205" s="357">
        <v>21795660.047564536</v>
      </c>
      <c r="W205" s="353">
        <v>18992871.736000001</v>
      </c>
      <c r="X205" s="353">
        <v>79908</v>
      </c>
      <c r="Y205" s="357">
        <v>16959788.190460827</v>
      </c>
      <c r="Z205" s="353">
        <v>14778863.364</v>
      </c>
      <c r="AA205" s="353">
        <v>182599</v>
      </c>
      <c r="AB205" s="357">
        <v>38755448.23802536</v>
      </c>
      <c r="AC205" s="353">
        <v>33771735.100000001</v>
      </c>
    </row>
    <row r="206" spans="2:29" outlineLevel="1" x14ac:dyDescent="0.25">
      <c r="B206" s="352">
        <v>44621</v>
      </c>
      <c r="C206" s="353"/>
      <c r="D206" s="357"/>
      <c r="E206" s="353"/>
      <c r="F206" s="353"/>
      <c r="G206" s="357"/>
      <c r="H206" s="353"/>
      <c r="I206" s="353"/>
      <c r="J206" s="357"/>
      <c r="K206" s="353"/>
      <c r="L206" s="353">
        <v>102784</v>
      </c>
      <c r="M206" s="357">
        <v>21418067.875877708</v>
      </c>
      <c r="N206" s="353">
        <v>19009957.752999999</v>
      </c>
      <c r="O206" s="353">
        <v>80074</v>
      </c>
      <c r="P206" s="357">
        <v>16684646.032862104</v>
      </c>
      <c r="Q206" s="353">
        <v>14808731.49</v>
      </c>
      <c r="R206" s="353">
        <v>182858</v>
      </c>
      <c r="S206" s="357">
        <v>38102713.908739813</v>
      </c>
      <c r="T206" s="353">
        <v>33818689.243000001</v>
      </c>
      <c r="U206" s="353">
        <v>102784</v>
      </c>
      <c r="V206" s="357">
        <v>21418067.875877708</v>
      </c>
      <c r="W206" s="353">
        <v>19009957.752999999</v>
      </c>
      <c r="X206" s="353">
        <v>80074</v>
      </c>
      <c r="Y206" s="357">
        <v>16684646.032862104</v>
      </c>
      <c r="Z206" s="353">
        <v>14808731.49</v>
      </c>
      <c r="AA206" s="353">
        <v>182858</v>
      </c>
      <c r="AB206" s="357">
        <v>38102713.908739813</v>
      </c>
      <c r="AC206" s="353">
        <v>33818689.243000001</v>
      </c>
    </row>
    <row r="207" spans="2:29" outlineLevel="1" x14ac:dyDescent="0.25">
      <c r="B207" s="352">
        <v>44652</v>
      </c>
      <c r="C207" s="353"/>
      <c r="D207" s="357"/>
      <c r="E207" s="353"/>
      <c r="F207" s="353"/>
      <c r="G207" s="357"/>
      <c r="H207" s="353"/>
      <c r="I207" s="353"/>
      <c r="J207" s="357"/>
      <c r="K207" s="353"/>
      <c r="L207" s="353">
        <v>102632</v>
      </c>
      <c r="M207" s="357">
        <v>21091306.869147606</v>
      </c>
      <c r="N207" s="353">
        <v>18981692.515000001</v>
      </c>
      <c r="O207" s="353">
        <v>80110</v>
      </c>
      <c r="P207" s="357">
        <v>16461947.640514776</v>
      </c>
      <c r="Q207" s="353">
        <v>14815375.369999999</v>
      </c>
      <c r="R207" s="353">
        <v>182742</v>
      </c>
      <c r="S207" s="357">
        <v>37553254.509662382</v>
      </c>
      <c r="T207" s="353">
        <v>33797067.884999998</v>
      </c>
      <c r="U207" s="353">
        <v>102632</v>
      </c>
      <c r="V207" s="357">
        <v>21091306.869147606</v>
      </c>
      <c r="W207" s="353">
        <v>18981692.515000001</v>
      </c>
      <c r="X207" s="353">
        <v>80110</v>
      </c>
      <c r="Y207" s="357">
        <v>16461947.640514776</v>
      </c>
      <c r="Z207" s="353">
        <v>14815375.369999999</v>
      </c>
      <c r="AA207" s="353">
        <v>182742</v>
      </c>
      <c r="AB207" s="357">
        <v>37553254.509662382</v>
      </c>
      <c r="AC207" s="353">
        <v>33797067.884999998</v>
      </c>
    </row>
    <row r="208" spans="2:29" outlineLevel="1" x14ac:dyDescent="0.25">
      <c r="B208" s="352">
        <v>44682</v>
      </c>
      <c r="C208" s="353"/>
      <c r="D208" s="357"/>
      <c r="E208" s="353"/>
      <c r="F208" s="353"/>
      <c r="G208" s="357"/>
      <c r="H208" s="353"/>
      <c r="I208" s="353"/>
      <c r="J208" s="357"/>
      <c r="K208" s="353"/>
      <c r="L208" s="353">
        <v>102856</v>
      </c>
      <c r="M208" s="357">
        <v>20885983.560132515</v>
      </c>
      <c r="N208" s="353">
        <v>19022253.818</v>
      </c>
      <c r="O208" s="353">
        <v>80398</v>
      </c>
      <c r="P208" s="357">
        <v>16324667.845667385</v>
      </c>
      <c r="Q208" s="353">
        <v>14867960.341</v>
      </c>
      <c r="R208" s="353">
        <v>183254</v>
      </c>
      <c r="S208" s="357">
        <v>37210651.405799903</v>
      </c>
      <c r="T208" s="353">
        <v>33890214.159000002</v>
      </c>
      <c r="U208" s="353">
        <v>102856</v>
      </c>
      <c r="V208" s="357">
        <v>20885983.560132515</v>
      </c>
      <c r="W208" s="353">
        <v>19022253.818</v>
      </c>
      <c r="X208" s="353">
        <v>80398</v>
      </c>
      <c r="Y208" s="357">
        <v>16324667.845667385</v>
      </c>
      <c r="Z208" s="353">
        <v>14867960.341</v>
      </c>
      <c r="AA208" s="353">
        <v>183254</v>
      </c>
      <c r="AB208" s="357">
        <v>37210651.405799903</v>
      </c>
      <c r="AC208" s="353">
        <v>33890214.159000002</v>
      </c>
    </row>
    <row r="209" spans="2:29" outlineLevel="1" x14ac:dyDescent="0.25">
      <c r="B209" s="352">
        <v>44713</v>
      </c>
      <c r="C209" s="353"/>
      <c r="D209" s="357"/>
      <c r="E209" s="353"/>
      <c r="F209" s="353"/>
      <c r="G209" s="357"/>
      <c r="H209" s="353"/>
      <c r="I209" s="353"/>
      <c r="J209" s="357"/>
      <c r="K209" s="353"/>
      <c r="L209" s="353">
        <v>103404</v>
      </c>
      <c r="M209" s="357">
        <v>20803016.63982844</v>
      </c>
      <c r="N209" s="353">
        <v>19123392.921</v>
      </c>
      <c r="O209" s="353">
        <v>80766</v>
      </c>
      <c r="P209" s="357">
        <v>16247425.923196942</v>
      </c>
      <c r="Q209" s="353">
        <v>14935618.005000001</v>
      </c>
      <c r="R209" s="353">
        <v>184170</v>
      </c>
      <c r="S209" s="357">
        <v>37050442.563025385</v>
      </c>
      <c r="T209" s="353">
        <v>34059010.925999999</v>
      </c>
      <c r="U209" s="353">
        <v>103404</v>
      </c>
      <c r="V209" s="357">
        <v>20803016.63982844</v>
      </c>
      <c r="W209" s="353">
        <v>19123392.921</v>
      </c>
      <c r="X209" s="353">
        <v>80766</v>
      </c>
      <c r="Y209" s="357">
        <v>16247425.923196942</v>
      </c>
      <c r="Z209" s="353">
        <v>14935618.005000001</v>
      </c>
      <c r="AA209" s="353">
        <v>184170</v>
      </c>
      <c r="AB209" s="357">
        <v>37050442.563025385</v>
      </c>
      <c r="AC209" s="353">
        <v>34059010.925999999</v>
      </c>
    </row>
    <row r="210" spans="2:29" outlineLevel="1" x14ac:dyDescent="0.25">
      <c r="B210" s="352">
        <v>44743</v>
      </c>
      <c r="C210" s="353"/>
      <c r="D210" s="357"/>
      <c r="E210" s="353"/>
      <c r="F210" s="353"/>
      <c r="G210" s="357"/>
      <c r="H210" s="353"/>
      <c r="I210" s="353"/>
      <c r="J210" s="357"/>
      <c r="K210" s="353"/>
      <c r="L210" s="353">
        <v>103650</v>
      </c>
      <c r="M210" s="357">
        <v>21561367.22782943</v>
      </c>
      <c r="N210" s="353">
        <v>20092998.521000002</v>
      </c>
      <c r="O210" s="353">
        <v>81031</v>
      </c>
      <c r="P210" s="357">
        <v>16854680.313906837</v>
      </c>
      <c r="Q210" s="353">
        <v>15706845.630000001</v>
      </c>
      <c r="R210" s="353">
        <v>184681</v>
      </c>
      <c r="S210" s="357">
        <v>38416047.541736268</v>
      </c>
      <c r="T210" s="353">
        <v>35799844.151000001</v>
      </c>
      <c r="U210" s="353">
        <v>103650</v>
      </c>
      <c r="V210" s="357">
        <v>21561367.22782943</v>
      </c>
      <c r="W210" s="353">
        <v>20092998.521000002</v>
      </c>
      <c r="X210" s="353">
        <v>81031</v>
      </c>
      <c r="Y210" s="357">
        <v>16854680.313906837</v>
      </c>
      <c r="Z210" s="353">
        <v>15706845.630000001</v>
      </c>
      <c r="AA210" s="353">
        <v>184681</v>
      </c>
      <c r="AB210" s="357">
        <v>38416047.541736268</v>
      </c>
      <c r="AC210" s="353">
        <v>35799844.151000001</v>
      </c>
    </row>
    <row r="211" spans="2:29" outlineLevel="1" x14ac:dyDescent="0.25">
      <c r="B211" s="352">
        <v>44774</v>
      </c>
      <c r="C211" s="353"/>
      <c r="D211" s="357"/>
      <c r="E211" s="353"/>
      <c r="F211" s="353"/>
      <c r="G211" s="357"/>
      <c r="H211" s="353"/>
      <c r="I211" s="353"/>
      <c r="J211" s="357"/>
      <c r="K211" s="353"/>
      <c r="L211" s="353">
        <v>103890</v>
      </c>
      <c r="M211" s="357">
        <v>21351957.871889755</v>
      </c>
      <c r="N211" s="353">
        <v>20138797.901000001</v>
      </c>
      <c r="O211" s="353">
        <v>81219</v>
      </c>
      <c r="P211" s="357">
        <v>16691715.393348023</v>
      </c>
      <c r="Q211" s="353">
        <v>15743337.681</v>
      </c>
      <c r="R211" s="353">
        <v>185109</v>
      </c>
      <c r="S211" s="357">
        <v>38043673.265237778</v>
      </c>
      <c r="T211" s="353">
        <v>35882135.582000002</v>
      </c>
      <c r="U211" s="353">
        <v>103890</v>
      </c>
      <c r="V211" s="357">
        <v>21351957.871889755</v>
      </c>
      <c r="W211" s="353">
        <v>20138797.901000001</v>
      </c>
      <c r="X211" s="353">
        <v>81219</v>
      </c>
      <c r="Y211" s="357">
        <v>16691715.393348023</v>
      </c>
      <c r="Z211" s="353">
        <v>15743337.681</v>
      </c>
      <c r="AA211" s="353">
        <v>185109</v>
      </c>
      <c r="AB211" s="357">
        <v>38043673.265237778</v>
      </c>
      <c r="AC211" s="353">
        <v>35882135.582000002</v>
      </c>
    </row>
    <row r="212" spans="2:29" outlineLevel="1" x14ac:dyDescent="0.25">
      <c r="B212" s="352">
        <v>44805</v>
      </c>
      <c r="C212" s="353"/>
      <c r="D212" s="357"/>
      <c r="E212" s="353"/>
      <c r="F212" s="353"/>
      <c r="G212" s="357"/>
      <c r="H212" s="353"/>
      <c r="I212" s="353"/>
      <c r="J212" s="357"/>
      <c r="K212" s="353"/>
      <c r="L212" s="353">
        <v>103948</v>
      </c>
      <c r="M212" s="357">
        <v>21179570.129662063</v>
      </c>
      <c r="N212" s="353">
        <v>20148903.199000001</v>
      </c>
      <c r="O212" s="353">
        <v>81350</v>
      </c>
      <c r="P212" s="357">
        <v>16574357.911537452</v>
      </c>
      <c r="Q212" s="353">
        <v>15767795.620999999</v>
      </c>
      <c r="R212" s="353">
        <v>185298</v>
      </c>
      <c r="S212" s="357">
        <v>37753928.041199513</v>
      </c>
      <c r="T212" s="353">
        <v>35916698.82</v>
      </c>
      <c r="U212" s="353">
        <v>103948</v>
      </c>
      <c r="V212" s="357">
        <v>21179570.129662063</v>
      </c>
      <c r="W212" s="353">
        <v>20148903.199000001</v>
      </c>
      <c r="X212" s="353">
        <v>81350</v>
      </c>
      <c r="Y212" s="357">
        <v>16574357.911537452</v>
      </c>
      <c r="Z212" s="353">
        <v>15767795.620999999</v>
      </c>
      <c r="AA212" s="353">
        <v>185298</v>
      </c>
      <c r="AB212" s="357">
        <v>37753928.041199513</v>
      </c>
      <c r="AC212" s="353">
        <v>35916698.82</v>
      </c>
    </row>
    <row r="213" spans="2:29" outlineLevel="1" x14ac:dyDescent="0.25">
      <c r="B213" s="352">
        <v>44835</v>
      </c>
      <c r="C213" s="353"/>
      <c r="D213" s="357"/>
      <c r="E213" s="353"/>
      <c r="F213" s="353"/>
      <c r="G213" s="357"/>
      <c r="H213" s="353"/>
      <c r="I213" s="353"/>
      <c r="J213" s="357"/>
      <c r="K213" s="353"/>
      <c r="L213" s="353">
        <v>103979</v>
      </c>
      <c r="M213" s="357">
        <v>21076789.72428403</v>
      </c>
      <c r="N213" s="353">
        <v>20154801.070999999</v>
      </c>
      <c r="O213" s="353">
        <v>81414</v>
      </c>
      <c r="P213" s="357">
        <v>16501949.221731724</v>
      </c>
      <c r="Q213" s="353">
        <v>15780083.598999999</v>
      </c>
      <c r="R213" s="353">
        <v>185393</v>
      </c>
      <c r="S213" s="357">
        <v>37578738.946015753</v>
      </c>
      <c r="T213" s="353">
        <v>35934884.670000002</v>
      </c>
      <c r="U213" s="353">
        <v>103979</v>
      </c>
      <c r="V213" s="357">
        <v>21076789.72428403</v>
      </c>
      <c r="W213" s="353">
        <v>20154801.070999999</v>
      </c>
      <c r="X213" s="353">
        <v>81414</v>
      </c>
      <c r="Y213" s="357">
        <v>16501949.221731724</v>
      </c>
      <c r="Z213" s="353">
        <v>15780083.598999999</v>
      </c>
      <c r="AA213" s="353">
        <v>185393</v>
      </c>
      <c r="AB213" s="357">
        <v>37578738.946015753</v>
      </c>
      <c r="AC213" s="353">
        <v>35934884.670000002</v>
      </c>
    </row>
    <row r="214" spans="2:29" outlineLevel="1" x14ac:dyDescent="0.25">
      <c r="B214" s="352">
        <v>44866</v>
      </c>
      <c r="C214" s="353"/>
      <c r="D214" s="357"/>
      <c r="E214" s="353"/>
      <c r="F214" s="353"/>
      <c r="G214" s="357"/>
      <c r="H214" s="353"/>
      <c r="I214" s="353"/>
      <c r="J214" s="357"/>
      <c r="K214" s="353"/>
      <c r="L214" s="353">
        <v>103866</v>
      </c>
      <c r="M214" s="357">
        <v>20850367.504201457</v>
      </c>
      <c r="N214" s="353">
        <v>20132730.649</v>
      </c>
      <c r="O214" s="353">
        <v>81490</v>
      </c>
      <c r="P214" s="357">
        <v>16357443.679816687</v>
      </c>
      <c r="Q214" s="353">
        <v>15794446.196</v>
      </c>
      <c r="R214" s="353">
        <v>185356</v>
      </c>
      <c r="S214" s="357">
        <v>37207811.184018143</v>
      </c>
      <c r="T214" s="353">
        <v>35927176.844999999</v>
      </c>
      <c r="U214" s="353">
        <v>103866</v>
      </c>
      <c r="V214" s="357">
        <v>20850367.504201457</v>
      </c>
      <c r="W214" s="353">
        <v>20132730.649</v>
      </c>
      <c r="X214" s="353">
        <v>81490</v>
      </c>
      <c r="Y214" s="357">
        <v>16357443.679816687</v>
      </c>
      <c r="Z214" s="353">
        <v>15794446.196</v>
      </c>
      <c r="AA214" s="353">
        <v>185356</v>
      </c>
      <c r="AB214" s="357">
        <v>37207811.184018143</v>
      </c>
      <c r="AC214" s="353">
        <v>35927176.844999999</v>
      </c>
    </row>
    <row r="215" spans="2:29" outlineLevel="1" x14ac:dyDescent="0.25">
      <c r="B215" s="352">
        <v>44896</v>
      </c>
      <c r="C215" s="353"/>
      <c r="D215" s="357"/>
      <c r="E215" s="353"/>
      <c r="F215" s="353"/>
      <c r="G215" s="357"/>
      <c r="H215" s="353"/>
      <c r="I215" s="353"/>
      <c r="J215" s="357"/>
      <c r="K215" s="353"/>
      <c r="L215" s="353">
        <v>103979</v>
      </c>
      <c r="M215" s="357">
        <v>20813192.947864693</v>
      </c>
      <c r="N215" s="353">
        <v>20153837.159000002</v>
      </c>
      <c r="O215" s="353">
        <v>81605</v>
      </c>
      <c r="P215" s="357">
        <v>16333630.760364776</v>
      </c>
      <c r="Q215" s="353">
        <v>15816186.175000001</v>
      </c>
      <c r="R215" s="353">
        <v>185584</v>
      </c>
      <c r="S215" s="357">
        <v>37146823.708229467</v>
      </c>
      <c r="T215" s="353">
        <v>35970023.333999999</v>
      </c>
      <c r="U215" s="353">
        <v>103979</v>
      </c>
      <c r="V215" s="357">
        <v>20813192.947864693</v>
      </c>
      <c r="W215" s="353">
        <v>20153837.159000002</v>
      </c>
      <c r="X215" s="353">
        <v>81605</v>
      </c>
      <c r="Y215" s="357">
        <v>16333630.760364776</v>
      </c>
      <c r="Z215" s="353">
        <v>15816186.175000001</v>
      </c>
      <c r="AA215" s="353">
        <v>185584</v>
      </c>
      <c r="AB215" s="357">
        <v>37146823.708229467</v>
      </c>
      <c r="AC215" s="353">
        <v>35970023.333999999</v>
      </c>
    </row>
    <row r="216" spans="2:29" x14ac:dyDescent="0.25">
      <c r="B216" s="355" t="s">
        <v>713</v>
      </c>
      <c r="C216" s="356">
        <v>309032</v>
      </c>
      <c r="D216" s="358">
        <v>62510726.824698992</v>
      </c>
      <c r="E216" s="356"/>
      <c r="F216" s="356">
        <v>105909</v>
      </c>
      <c r="G216" s="358">
        <v>21459830.595778201</v>
      </c>
      <c r="H216" s="356"/>
      <c r="I216" s="356">
        <v>414941</v>
      </c>
      <c r="J216" s="358">
        <v>83970557.420477182</v>
      </c>
      <c r="K216" s="356"/>
      <c r="L216" s="356">
        <v>103357.58333333333</v>
      </c>
      <c r="M216" s="358">
        <v>21134894.475035913</v>
      </c>
      <c r="N216" s="356"/>
      <c r="O216" s="356">
        <v>80758.083333333328</v>
      </c>
      <c r="P216" s="358">
        <v>16512266.825611837</v>
      </c>
      <c r="Q216" s="356"/>
      <c r="R216" s="356">
        <v>184115.66666666666</v>
      </c>
      <c r="S216" s="358">
        <v>37647161.30064775</v>
      </c>
      <c r="T216" s="356"/>
      <c r="U216" s="356">
        <v>129110.25</v>
      </c>
      <c r="V216" s="358">
        <v>26344121.710427493</v>
      </c>
      <c r="W216" s="356"/>
      <c r="X216" s="356">
        <v>89583.833333333328</v>
      </c>
      <c r="Y216" s="358">
        <v>18300586.041926686</v>
      </c>
      <c r="Z216" s="356"/>
      <c r="AA216" s="356">
        <v>218694.08333333334</v>
      </c>
      <c r="AB216" s="358">
        <v>44644707.752354182</v>
      </c>
      <c r="AC216" s="356"/>
    </row>
    <row r="217" spans="2:29" outlineLevel="1" x14ac:dyDescent="0.25">
      <c r="B217" s="352">
        <v>44927</v>
      </c>
      <c r="C217" s="353"/>
      <c r="D217" s="357"/>
      <c r="E217" s="353"/>
      <c r="F217" s="353"/>
      <c r="G217" s="357"/>
      <c r="H217" s="353"/>
      <c r="I217" s="353"/>
      <c r="J217" s="357"/>
      <c r="K217" s="353"/>
      <c r="L217" s="353">
        <v>104230</v>
      </c>
      <c r="M217" s="357">
        <v>20696182.234855063</v>
      </c>
      <c r="N217" s="353">
        <v>20201881.583999999</v>
      </c>
      <c r="O217" s="353">
        <v>81876</v>
      </c>
      <c r="P217" s="357">
        <v>16256794.441958873</v>
      </c>
      <c r="Q217" s="353">
        <v>15868522.635</v>
      </c>
      <c r="R217" s="353">
        <v>186106</v>
      </c>
      <c r="S217" s="357">
        <v>36952976.676813938</v>
      </c>
      <c r="T217" s="353">
        <v>36070404.218999997</v>
      </c>
      <c r="U217" s="353">
        <v>104230</v>
      </c>
      <c r="V217" s="357">
        <v>20696182.234855063</v>
      </c>
      <c r="W217" s="353">
        <v>20201881.583999999</v>
      </c>
      <c r="X217" s="353">
        <v>81876</v>
      </c>
      <c r="Y217" s="357">
        <v>16256794.441958873</v>
      </c>
      <c r="Z217" s="353">
        <v>15868522.635</v>
      </c>
      <c r="AA217" s="353">
        <v>186106</v>
      </c>
      <c r="AB217" s="357">
        <v>36952976.676813938</v>
      </c>
      <c r="AC217" s="353">
        <v>36070404.218999997</v>
      </c>
    </row>
    <row r="218" spans="2:29" outlineLevel="1" x14ac:dyDescent="0.25">
      <c r="B218" s="352">
        <v>44958</v>
      </c>
      <c r="C218" s="353"/>
      <c r="D218" s="357"/>
      <c r="E218" s="353"/>
      <c r="F218" s="353"/>
      <c r="G218" s="357"/>
      <c r="H218" s="353"/>
      <c r="I218" s="353"/>
      <c r="J218" s="357"/>
      <c r="K218" s="353"/>
      <c r="L218" s="353">
        <v>104475</v>
      </c>
      <c r="M218" s="357">
        <v>22070670.802630063</v>
      </c>
      <c r="N218" s="353">
        <v>21529706.804000001</v>
      </c>
      <c r="O218" s="353">
        <v>82037</v>
      </c>
      <c r="P218" s="357">
        <v>17330153.493587676</v>
      </c>
      <c r="Q218" s="353">
        <v>16905382.120999999</v>
      </c>
      <c r="R218" s="353">
        <v>186512</v>
      </c>
      <c r="S218" s="357">
        <v>39400824.29621774</v>
      </c>
      <c r="T218" s="353">
        <v>38435088.924999997</v>
      </c>
      <c r="U218" s="353">
        <v>104475</v>
      </c>
      <c r="V218" s="357">
        <v>22070670.802630063</v>
      </c>
      <c r="W218" s="353">
        <v>21529706.804000001</v>
      </c>
      <c r="X218" s="353">
        <v>82037</v>
      </c>
      <c r="Y218" s="357">
        <v>17330153.493587676</v>
      </c>
      <c r="Z218" s="353">
        <v>16905382.120999999</v>
      </c>
      <c r="AA218" s="353">
        <v>186512</v>
      </c>
      <c r="AB218" s="357">
        <v>39400824.29621774</v>
      </c>
      <c r="AC218" s="353">
        <v>38435088.924999997</v>
      </c>
    </row>
    <row r="219" spans="2:29" outlineLevel="1" x14ac:dyDescent="0.25">
      <c r="B219" s="352">
        <v>44986</v>
      </c>
      <c r="C219" s="353"/>
      <c r="D219" s="357"/>
      <c r="E219" s="353"/>
      <c r="F219" s="353"/>
      <c r="G219" s="357"/>
      <c r="H219" s="353"/>
      <c r="I219" s="353"/>
      <c r="J219" s="357"/>
      <c r="K219" s="353"/>
      <c r="L219" s="353">
        <v>104804</v>
      </c>
      <c r="M219" s="357">
        <v>21901579.563487638</v>
      </c>
      <c r="N219" s="353">
        <v>21596971.883000001</v>
      </c>
      <c r="O219" s="353">
        <v>82313</v>
      </c>
      <c r="P219" s="357">
        <v>17201525.081900556</v>
      </c>
      <c r="Q219" s="353">
        <v>16962285.868999999</v>
      </c>
      <c r="R219" s="353">
        <v>187117</v>
      </c>
      <c r="S219" s="357">
        <v>39103104.645388193</v>
      </c>
      <c r="T219" s="353">
        <v>38559257.751999997</v>
      </c>
      <c r="U219" s="353">
        <v>104804</v>
      </c>
      <c r="V219" s="357">
        <v>21901579.563487638</v>
      </c>
      <c r="W219" s="353">
        <v>21596971.883000001</v>
      </c>
      <c r="X219" s="353">
        <v>82313</v>
      </c>
      <c r="Y219" s="357">
        <v>17201525.081900556</v>
      </c>
      <c r="Z219" s="353">
        <v>16962285.868999999</v>
      </c>
      <c r="AA219" s="353">
        <v>187117</v>
      </c>
      <c r="AB219" s="357">
        <v>39103104.645388193</v>
      </c>
      <c r="AC219" s="353">
        <v>38559257.751999997</v>
      </c>
    </row>
    <row r="220" spans="2:29" outlineLevel="1" x14ac:dyDescent="0.25">
      <c r="B220" s="352">
        <v>45017</v>
      </c>
      <c r="C220" s="353"/>
      <c r="D220" s="357"/>
      <c r="E220" s="353"/>
      <c r="F220" s="353"/>
      <c r="G220" s="357"/>
      <c r="H220" s="353"/>
      <c r="I220" s="353"/>
      <c r="J220" s="357"/>
      <c r="K220" s="353"/>
      <c r="L220" s="353">
        <v>105039</v>
      </c>
      <c r="M220" s="357">
        <v>21881947.335838851</v>
      </c>
      <c r="N220" s="353">
        <v>21644219.971000001</v>
      </c>
      <c r="O220" s="353">
        <v>82539</v>
      </c>
      <c r="P220" s="357">
        <v>17194984.932683978</v>
      </c>
      <c r="Q220" s="353">
        <v>17008177.131999999</v>
      </c>
      <c r="R220" s="353">
        <v>187578</v>
      </c>
      <c r="S220" s="357">
        <v>39076932.268522836</v>
      </c>
      <c r="T220" s="353">
        <v>38652397.103</v>
      </c>
      <c r="U220" s="353">
        <v>105039</v>
      </c>
      <c r="V220" s="357">
        <v>21881947.335838851</v>
      </c>
      <c r="W220" s="353">
        <v>21644219.971000001</v>
      </c>
      <c r="X220" s="353">
        <v>82539</v>
      </c>
      <c r="Y220" s="357">
        <v>17194984.932683978</v>
      </c>
      <c r="Z220" s="353">
        <v>17008177.131999999</v>
      </c>
      <c r="AA220" s="353">
        <v>187578</v>
      </c>
      <c r="AB220" s="357">
        <v>39076932.268522836</v>
      </c>
      <c r="AC220" s="353">
        <v>38652397.103</v>
      </c>
    </row>
    <row r="221" spans="2:29" outlineLevel="1" x14ac:dyDescent="0.25">
      <c r="B221" s="352">
        <v>45047</v>
      </c>
      <c r="C221" s="353"/>
      <c r="D221" s="357"/>
      <c r="E221" s="353"/>
      <c r="F221" s="353"/>
      <c r="G221" s="357"/>
      <c r="H221" s="353"/>
      <c r="I221" s="353"/>
      <c r="J221" s="357"/>
      <c r="K221" s="353"/>
      <c r="L221" s="353">
        <v>105332</v>
      </c>
      <c r="M221" s="357">
        <v>21918067.927119996</v>
      </c>
      <c r="N221" s="353">
        <v>21704304.68</v>
      </c>
      <c r="O221" s="353">
        <v>82778</v>
      </c>
      <c r="P221" s="357">
        <v>17225482.933275554</v>
      </c>
      <c r="Q221" s="353">
        <v>17057485.682</v>
      </c>
      <c r="R221" s="353">
        <v>188110</v>
      </c>
      <c r="S221" s="357">
        <v>39143550.860395543</v>
      </c>
      <c r="T221" s="353">
        <v>38761790.362000003</v>
      </c>
      <c r="U221" s="353">
        <v>105332</v>
      </c>
      <c r="V221" s="357">
        <v>21918067.927119996</v>
      </c>
      <c r="W221" s="353">
        <v>21704304.68</v>
      </c>
      <c r="X221" s="353">
        <v>82778</v>
      </c>
      <c r="Y221" s="357">
        <v>17225482.933275554</v>
      </c>
      <c r="Z221" s="353">
        <v>17057485.682</v>
      </c>
      <c r="AA221" s="353">
        <v>188110</v>
      </c>
      <c r="AB221" s="357">
        <v>39143550.860395543</v>
      </c>
      <c r="AC221" s="353">
        <v>38761790.362000003</v>
      </c>
    </row>
    <row r="222" spans="2:29" outlineLevel="1" x14ac:dyDescent="0.25">
      <c r="B222" s="352">
        <v>45078</v>
      </c>
      <c r="C222" s="353"/>
      <c r="D222" s="357"/>
      <c r="E222" s="353"/>
      <c r="F222" s="353"/>
      <c r="G222" s="357"/>
      <c r="H222" s="353"/>
      <c r="I222" s="353"/>
      <c r="J222" s="357"/>
      <c r="K222" s="353"/>
      <c r="L222" s="353">
        <v>105767</v>
      </c>
      <c r="M222" s="357">
        <v>22042130.48422737</v>
      </c>
      <c r="N222" s="353">
        <v>21793851.675000001</v>
      </c>
      <c r="O222" s="353">
        <v>83130</v>
      </c>
      <c r="P222" s="357">
        <v>17324926.921517976</v>
      </c>
      <c r="Q222" s="353">
        <v>17129781.890999999</v>
      </c>
      <c r="R222" s="353">
        <v>188897</v>
      </c>
      <c r="S222" s="357">
        <v>39367057.405745342</v>
      </c>
      <c r="T222" s="353">
        <v>38923633.566</v>
      </c>
      <c r="U222" s="353">
        <v>105767</v>
      </c>
      <c r="V222" s="357">
        <v>22042130.48422737</v>
      </c>
      <c r="W222" s="353">
        <v>21793851.675000001</v>
      </c>
      <c r="X222" s="353">
        <v>83130</v>
      </c>
      <c r="Y222" s="357">
        <v>17324926.921517976</v>
      </c>
      <c r="Z222" s="353">
        <v>17129781.890999999</v>
      </c>
      <c r="AA222" s="353">
        <v>188897</v>
      </c>
      <c r="AB222" s="357">
        <v>39367057.405745342</v>
      </c>
      <c r="AC222" s="353">
        <v>38923633.566</v>
      </c>
    </row>
    <row r="223" spans="2:29" outlineLevel="1" x14ac:dyDescent="0.25">
      <c r="B223" s="352">
        <v>45108</v>
      </c>
      <c r="C223" s="353"/>
      <c r="D223" s="357"/>
      <c r="E223" s="353"/>
      <c r="F223" s="353"/>
      <c r="G223" s="357"/>
      <c r="H223" s="353"/>
      <c r="I223" s="353"/>
      <c r="J223" s="357"/>
      <c r="K223" s="353"/>
      <c r="L223" s="353">
        <v>106121</v>
      </c>
      <c r="M223" s="357">
        <v>22038056.013423316</v>
      </c>
      <c r="N223" s="353">
        <v>21866468.298</v>
      </c>
      <c r="O223" s="353">
        <v>83495</v>
      </c>
      <c r="P223" s="357">
        <v>17339844.305568136</v>
      </c>
      <c r="Q223" s="353">
        <v>17204836.741</v>
      </c>
      <c r="R223" s="353">
        <v>189616</v>
      </c>
      <c r="S223" s="357">
        <v>39377900.318991452</v>
      </c>
      <c r="T223" s="353">
        <v>39071305.038999997</v>
      </c>
      <c r="U223" s="353">
        <v>106121</v>
      </c>
      <c r="V223" s="357">
        <v>22038056.013423316</v>
      </c>
      <c r="W223" s="353">
        <v>21866468.298</v>
      </c>
      <c r="X223" s="353">
        <v>83495</v>
      </c>
      <c r="Y223" s="357">
        <v>17339844.305568136</v>
      </c>
      <c r="Z223" s="353">
        <v>17204836.741</v>
      </c>
      <c r="AA223" s="353">
        <v>189616</v>
      </c>
      <c r="AB223" s="357">
        <v>39377900.318991452</v>
      </c>
      <c r="AC223" s="353">
        <v>39071305.038999997</v>
      </c>
    </row>
    <row r="224" spans="2:29" outlineLevel="1" x14ac:dyDescent="0.25">
      <c r="B224" s="352">
        <v>45139</v>
      </c>
      <c r="C224" s="353"/>
      <c r="D224" s="357"/>
      <c r="E224" s="353"/>
      <c r="F224" s="353"/>
      <c r="G224" s="357"/>
      <c r="H224" s="353"/>
      <c r="I224" s="353"/>
      <c r="J224" s="357"/>
      <c r="K224" s="353"/>
      <c r="L224" s="353">
        <v>106570</v>
      </c>
      <c r="M224" s="357">
        <v>22106382.633465972</v>
      </c>
      <c r="N224" s="353">
        <v>21958709.622000001</v>
      </c>
      <c r="O224" s="353">
        <v>83812</v>
      </c>
      <c r="P224" s="357">
        <v>17386522.417040613</v>
      </c>
      <c r="Q224" s="353">
        <v>17270378.579</v>
      </c>
      <c r="R224" s="353">
        <v>190382</v>
      </c>
      <c r="S224" s="357">
        <v>39492905.050506584</v>
      </c>
      <c r="T224" s="353">
        <v>39229088.200999998</v>
      </c>
      <c r="U224" s="353">
        <v>106570</v>
      </c>
      <c r="V224" s="357">
        <v>22106382.633465972</v>
      </c>
      <c r="W224" s="353">
        <v>21958709.622000001</v>
      </c>
      <c r="X224" s="353">
        <v>83812</v>
      </c>
      <c r="Y224" s="357">
        <v>17386522.417040613</v>
      </c>
      <c r="Z224" s="353">
        <v>17270378.579</v>
      </c>
      <c r="AA224" s="353">
        <v>190382</v>
      </c>
      <c r="AB224" s="357">
        <v>39492905.050506584</v>
      </c>
      <c r="AC224" s="353">
        <v>39229088.200999998</v>
      </c>
    </row>
    <row r="225" spans="2:29" outlineLevel="1" x14ac:dyDescent="0.25">
      <c r="B225" s="352">
        <v>45170</v>
      </c>
      <c r="C225" s="353"/>
      <c r="D225" s="357"/>
      <c r="E225" s="353"/>
      <c r="F225" s="353"/>
      <c r="G225" s="357"/>
      <c r="H225" s="353"/>
      <c r="I225" s="353"/>
      <c r="J225" s="357"/>
      <c r="K225" s="353"/>
      <c r="L225" s="353">
        <v>106868</v>
      </c>
      <c r="M225" s="357">
        <v>22021397.412</v>
      </c>
      <c r="N225" s="353">
        <v>22021397.412</v>
      </c>
      <c r="O225" s="353">
        <v>84043</v>
      </c>
      <c r="P225" s="357">
        <v>17319291.464000002</v>
      </c>
      <c r="Q225" s="353">
        <v>17319291.464000002</v>
      </c>
      <c r="R225" s="353">
        <v>190911</v>
      </c>
      <c r="S225" s="357">
        <v>39340688.876000002</v>
      </c>
      <c r="T225" s="353">
        <v>39340688.876000002</v>
      </c>
      <c r="U225" s="353">
        <v>106868</v>
      </c>
      <c r="V225" s="357">
        <v>22021397.412</v>
      </c>
      <c r="W225" s="353">
        <v>22021397.412</v>
      </c>
      <c r="X225" s="353">
        <v>84043</v>
      </c>
      <c r="Y225" s="357">
        <v>17319291.464000002</v>
      </c>
      <c r="Z225" s="353">
        <v>17319291.464000002</v>
      </c>
      <c r="AA225" s="353">
        <v>190911</v>
      </c>
      <c r="AB225" s="357">
        <v>39340688.876000002</v>
      </c>
      <c r="AC225" s="353">
        <v>39340688.876000002</v>
      </c>
    </row>
    <row r="226" spans="2:29" ht="30" x14ac:dyDescent="0.25">
      <c r="B226" s="355" t="s">
        <v>861</v>
      </c>
      <c r="C226" s="356"/>
      <c r="D226" s="358"/>
      <c r="E226" s="356"/>
      <c r="F226" s="356"/>
      <c r="G226" s="358"/>
      <c r="H226" s="356"/>
      <c r="I226" s="356"/>
      <c r="J226" s="358"/>
      <c r="K226" s="356"/>
      <c r="L226" s="356">
        <v>105467.33333333333</v>
      </c>
      <c r="M226" s="358">
        <v>21852934.934116475</v>
      </c>
      <c r="N226" s="356"/>
      <c r="O226" s="356">
        <v>82891.444444444438</v>
      </c>
      <c r="P226" s="358">
        <v>17175502.887948148</v>
      </c>
      <c r="Q226" s="356"/>
      <c r="R226" s="356">
        <v>188358.77777777778</v>
      </c>
      <c r="S226" s="358">
        <v>39028437.822064616</v>
      </c>
      <c r="T226" s="356"/>
      <c r="U226" s="356">
        <v>105467.33333333333</v>
      </c>
      <c r="V226" s="358">
        <v>21852934.934116475</v>
      </c>
      <c r="W226" s="356"/>
      <c r="X226" s="356">
        <v>82891.444444444438</v>
      </c>
      <c r="Y226" s="358">
        <v>17175502.887948148</v>
      </c>
      <c r="Z226" s="356"/>
      <c r="AA226" s="356">
        <v>188358.77777777778</v>
      </c>
      <c r="AB226" s="358">
        <v>39028437.822064616</v>
      </c>
      <c r="AC226" s="356"/>
    </row>
    <row r="227" spans="2:29" x14ac:dyDescent="0.25">
      <c r="B227" s="4" t="s">
        <v>812</v>
      </c>
      <c r="C227" s="5"/>
      <c r="D227" s="5"/>
      <c r="E227" s="5"/>
      <c r="F227" s="5"/>
      <c r="G227" s="5"/>
      <c r="H227" s="5"/>
      <c r="I227" s="5"/>
      <c r="J227" s="5"/>
      <c r="K227" s="5"/>
      <c r="L227" s="5"/>
      <c r="M227" s="5"/>
    </row>
    <row r="228" spans="2:29" x14ac:dyDescent="0.25">
      <c r="B228" s="258" t="s">
        <v>862</v>
      </c>
      <c r="C228" s="5"/>
      <c r="D228" s="5"/>
      <c r="E228" s="5"/>
      <c r="F228" s="5"/>
      <c r="G228" s="5"/>
      <c r="H228" s="5"/>
      <c r="I228" s="5"/>
      <c r="J228" s="5"/>
      <c r="K228" s="5"/>
      <c r="L228" s="5"/>
      <c r="M228" s="5"/>
    </row>
    <row r="229" spans="2:29" x14ac:dyDescent="0.25">
      <c r="C229" s="4"/>
      <c r="D229" s="4"/>
      <c r="E229" s="4"/>
      <c r="F229" s="4"/>
      <c r="G229" s="4"/>
      <c r="H229" s="4"/>
      <c r="I229" s="4"/>
      <c r="J229" s="4"/>
      <c r="K229" s="4"/>
      <c r="L229" s="260"/>
      <c r="M229" s="260"/>
    </row>
    <row r="230" spans="2:29" x14ac:dyDescent="0.25">
      <c r="B230" s="215"/>
      <c r="C230" s="4"/>
      <c r="D230" s="4"/>
      <c r="E230" s="4"/>
      <c r="F230" s="4"/>
      <c r="G230" s="4"/>
      <c r="H230" s="4"/>
      <c r="I230" s="4"/>
      <c r="J230" s="4"/>
      <c r="K230" s="4"/>
    </row>
    <row r="231" spans="2:29" x14ac:dyDescent="0.25">
      <c r="B231" s="215"/>
      <c r="C231" s="4"/>
      <c r="D231" s="4"/>
      <c r="E231" s="4"/>
      <c r="F231" s="4"/>
      <c r="G231" s="4"/>
      <c r="H231" s="4"/>
      <c r="I231" s="4"/>
      <c r="J231" s="4"/>
      <c r="K231" s="4"/>
    </row>
    <row r="232" spans="2:29" x14ac:dyDescent="0.25">
      <c r="B232" s="215"/>
      <c r="C232" s="4"/>
      <c r="D232" s="4"/>
      <c r="E232" s="4"/>
      <c r="F232" s="4"/>
      <c r="G232" s="4"/>
      <c r="H232" s="4"/>
      <c r="I232" s="4"/>
      <c r="J232" s="4"/>
      <c r="K232" s="4"/>
    </row>
    <row r="233" spans="2:29" x14ac:dyDescent="0.25">
      <c r="B233" s="215"/>
      <c r="C233" s="4"/>
      <c r="D233" s="4"/>
      <c r="E233" s="4"/>
      <c r="F233" s="4"/>
      <c r="G233" s="4"/>
      <c r="H233" s="4"/>
      <c r="I233" s="4"/>
      <c r="J233" s="4"/>
      <c r="K233" s="4"/>
    </row>
    <row r="234" spans="2:29" x14ac:dyDescent="0.25">
      <c r="B234" s="215"/>
      <c r="C234" s="4"/>
      <c r="D234" s="4"/>
      <c r="E234" s="4"/>
      <c r="F234" s="4"/>
      <c r="G234" s="4"/>
      <c r="H234" s="4"/>
      <c r="I234" s="4"/>
      <c r="J234" s="4"/>
      <c r="K234" s="4"/>
    </row>
    <row r="235" spans="2:29" x14ac:dyDescent="0.25">
      <c r="B235" s="215"/>
      <c r="C235" s="4"/>
      <c r="D235" s="4"/>
      <c r="E235" s="4"/>
      <c r="F235" s="4"/>
      <c r="G235" s="4"/>
      <c r="H235" s="4"/>
      <c r="I235" s="4"/>
      <c r="J235" s="4"/>
      <c r="K235" s="4"/>
    </row>
  </sheetData>
  <mergeCells count="19">
    <mergeCell ref="U25:AC25"/>
    <mergeCell ref="U26:W26"/>
    <mergeCell ref="X26:Z26"/>
    <mergeCell ref="AA26:AC26"/>
    <mergeCell ref="C26:E26"/>
    <mergeCell ref="F26:H26"/>
    <mergeCell ref="I26:K26"/>
    <mergeCell ref="C25:K25"/>
    <mergeCell ref="L25:T25"/>
    <mergeCell ref="L26:N26"/>
    <mergeCell ref="O26:Q26"/>
    <mergeCell ref="R26:T26"/>
    <mergeCell ref="B19:L19"/>
    <mergeCell ref="B15:B17"/>
    <mergeCell ref="B9:B11"/>
    <mergeCell ref="B12:B14"/>
    <mergeCell ref="D7:F7"/>
    <mergeCell ref="J7:L7"/>
    <mergeCell ref="G7:I7"/>
  </mergeCells>
  <phoneticPr fontId="27"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 workbookViewId="1"/>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6" t="s">
        <v>10</v>
      </c>
      <c r="B1" t="s">
        <v>603</v>
      </c>
      <c r="I1" s="206" t="s">
        <v>10</v>
      </c>
      <c r="J1" t="s">
        <v>603</v>
      </c>
      <c r="O1" s="206" t="s">
        <v>10</v>
      </c>
      <c r="P1" t="s">
        <v>603</v>
      </c>
    </row>
    <row r="3" spans="1:19" x14ac:dyDescent="0.25">
      <c r="A3" s="206" t="s">
        <v>548</v>
      </c>
      <c r="B3" t="s">
        <v>626</v>
      </c>
      <c r="C3" t="s">
        <v>627</v>
      </c>
      <c r="D3" t="s">
        <v>628</v>
      </c>
      <c r="E3" t="s">
        <v>629</v>
      </c>
      <c r="F3" t="s">
        <v>630</v>
      </c>
      <c r="G3" t="s">
        <v>631</v>
      </c>
      <c r="I3" s="206" t="s">
        <v>548</v>
      </c>
      <c r="J3" t="s">
        <v>638</v>
      </c>
      <c r="K3" t="s">
        <v>639</v>
      </c>
      <c r="L3" t="s">
        <v>640</v>
      </c>
      <c r="M3" t="s">
        <v>641</v>
      </c>
      <c r="O3" s="206" t="s">
        <v>548</v>
      </c>
      <c r="P3" t="s">
        <v>650</v>
      </c>
      <c r="Q3" t="s">
        <v>651</v>
      </c>
      <c r="R3" t="s">
        <v>652</v>
      </c>
      <c r="S3" t="s">
        <v>653</v>
      </c>
    </row>
    <row r="4" spans="1:19" x14ac:dyDescent="0.25">
      <c r="A4" s="207" t="s">
        <v>564</v>
      </c>
      <c r="B4">
        <v>327413</v>
      </c>
      <c r="C4">
        <v>190531</v>
      </c>
      <c r="D4">
        <v>137530</v>
      </c>
      <c r="E4">
        <v>139864</v>
      </c>
      <c r="F4">
        <v>464943</v>
      </c>
      <c r="G4">
        <v>330395</v>
      </c>
      <c r="I4" s="207" t="s">
        <v>564</v>
      </c>
      <c r="J4" s="208">
        <v>69469277.144999996</v>
      </c>
      <c r="K4" s="208">
        <v>40636215.887999997</v>
      </c>
      <c r="L4" s="208">
        <v>22985156.960000001</v>
      </c>
      <c r="M4" s="208">
        <v>22214072.743999999</v>
      </c>
      <c r="O4" s="207" t="s">
        <v>564</v>
      </c>
      <c r="P4" s="208">
        <v>69114843.282755256</v>
      </c>
      <c r="Q4" s="208">
        <v>40428576.18180979</v>
      </c>
      <c r="R4" s="208">
        <v>22868011.248085368</v>
      </c>
      <c r="S4" s="208">
        <v>22101174.072249502</v>
      </c>
    </row>
    <row r="5" spans="1:19" x14ac:dyDescent="0.25">
      <c r="A5" s="210" t="s">
        <v>589</v>
      </c>
      <c r="B5">
        <v>109393</v>
      </c>
      <c r="C5">
        <v>63815</v>
      </c>
      <c r="D5">
        <v>45739</v>
      </c>
      <c r="E5">
        <v>46381</v>
      </c>
      <c r="F5">
        <v>155132</v>
      </c>
      <c r="G5">
        <v>110196</v>
      </c>
      <c r="I5" s="210" t="s">
        <v>589</v>
      </c>
      <c r="J5" s="208">
        <v>23196045.528999999</v>
      </c>
      <c r="K5" s="208">
        <v>13590242.085999999</v>
      </c>
      <c r="L5" s="208">
        <v>7659976.4989999998</v>
      </c>
      <c r="M5" s="208">
        <v>7378442.3490000004</v>
      </c>
      <c r="O5" s="210" t="s">
        <v>589</v>
      </c>
      <c r="P5" s="208">
        <v>22907039.828335743</v>
      </c>
      <c r="Q5" s="208">
        <v>13420917.645273631</v>
      </c>
      <c r="R5" s="208">
        <v>7564538.8144861665</v>
      </c>
      <c r="S5" s="208">
        <v>7286512.3733402435</v>
      </c>
    </row>
    <row r="6" spans="1:19" x14ac:dyDescent="0.25">
      <c r="A6" s="210" t="s">
        <v>590</v>
      </c>
      <c r="B6">
        <v>109031</v>
      </c>
      <c r="C6">
        <v>63526</v>
      </c>
      <c r="D6">
        <v>45910</v>
      </c>
      <c r="E6">
        <v>46666</v>
      </c>
      <c r="F6">
        <v>154941</v>
      </c>
      <c r="G6">
        <v>110192</v>
      </c>
      <c r="I6" s="210" t="s">
        <v>590</v>
      </c>
      <c r="J6" s="208">
        <v>23133193.734000001</v>
      </c>
      <c r="K6" s="208">
        <v>13546987.07</v>
      </c>
      <c r="L6" s="208">
        <v>7675227.1699999999</v>
      </c>
      <c r="M6" s="208">
        <v>7413824.5259999996</v>
      </c>
      <c r="O6" s="210" t="s">
        <v>590</v>
      </c>
      <c r="P6" s="208">
        <v>23067765.572419517</v>
      </c>
      <c r="Q6" s="208">
        <v>13508671.80453616</v>
      </c>
      <c r="R6" s="208">
        <v>7653519.1425991999</v>
      </c>
      <c r="S6" s="208">
        <v>7392855.8299092585</v>
      </c>
    </row>
    <row r="7" spans="1:19" x14ac:dyDescent="0.25">
      <c r="A7" s="210" t="s">
        <v>591</v>
      </c>
      <c r="B7">
        <v>108989</v>
      </c>
      <c r="C7">
        <v>63190</v>
      </c>
      <c r="D7">
        <v>45881</v>
      </c>
      <c r="E7">
        <v>46817</v>
      </c>
      <c r="F7">
        <v>154870</v>
      </c>
      <c r="G7">
        <v>110007</v>
      </c>
      <c r="I7" s="210" t="s">
        <v>591</v>
      </c>
      <c r="J7" s="208">
        <v>23140037.881999999</v>
      </c>
      <c r="K7" s="208">
        <v>13498986.732000001</v>
      </c>
      <c r="L7" s="208">
        <v>7649953.2910000002</v>
      </c>
      <c r="M7" s="208">
        <v>7421805.8689999999</v>
      </c>
      <c r="O7" s="210" t="s">
        <v>591</v>
      </c>
      <c r="P7" s="208">
        <v>23140037.881999999</v>
      </c>
      <c r="Q7" s="208">
        <v>13498986.732000001</v>
      </c>
      <c r="R7" s="208">
        <v>7649953.2910000002</v>
      </c>
      <c r="S7" s="208">
        <v>7421805.8689999999</v>
      </c>
    </row>
    <row r="11" spans="1:19" x14ac:dyDescent="0.25">
      <c r="A11" s="206" t="s">
        <v>10</v>
      </c>
      <c r="B11" t="s">
        <v>603</v>
      </c>
    </row>
    <row r="13" spans="1:19" x14ac:dyDescent="0.25">
      <c r="A13" s="206" t="s">
        <v>548</v>
      </c>
      <c r="B13" t="s">
        <v>626</v>
      </c>
      <c r="C13" t="s">
        <v>627</v>
      </c>
      <c r="D13" t="s">
        <v>628</v>
      </c>
      <c r="E13" t="s">
        <v>629</v>
      </c>
      <c r="F13" t="s">
        <v>630</v>
      </c>
      <c r="G13" t="s">
        <v>631</v>
      </c>
    </row>
    <row r="14" spans="1:19" x14ac:dyDescent="0.25">
      <c r="A14" s="207" t="s">
        <v>564</v>
      </c>
      <c r="B14" s="208">
        <v>2017877</v>
      </c>
      <c r="C14" s="208">
        <v>1478761</v>
      </c>
      <c r="D14" s="208">
        <v>540602</v>
      </c>
      <c r="E14" s="208">
        <v>538156</v>
      </c>
      <c r="F14" s="208">
        <v>2558479</v>
      </c>
      <c r="G14" s="208">
        <v>2016917</v>
      </c>
    </row>
    <row r="17" spans="1:7" x14ac:dyDescent="0.25">
      <c r="A17" s="206" t="s">
        <v>10</v>
      </c>
      <c r="B17" t="s">
        <v>603</v>
      </c>
    </row>
    <row r="19" spans="1:7" x14ac:dyDescent="0.25">
      <c r="A19" s="206" t="s">
        <v>548</v>
      </c>
      <c r="B19" t="s">
        <v>632</v>
      </c>
      <c r="C19" t="s">
        <v>633</v>
      </c>
      <c r="D19" t="s">
        <v>634</v>
      </c>
      <c r="E19" t="s">
        <v>635</v>
      </c>
      <c r="F19" t="s">
        <v>636</v>
      </c>
      <c r="G19" t="s">
        <v>637</v>
      </c>
    </row>
    <row r="20" spans="1:7" x14ac:dyDescent="0.25">
      <c r="A20" s="207" t="s">
        <v>564</v>
      </c>
      <c r="B20" s="208">
        <v>168156.41666666666</v>
      </c>
      <c r="C20" s="208">
        <v>123230.08333333333</v>
      </c>
      <c r="D20" s="208">
        <v>45050.166666666664</v>
      </c>
      <c r="E20" s="208">
        <v>44846.333333333336</v>
      </c>
      <c r="F20" s="208">
        <v>213206.58333333334</v>
      </c>
      <c r="G20" s="208">
        <v>168076.41666666666</v>
      </c>
    </row>
    <row r="23" spans="1:7" x14ac:dyDescent="0.25">
      <c r="A23" s="206" t="s">
        <v>10</v>
      </c>
      <c r="B23" t="s">
        <v>603</v>
      </c>
    </row>
    <row r="25" spans="1:7" x14ac:dyDescent="0.25">
      <c r="A25" s="206" t="s">
        <v>548</v>
      </c>
      <c r="B25" t="s">
        <v>638</v>
      </c>
      <c r="C25" t="s">
        <v>639</v>
      </c>
      <c r="D25" t="s">
        <v>640</v>
      </c>
      <c r="E25" t="s">
        <v>641</v>
      </c>
      <c r="F25" t="s">
        <v>642</v>
      </c>
      <c r="G25" t="s">
        <v>643</v>
      </c>
    </row>
    <row r="26" spans="1:7" x14ac:dyDescent="0.25">
      <c r="A26" s="207" t="s">
        <v>564</v>
      </c>
      <c r="B26" s="208">
        <v>362446009.15000004</v>
      </c>
      <c r="C26" s="208">
        <v>250516499.96700001</v>
      </c>
      <c r="D26" s="208">
        <v>89129736.667999998</v>
      </c>
      <c r="E26" s="208">
        <v>84667893.447999999</v>
      </c>
      <c r="F26" s="208">
        <v>451575745.81799996</v>
      </c>
      <c r="G26" s="208">
        <v>335184393.41500002</v>
      </c>
    </row>
    <row r="29" spans="1:7" x14ac:dyDescent="0.25">
      <c r="A29" s="206" t="s">
        <v>10</v>
      </c>
      <c r="B29" t="s">
        <v>603</v>
      </c>
    </row>
    <row r="31" spans="1:7" x14ac:dyDescent="0.25">
      <c r="A31" s="206" t="s">
        <v>548</v>
      </c>
      <c r="B31" t="s">
        <v>644</v>
      </c>
      <c r="C31" t="s">
        <v>645</v>
      </c>
      <c r="D31" t="s">
        <v>646</v>
      </c>
      <c r="E31" t="s">
        <v>647</v>
      </c>
      <c r="F31" t="s">
        <v>648</v>
      </c>
      <c r="G31" t="s">
        <v>649</v>
      </c>
    </row>
    <row r="32" spans="1:7" x14ac:dyDescent="0.25">
      <c r="A32" s="207" t="s">
        <v>564</v>
      </c>
      <c r="B32" s="208">
        <v>30203834.095833335</v>
      </c>
      <c r="C32" s="208">
        <v>20876374.997250002</v>
      </c>
      <c r="D32" s="208">
        <v>7427478.0556666665</v>
      </c>
      <c r="E32" s="208">
        <v>7055657.7873333329</v>
      </c>
      <c r="F32" s="208">
        <v>37631312.151499994</v>
      </c>
      <c r="G32" s="208">
        <v>27932032.784583334</v>
      </c>
    </row>
    <row r="35" spans="1:5" x14ac:dyDescent="0.25">
      <c r="A35" s="206" t="s">
        <v>10</v>
      </c>
      <c r="B35" t="s">
        <v>603</v>
      </c>
    </row>
    <row r="37" spans="1:5" x14ac:dyDescent="0.25">
      <c r="A37" s="206" t="s">
        <v>548</v>
      </c>
      <c r="B37" t="s">
        <v>650</v>
      </c>
      <c r="C37" t="s">
        <v>651</v>
      </c>
      <c r="D37" t="s">
        <v>652</v>
      </c>
      <c r="E37" t="s">
        <v>653</v>
      </c>
    </row>
    <row r="38" spans="1:5" x14ac:dyDescent="0.25">
      <c r="A38" s="207" t="s">
        <v>564</v>
      </c>
      <c r="B38" s="208">
        <v>340851773.50069964</v>
      </c>
      <c r="C38" s="208">
        <v>234463200.48189491</v>
      </c>
      <c r="D38" s="208">
        <v>85046489.557917848</v>
      </c>
      <c r="E38" s="208">
        <v>80830615.958772197</v>
      </c>
    </row>
    <row r="42" spans="1:5" x14ac:dyDescent="0.25">
      <c r="A42" s="206" t="s">
        <v>10</v>
      </c>
      <c r="B42" t="s">
        <v>603</v>
      </c>
    </row>
    <row r="44" spans="1:5" x14ac:dyDescent="0.25">
      <c r="A44" s="206" t="s">
        <v>548</v>
      </c>
      <c r="B44" t="s">
        <v>654</v>
      </c>
      <c r="C44" t="s">
        <v>655</v>
      </c>
      <c r="D44" t="s">
        <v>656</v>
      </c>
      <c r="E44" t="s">
        <v>657</v>
      </c>
    </row>
    <row r="45" spans="1:5" x14ac:dyDescent="0.25">
      <c r="A45" s="207" t="s">
        <v>564</v>
      </c>
      <c r="B45" s="208">
        <v>28404314.458391637</v>
      </c>
      <c r="C45" s="208">
        <v>19538600.04015791</v>
      </c>
      <c r="D45" s="208">
        <v>7087207.463159821</v>
      </c>
      <c r="E45" s="208">
        <v>6735884.6632310161</v>
      </c>
    </row>
    <row r="51" spans="1:5" x14ac:dyDescent="0.25">
      <c r="A51" s="206" t="s">
        <v>548</v>
      </c>
      <c r="B51" t="s">
        <v>632</v>
      </c>
      <c r="C51" t="s">
        <v>633</v>
      </c>
      <c r="D51" t="s">
        <v>634</v>
      </c>
      <c r="E51" t="s">
        <v>635</v>
      </c>
    </row>
    <row r="52" spans="1:5" x14ac:dyDescent="0.25">
      <c r="A52" s="207" t="s">
        <v>550</v>
      </c>
      <c r="B52" s="208">
        <v>2920.6666666666665</v>
      </c>
      <c r="C52" s="208">
        <v>1116</v>
      </c>
      <c r="D52" s="208">
        <v>286.33333333333331</v>
      </c>
      <c r="E52" s="208">
        <v>290.33333333333331</v>
      </c>
    </row>
    <row r="53" spans="1:5" x14ac:dyDescent="0.25">
      <c r="A53" s="207" t="s">
        <v>551</v>
      </c>
      <c r="B53" s="208">
        <v>35080.083333333336</v>
      </c>
      <c r="C53" s="208">
        <v>24939.75</v>
      </c>
      <c r="D53" s="208">
        <v>2213.8333333333335</v>
      </c>
      <c r="E53" s="208">
        <v>1769.75</v>
      </c>
    </row>
    <row r="54" spans="1:5" x14ac:dyDescent="0.25">
      <c r="A54" s="207" t="s">
        <v>552</v>
      </c>
      <c r="B54" s="208">
        <v>184671.58333333334</v>
      </c>
      <c r="C54" s="208">
        <v>128661.83333333333</v>
      </c>
      <c r="D54" s="208">
        <v>8050.916666666667</v>
      </c>
      <c r="E54" s="208">
        <v>5922.916666666667</v>
      </c>
    </row>
    <row r="55" spans="1:5" x14ac:dyDescent="0.25">
      <c r="A55" s="207" t="s">
        <v>553</v>
      </c>
      <c r="B55" s="208">
        <v>232153.66666666666</v>
      </c>
      <c r="C55" s="208">
        <v>168868.75</v>
      </c>
      <c r="D55" s="208">
        <v>12883.083333333334</v>
      </c>
      <c r="E55" s="208">
        <v>9283.4166666666661</v>
      </c>
    </row>
    <row r="56" spans="1:5" x14ac:dyDescent="0.25">
      <c r="A56" s="207" t="s">
        <v>554</v>
      </c>
      <c r="B56" s="208">
        <v>279628</v>
      </c>
      <c r="C56" s="208">
        <v>203893.75</v>
      </c>
      <c r="D56" s="208">
        <v>19231.416666666668</v>
      </c>
      <c r="E56" s="208">
        <v>14584.75</v>
      </c>
    </row>
    <row r="57" spans="1:5" x14ac:dyDescent="0.25">
      <c r="A57" s="207" t="s">
        <v>555</v>
      </c>
      <c r="B57" s="208">
        <v>327092.08333333331</v>
      </c>
      <c r="C57" s="208">
        <v>237763.33333333334</v>
      </c>
      <c r="D57" s="208">
        <v>26607.083333333332</v>
      </c>
      <c r="E57" s="208">
        <v>21058.833333333332</v>
      </c>
    </row>
    <row r="58" spans="1:5" x14ac:dyDescent="0.25">
      <c r="A58" s="207" t="s">
        <v>556</v>
      </c>
      <c r="B58" s="208">
        <v>354831.83333333331</v>
      </c>
      <c r="C58" s="208">
        <v>258135.41666666666</v>
      </c>
      <c r="D58" s="208">
        <v>33075.25</v>
      </c>
      <c r="E58" s="208">
        <v>26998.166666666668</v>
      </c>
    </row>
    <row r="59" spans="1:5" x14ac:dyDescent="0.25">
      <c r="A59" s="207" t="s">
        <v>557</v>
      </c>
      <c r="B59" s="208">
        <v>385388.58333333331</v>
      </c>
      <c r="C59" s="208">
        <v>279293.16666666669</v>
      </c>
      <c r="D59" s="208">
        <v>35497.583333333336</v>
      </c>
      <c r="E59" s="208">
        <v>29292.083333333332</v>
      </c>
    </row>
    <row r="60" spans="1:5" x14ac:dyDescent="0.25">
      <c r="A60" s="207" t="s">
        <v>558</v>
      </c>
      <c r="B60" s="208">
        <v>409696.25</v>
      </c>
      <c r="C60" s="208">
        <v>297461.08333333331</v>
      </c>
      <c r="D60" s="208">
        <v>35477.75</v>
      </c>
      <c r="E60" s="208">
        <v>29444.666666666668</v>
      </c>
    </row>
    <row r="61" spans="1:5" x14ac:dyDescent="0.25">
      <c r="A61" s="207" t="s">
        <v>559</v>
      </c>
      <c r="B61" s="208">
        <v>434014.41666666669</v>
      </c>
      <c r="C61" s="208">
        <v>315115.08333333331</v>
      </c>
      <c r="D61" s="208">
        <v>35236.416666666664</v>
      </c>
      <c r="E61" s="208">
        <v>29440.416666666668</v>
      </c>
    </row>
    <row r="62" spans="1:5" x14ac:dyDescent="0.25">
      <c r="A62" s="207" t="s">
        <v>560</v>
      </c>
      <c r="B62" s="208">
        <v>472783.58333333331</v>
      </c>
      <c r="C62" s="208">
        <v>343894.41666666669</v>
      </c>
      <c r="D62" s="208">
        <v>35802.166666666664</v>
      </c>
      <c r="E62" s="208">
        <v>30349.5</v>
      </c>
    </row>
    <row r="63" spans="1:5" x14ac:dyDescent="0.25">
      <c r="A63" s="207" t="s">
        <v>561</v>
      </c>
      <c r="B63" s="208">
        <v>513930.5</v>
      </c>
      <c r="C63" s="208">
        <v>376625</v>
      </c>
      <c r="D63" s="208">
        <v>36751.75</v>
      </c>
      <c r="E63" s="208">
        <v>31642.25</v>
      </c>
    </row>
    <row r="64" spans="1:5" x14ac:dyDescent="0.25">
      <c r="A64" s="207" t="s">
        <v>562</v>
      </c>
      <c r="B64" s="208">
        <v>569814.16666666663</v>
      </c>
      <c r="C64" s="208">
        <v>419795.08333333331</v>
      </c>
      <c r="D64" s="208">
        <v>38063.25</v>
      </c>
      <c r="E64" s="208">
        <v>33240.166666666664</v>
      </c>
    </row>
    <row r="65" spans="1:5" s="225" customFormat="1" x14ac:dyDescent="0.25">
      <c r="A65" s="223" t="s">
        <v>563</v>
      </c>
      <c r="B65" s="224">
        <v>627987.08333333337</v>
      </c>
      <c r="C65" s="224">
        <v>462603.16666666669</v>
      </c>
      <c r="D65" s="224">
        <v>41110.25</v>
      </c>
      <c r="E65" s="224">
        <v>37794.333333333336</v>
      </c>
    </row>
    <row r="66" spans="1:5" x14ac:dyDescent="0.25">
      <c r="A66" s="210" t="s">
        <v>580</v>
      </c>
      <c r="B66" s="208">
        <v>600842</v>
      </c>
      <c r="C66" s="208">
        <v>443662</v>
      </c>
      <c r="D66" s="208">
        <v>38683</v>
      </c>
      <c r="E66" s="208">
        <v>34228</v>
      </c>
    </row>
    <row r="67" spans="1:5" x14ac:dyDescent="0.25">
      <c r="A67" s="210" t="s">
        <v>581</v>
      </c>
      <c r="B67" s="208">
        <v>605436</v>
      </c>
      <c r="C67" s="208">
        <v>447257</v>
      </c>
      <c r="D67" s="208">
        <v>38750</v>
      </c>
      <c r="E67" s="208">
        <v>34279</v>
      </c>
    </row>
    <row r="68" spans="1:5" x14ac:dyDescent="0.25">
      <c r="A68" s="210" t="s">
        <v>582</v>
      </c>
      <c r="B68" s="208">
        <v>610095</v>
      </c>
      <c r="C68" s="208">
        <v>450099</v>
      </c>
      <c r="D68" s="208">
        <v>38777</v>
      </c>
      <c r="E68" s="208">
        <v>34317</v>
      </c>
    </row>
    <row r="69" spans="1:5" x14ac:dyDescent="0.25">
      <c r="A69" s="210" t="s">
        <v>583</v>
      </c>
      <c r="B69" s="208">
        <v>615165</v>
      </c>
      <c r="C69" s="208">
        <v>453554</v>
      </c>
      <c r="D69" s="208">
        <v>39434</v>
      </c>
      <c r="E69" s="208">
        <v>35231</v>
      </c>
    </row>
    <row r="70" spans="1:5" x14ac:dyDescent="0.25">
      <c r="A70" s="210" t="s">
        <v>584</v>
      </c>
      <c r="B70" s="208">
        <v>619925</v>
      </c>
      <c r="C70" s="208">
        <v>456843</v>
      </c>
      <c r="D70" s="208">
        <v>40665</v>
      </c>
      <c r="E70" s="208">
        <v>36858</v>
      </c>
    </row>
    <row r="71" spans="1:5" x14ac:dyDescent="0.25">
      <c r="A71" s="210" t="s">
        <v>585</v>
      </c>
      <c r="B71" s="208">
        <v>624280</v>
      </c>
      <c r="C71" s="208">
        <v>459648</v>
      </c>
      <c r="D71" s="208">
        <v>41406</v>
      </c>
      <c r="E71" s="208">
        <v>37901</v>
      </c>
    </row>
    <row r="72" spans="1:5" x14ac:dyDescent="0.25">
      <c r="A72" s="210" t="s">
        <v>586</v>
      </c>
      <c r="B72" s="208">
        <v>628233</v>
      </c>
      <c r="C72" s="208">
        <v>462542</v>
      </c>
      <c r="D72" s="208">
        <v>41969</v>
      </c>
      <c r="E72" s="208">
        <v>38877</v>
      </c>
    </row>
    <row r="73" spans="1:5" x14ac:dyDescent="0.25">
      <c r="A73" s="210" t="s">
        <v>587</v>
      </c>
      <c r="B73" s="208">
        <v>632311</v>
      </c>
      <c r="C73" s="208">
        <v>464709</v>
      </c>
      <c r="D73" s="208">
        <v>42296</v>
      </c>
      <c r="E73" s="208">
        <v>39447</v>
      </c>
    </row>
    <row r="74" spans="1:5" x14ac:dyDescent="0.25">
      <c r="A74" s="210" t="s">
        <v>588</v>
      </c>
      <c r="B74" s="208">
        <v>638396</v>
      </c>
      <c r="C74" s="208">
        <v>469874</v>
      </c>
      <c r="D74" s="208">
        <v>42481</v>
      </c>
      <c r="E74" s="208">
        <v>39831</v>
      </c>
    </row>
    <row r="75" spans="1:5" x14ac:dyDescent="0.25">
      <c r="A75" s="210" t="s">
        <v>589</v>
      </c>
      <c r="B75" s="208">
        <v>645913</v>
      </c>
      <c r="C75" s="208">
        <v>475311</v>
      </c>
      <c r="D75" s="208">
        <v>42530</v>
      </c>
      <c r="E75" s="208">
        <v>40062</v>
      </c>
    </row>
    <row r="76" spans="1:5" x14ac:dyDescent="0.25">
      <c r="A76" s="210" t="s">
        <v>590</v>
      </c>
      <c r="B76" s="208">
        <v>654021</v>
      </c>
      <c r="C76" s="208">
        <v>481364</v>
      </c>
      <c r="D76" s="208">
        <v>43059</v>
      </c>
      <c r="E76" s="208">
        <v>41024</v>
      </c>
    </row>
    <row r="77" spans="1:5" x14ac:dyDescent="0.25">
      <c r="A77" s="210" t="s">
        <v>591</v>
      </c>
      <c r="B77" s="208">
        <v>661228</v>
      </c>
      <c r="C77" s="208">
        <v>486375</v>
      </c>
      <c r="D77" s="208">
        <v>43273</v>
      </c>
      <c r="E77" s="208">
        <v>41477</v>
      </c>
    </row>
    <row r="78" spans="1:5" s="225" customFormat="1" x14ac:dyDescent="0.25">
      <c r="A78" s="223" t="s">
        <v>564</v>
      </c>
      <c r="B78" s="224">
        <v>168156.41666666666</v>
      </c>
      <c r="C78" s="224">
        <v>123230.08333333333</v>
      </c>
      <c r="D78" s="224">
        <v>45050.166666666664</v>
      </c>
      <c r="E78" s="224">
        <v>44846.333333333336</v>
      </c>
    </row>
    <row r="79" spans="1:5" x14ac:dyDescent="0.25">
      <c r="A79" s="210" t="s">
        <v>580</v>
      </c>
      <c r="B79" s="208">
        <v>669074</v>
      </c>
      <c r="C79" s="208">
        <v>492231</v>
      </c>
      <c r="D79" s="208">
        <v>43561</v>
      </c>
      <c r="E79" s="208">
        <v>41983</v>
      </c>
    </row>
    <row r="80" spans="1:5" x14ac:dyDescent="0.25">
      <c r="A80" s="210" t="s">
        <v>581</v>
      </c>
      <c r="B80" s="208">
        <v>157011</v>
      </c>
      <c r="C80" s="208">
        <v>156303</v>
      </c>
      <c r="D80" s="208">
        <v>43796</v>
      </c>
      <c r="E80" s="208">
        <v>42423</v>
      </c>
    </row>
    <row r="81" spans="1:5" x14ac:dyDescent="0.25">
      <c r="A81" s="210" t="s">
        <v>582</v>
      </c>
      <c r="B81" s="208">
        <v>158373</v>
      </c>
      <c r="C81" s="208">
        <v>158291</v>
      </c>
      <c r="D81" s="208">
        <v>44375</v>
      </c>
      <c r="E81" s="208">
        <v>43297</v>
      </c>
    </row>
    <row r="82" spans="1:5" x14ac:dyDescent="0.25">
      <c r="A82" s="210" t="s">
        <v>583</v>
      </c>
      <c r="B82" s="208">
        <v>154818</v>
      </c>
      <c r="C82" s="208">
        <v>157061</v>
      </c>
      <c r="D82" s="208">
        <v>44630</v>
      </c>
      <c r="E82" s="208">
        <v>43805</v>
      </c>
    </row>
    <row r="83" spans="1:5" x14ac:dyDescent="0.25">
      <c r="A83" s="210" t="s">
        <v>584</v>
      </c>
      <c r="B83" s="208">
        <v>111871</v>
      </c>
      <c r="C83" s="208">
        <v>65720</v>
      </c>
      <c r="D83" s="208">
        <v>44880</v>
      </c>
      <c r="E83" s="208">
        <v>44391</v>
      </c>
    </row>
    <row r="84" spans="1:5" x14ac:dyDescent="0.25">
      <c r="A84" s="210" t="s">
        <v>585</v>
      </c>
      <c r="B84" s="208">
        <v>109948</v>
      </c>
      <c r="C84" s="208">
        <v>64976</v>
      </c>
      <c r="D84" s="208">
        <v>45192</v>
      </c>
      <c r="E84" s="208">
        <v>45010</v>
      </c>
    </row>
    <row r="85" spans="1:5" x14ac:dyDescent="0.25">
      <c r="A85" s="210" t="s">
        <v>586</v>
      </c>
      <c r="B85" s="208">
        <v>109799</v>
      </c>
      <c r="C85" s="208">
        <v>64729</v>
      </c>
      <c r="D85" s="208">
        <v>45366</v>
      </c>
      <c r="E85" s="208">
        <v>45364</v>
      </c>
    </row>
    <row r="86" spans="1:5" x14ac:dyDescent="0.25">
      <c r="A86" s="210" t="s">
        <v>587</v>
      </c>
      <c r="B86" s="208">
        <v>109904</v>
      </c>
      <c r="C86" s="208">
        <v>64644</v>
      </c>
      <c r="D86" s="208">
        <v>45575</v>
      </c>
      <c r="E86" s="208">
        <v>45817</v>
      </c>
    </row>
    <row r="87" spans="1:5" x14ac:dyDescent="0.25">
      <c r="A87" s="210" t="s">
        <v>588</v>
      </c>
      <c r="B87" s="208">
        <v>109666</v>
      </c>
      <c r="C87" s="208">
        <v>64275</v>
      </c>
      <c r="D87" s="208">
        <v>45697</v>
      </c>
      <c r="E87" s="208">
        <v>46202</v>
      </c>
    </row>
    <row r="88" spans="1:5" x14ac:dyDescent="0.25">
      <c r="A88" s="210" t="s">
        <v>589</v>
      </c>
      <c r="B88" s="208">
        <v>109393</v>
      </c>
      <c r="C88" s="208">
        <v>63815</v>
      </c>
      <c r="D88" s="208">
        <v>45739</v>
      </c>
      <c r="E88" s="208">
        <v>46381</v>
      </c>
    </row>
    <row r="89" spans="1:5" x14ac:dyDescent="0.25">
      <c r="A89" s="210" t="s">
        <v>590</v>
      </c>
      <c r="B89" s="208">
        <v>109031</v>
      </c>
      <c r="C89" s="208">
        <v>63526</v>
      </c>
      <c r="D89" s="208">
        <v>45910</v>
      </c>
      <c r="E89" s="208">
        <v>46666</v>
      </c>
    </row>
    <row r="90" spans="1:5" x14ac:dyDescent="0.25">
      <c r="A90" s="210" t="s">
        <v>591</v>
      </c>
      <c r="B90" s="208">
        <v>108989</v>
      </c>
      <c r="C90" s="208">
        <v>63190</v>
      </c>
      <c r="D90" s="208">
        <v>45881</v>
      </c>
      <c r="E90" s="208">
        <v>46817</v>
      </c>
    </row>
    <row r="94" spans="1:5" x14ac:dyDescent="0.25">
      <c r="A94" s="206" t="s">
        <v>548</v>
      </c>
      <c r="B94" t="s">
        <v>654</v>
      </c>
      <c r="C94" t="s">
        <v>655</v>
      </c>
      <c r="D94" t="s">
        <v>656</v>
      </c>
      <c r="E94" t="s">
        <v>657</v>
      </c>
    </row>
    <row r="95" spans="1:5" x14ac:dyDescent="0.25">
      <c r="A95" s="207" t="s">
        <v>550</v>
      </c>
      <c r="B95" s="208">
        <v>156325.61370400709</v>
      </c>
      <c r="C95" s="208">
        <v>77435.603686702554</v>
      </c>
      <c r="D95" s="208">
        <v>15483.202248388579</v>
      </c>
      <c r="E95" s="208">
        <v>15243.679179104918</v>
      </c>
    </row>
    <row r="96" spans="1:5" x14ac:dyDescent="0.25">
      <c r="A96" s="207" t="s">
        <v>551</v>
      </c>
      <c r="B96" s="208">
        <v>772303.7687463793</v>
      </c>
      <c r="C96" s="208">
        <v>553043.39554315945</v>
      </c>
      <c r="D96" s="208">
        <v>120809.2661856684</v>
      </c>
      <c r="E96" s="208">
        <v>93245.041899224161</v>
      </c>
    </row>
    <row r="97" spans="1:5" x14ac:dyDescent="0.25">
      <c r="A97" s="207" t="s">
        <v>552</v>
      </c>
      <c r="B97" s="208">
        <v>3418827.2571331747</v>
      </c>
      <c r="C97" s="208">
        <v>2476323.6803078842</v>
      </c>
      <c r="D97" s="208">
        <v>396627.09478933923</v>
      </c>
      <c r="E97" s="208">
        <v>287837.12706121668</v>
      </c>
    </row>
    <row r="98" spans="1:5" x14ac:dyDescent="0.25">
      <c r="A98" s="207" t="s">
        <v>553</v>
      </c>
      <c r="B98" s="208">
        <v>6247614.1601618873</v>
      </c>
      <c r="C98" s="208">
        <v>4603741.038574772</v>
      </c>
      <c r="D98" s="208">
        <v>662081.86303150852</v>
      </c>
      <c r="E98" s="208">
        <v>475799.91798954178</v>
      </c>
    </row>
    <row r="99" spans="1:5" x14ac:dyDescent="0.25">
      <c r="A99" s="207" t="s">
        <v>554</v>
      </c>
      <c r="B99" s="208">
        <v>8655068.6755060498</v>
      </c>
      <c r="C99" s="208">
        <v>6361345.5984722832</v>
      </c>
      <c r="D99" s="208">
        <v>999427.57781844714</v>
      </c>
      <c r="E99" s="208">
        <v>752510.08723908092</v>
      </c>
    </row>
    <row r="100" spans="1:5" x14ac:dyDescent="0.25">
      <c r="A100" s="207" t="s">
        <v>555</v>
      </c>
      <c r="B100" s="208">
        <v>10274152.252564007</v>
      </c>
      <c r="C100" s="208">
        <v>7549289.2571261423</v>
      </c>
      <c r="D100" s="208">
        <v>1394976.8004118858</v>
      </c>
      <c r="E100" s="208">
        <v>1080341.7336039112</v>
      </c>
    </row>
    <row r="101" spans="1:5" x14ac:dyDescent="0.25">
      <c r="A101" s="207" t="s">
        <v>556</v>
      </c>
      <c r="B101" s="208">
        <v>12384536.661468254</v>
      </c>
      <c r="C101" s="208">
        <v>9088379.0428815652</v>
      </c>
      <c r="D101" s="208">
        <v>1873609.1069966659</v>
      </c>
      <c r="E101" s="208">
        <v>1487596.9449784867</v>
      </c>
    </row>
    <row r="102" spans="1:5" x14ac:dyDescent="0.25">
      <c r="A102" s="207" t="s">
        <v>557</v>
      </c>
      <c r="B102" s="208">
        <v>15028398.368320284</v>
      </c>
      <c r="C102" s="208">
        <v>10934864.934245305</v>
      </c>
      <c r="D102" s="208">
        <v>2145117.4776902464</v>
      </c>
      <c r="E102" s="208">
        <v>1726456.0997398666</v>
      </c>
    </row>
    <row r="103" spans="1:5" x14ac:dyDescent="0.25">
      <c r="A103" s="207" t="s">
        <v>558</v>
      </c>
      <c r="B103" s="208">
        <v>17693062.052085578</v>
      </c>
      <c r="C103" s="208">
        <v>12778832.993547233</v>
      </c>
      <c r="D103" s="208">
        <v>2309466.3017106852</v>
      </c>
      <c r="E103" s="208">
        <v>1870817.0617767142</v>
      </c>
    </row>
    <row r="104" spans="1:5" x14ac:dyDescent="0.25">
      <c r="A104" s="207" t="s">
        <v>559</v>
      </c>
      <c r="B104" s="208">
        <v>22026093.42393636</v>
      </c>
      <c r="C104" s="208">
        <v>15785831.809762007</v>
      </c>
      <c r="D104" s="208">
        <v>2656108.6514058975</v>
      </c>
      <c r="E104" s="208">
        <v>2170783.9154642965</v>
      </c>
    </row>
    <row r="105" spans="1:5" x14ac:dyDescent="0.25">
      <c r="A105" s="207" t="s">
        <v>560</v>
      </c>
      <c r="B105" s="208">
        <v>25758208.861809745</v>
      </c>
      <c r="C105" s="208">
        <v>18313834.917808082</v>
      </c>
      <c r="D105" s="208">
        <v>2811976.0036181766</v>
      </c>
      <c r="E105" s="208">
        <v>2328781.0642876038</v>
      </c>
    </row>
    <row r="106" spans="1:5" x14ac:dyDescent="0.25">
      <c r="A106" s="207" t="s">
        <v>561</v>
      </c>
      <c r="B106" s="208">
        <v>31325043.761277139</v>
      </c>
      <c r="C106" s="208">
        <v>22124351.396135092</v>
      </c>
      <c r="D106" s="208">
        <v>3077999.2799660643</v>
      </c>
      <c r="E106" s="208">
        <v>2588562.3438297664</v>
      </c>
    </row>
    <row r="107" spans="1:5" x14ac:dyDescent="0.25">
      <c r="A107" s="207" t="s">
        <v>562</v>
      </c>
      <c r="B107" s="208">
        <v>52124871.761183031</v>
      </c>
      <c r="C107" s="208">
        <v>36060454.038666867</v>
      </c>
      <c r="D107" s="208">
        <v>4073396.1219694219</v>
      </c>
      <c r="E107" s="208">
        <v>3463066.8552737548</v>
      </c>
    </row>
    <row r="108" spans="1:5" x14ac:dyDescent="0.25">
      <c r="A108" s="223" t="s">
        <v>563</v>
      </c>
      <c r="B108" s="224">
        <v>70325409.227225527</v>
      </c>
      <c r="C108" s="224">
        <v>48621672.881336205</v>
      </c>
      <c r="D108" s="224">
        <v>5150957.0731636398</v>
      </c>
      <c r="E108" s="224">
        <v>4569506.209414009</v>
      </c>
    </row>
    <row r="109" spans="1:5" x14ac:dyDescent="0.25">
      <c r="A109" s="210" t="s">
        <v>580</v>
      </c>
      <c r="B109" s="208">
        <v>63696362.958414577</v>
      </c>
      <c r="C109" s="208">
        <v>44309021.858175702</v>
      </c>
      <c r="D109" s="208">
        <v>4762977.5698647648</v>
      </c>
      <c r="E109" s="208">
        <v>4091361.7391424058</v>
      </c>
    </row>
    <row r="110" spans="1:5" x14ac:dyDescent="0.25">
      <c r="A110" s="210" t="s">
        <v>581</v>
      </c>
      <c r="B110" s="208">
        <v>63994907.637665316</v>
      </c>
      <c r="C110" s="208">
        <v>44520514.941822201</v>
      </c>
      <c r="D110" s="208">
        <v>4770319.8015366821</v>
      </c>
      <c r="E110" s="208">
        <v>4099156.4931002227</v>
      </c>
    </row>
    <row r="111" spans="1:5" x14ac:dyDescent="0.25">
      <c r="A111" s="210" t="s">
        <v>582</v>
      </c>
      <c r="B111" s="208">
        <v>64860053.544890635</v>
      </c>
      <c r="C111" s="208">
        <v>44970556.341564067</v>
      </c>
      <c r="D111" s="208">
        <v>4790436.5807098188</v>
      </c>
      <c r="E111" s="208">
        <v>4120914.664349474</v>
      </c>
    </row>
    <row r="112" spans="1:5" x14ac:dyDescent="0.25">
      <c r="A112" s="210" t="s">
        <v>583</v>
      </c>
      <c r="B112" s="208">
        <v>65728334.705676571</v>
      </c>
      <c r="C112" s="208">
        <v>45436158.618098512</v>
      </c>
      <c r="D112" s="208">
        <v>4853879.4257550761</v>
      </c>
      <c r="E112" s="208">
        <v>4205557.1092847055</v>
      </c>
    </row>
    <row r="113" spans="1:5" x14ac:dyDescent="0.25">
      <c r="A113" s="210" t="s">
        <v>584</v>
      </c>
      <c r="B113" s="208">
        <v>66487237.463731125</v>
      </c>
      <c r="C113" s="208">
        <v>45869113.586396888</v>
      </c>
      <c r="D113" s="208">
        <v>4942107.9733611783</v>
      </c>
      <c r="E113" s="208">
        <v>4317325.5893974723</v>
      </c>
    </row>
    <row r="114" spans="1:5" x14ac:dyDescent="0.25">
      <c r="A114" s="210" t="s">
        <v>585</v>
      </c>
      <c r="B114" s="208">
        <v>67158507.375148997</v>
      </c>
      <c r="C114" s="208">
        <v>46243176.301030934</v>
      </c>
      <c r="D114" s="208">
        <v>4996697.9239287786</v>
      </c>
      <c r="E114" s="208">
        <v>4398896.771803827</v>
      </c>
    </row>
    <row r="115" spans="1:5" x14ac:dyDescent="0.25">
      <c r="A115" s="210" t="s">
        <v>586</v>
      </c>
      <c r="B115" s="208">
        <v>71495305.011722028</v>
      </c>
      <c r="C115" s="208">
        <v>49293780.097641803</v>
      </c>
      <c r="D115" s="208">
        <v>5285358.0406123968</v>
      </c>
      <c r="E115" s="208">
        <v>4703728.2221015217</v>
      </c>
    </row>
    <row r="116" spans="1:5" x14ac:dyDescent="0.25">
      <c r="A116" s="210" t="s">
        <v>587</v>
      </c>
      <c r="B116" s="208">
        <v>72562820.255994841</v>
      </c>
      <c r="C116" s="208">
        <v>50049476.158138156</v>
      </c>
      <c r="D116" s="208">
        <v>5343223.9759224355</v>
      </c>
      <c r="E116" s="208">
        <v>4791257.5344296834</v>
      </c>
    </row>
    <row r="117" spans="1:5" x14ac:dyDescent="0.25">
      <c r="A117" s="210" t="s">
        <v>588</v>
      </c>
      <c r="B117" s="208">
        <v>74341706.803722784</v>
      </c>
      <c r="C117" s="208">
        <v>51336522.716239899</v>
      </c>
      <c r="D117" s="208">
        <v>5419614.7033567168</v>
      </c>
      <c r="E117" s="208">
        <v>4887790.7821044028</v>
      </c>
    </row>
    <row r="118" spans="1:5" x14ac:dyDescent="0.25">
      <c r="A118" s="210" t="s">
        <v>589</v>
      </c>
      <c r="B118" s="208">
        <v>76383252.740311757</v>
      </c>
      <c r="C118" s="208">
        <v>52777445.495826118</v>
      </c>
      <c r="D118" s="208">
        <v>5494279.9203069536</v>
      </c>
      <c r="E118" s="208">
        <v>4985450.6875939816</v>
      </c>
    </row>
    <row r="119" spans="1:5" x14ac:dyDescent="0.25">
      <c r="A119" s="210" t="s">
        <v>590</v>
      </c>
      <c r="B119" s="208">
        <v>77822215.433380589</v>
      </c>
      <c r="C119" s="208">
        <v>53790438.48087886</v>
      </c>
      <c r="D119" s="208">
        <v>5553125.5563144684</v>
      </c>
      <c r="E119" s="208">
        <v>5084684.765986192</v>
      </c>
    </row>
    <row r="120" spans="1:5" x14ac:dyDescent="0.25">
      <c r="A120" s="210" t="s">
        <v>591</v>
      </c>
      <c r="B120" s="208">
        <v>79374206.796047181</v>
      </c>
      <c r="C120" s="208">
        <v>54863869.980221249</v>
      </c>
      <c r="D120" s="208">
        <v>5599463.4062944036</v>
      </c>
      <c r="E120" s="208">
        <v>5147950.1536742188</v>
      </c>
    </row>
    <row r="121" spans="1:5" x14ac:dyDescent="0.25">
      <c r="A121" s="223" t="s">
        <v>564</v>
      </c>
      <c r="B121" s="224">
        <v>28404314.458391637</v>
      </c>
      <c r="C121" s="224">
        <v>19538600.04015791</v>
      </c>
      <c r="D121" s="224">
        <v>7087207.4631598182</v>
      </c>
      <c r="E121" s="224">
        <v>6735884.6632310161</v>
      </c>
    </row>
    <row r="122" spans="1:5" x14ac:dyDescent="0.25">
      <c r="A122" s="210" t="s">
        <v>580</v>
      </c>
      <c r="B122" s="208">
        <v>85329225.032237858</v>
      </c>
      <c r="C122" s="208">
        <v>59281217.267202884</v>
      </c>
      <c r="D122" s="208">
        <v>6132700.1791782491</v>
      </c>
      <c r="E122" s="208">
        <v>5679553.632685883</v>
      </c>
    </row>
    <row r="123" spans="1:5" x14ac:dyDescent="0.25">
      <c r="A123" s="210" t="s">
        <v>581</v>
      </c>
      <c r="B123" s="208">
        <v>25600211.370473564</v>
      </c>
      <c r="C123" s="208">
        <v>23066984.063865762</v>
      </c>
      <c r="D123" s="208">
        <v>6498751.6686510267</v>
      </c>
      <c r="E123" s="208">
        <v>6057090.6828516349</v>
      </c>
    </row>
    <row r="124" spans="1:5" x14ac:dyDescent="0.25">
      <c r="A124" s="210" t="s">
        <v>582</v>
      </c>
      <c r="B124" s="208">
        <v>26343023.491362132</v>
      </c>
      <c r="C124" s="208">
        <v>23864446.290870335</v>
      </c>
      <c r="D124" s="208">
        <v>6658569.4005818935</v>
      </c>
      <c r="E124" s="208">
        <v>6232259.3259341298</v>
      </c>
    </row>
    <row r="125" spans="1:5" x14ac:dyDescent="0.25">
      <c r="A125" s="210" t="s">
        <v>583</v>
      </c>
      <c r="B125" s="208">
        <v>26307696.940407004</v>
      </c>
      <c r="C125" s="208">
        <v>24186619.725794081</v>
      </c>
      <c r="D125" s="208">
        <v>6756216.970998928</v>
      </c>
      <c r="E125" s="208">
        <v>6351773.5113056358</v>
      </c>
    </row>
    <row r="126" spans="1:5" x14ac:dyDescent="0.25">
      <c r="A126" s="210" t="s">
        <v>584</v>
      </c>
      <c r="B126" s="208">
        <v>20202999.442572609</v>
      </c>
      <c r="C126" s="208">
        <v>11805726.360177547</v>
      </c>
      <c r="D126" s="208">
        <v>6834328.4957676977</v>
      </c>
      <c r="E126" s="208">
        <v>6450792.0539269475</v>
      </c>
    </row>
    <row r="127" spans="1:5" x14ac:dyDescent="0.25">
      <c r="A127" s="210" t="s">
        <v>585</v>
      </c>
      <c r="B127" s="208">
        <v>20053029.638470855</v>
      </c>
      <c r="C127" s="208">
        <v>11793055.343836</v>
      </c>
      <c r="D127" s="208">
        <v>6907765.9940315234</v>
      </c>
      <c r="E127" s="208">
        <v>6550657.2089116909</v>
      </c>
    </row>
    <row r="128" spans="1:5" x14ac:dyDescent="0.25">
      <c r="A128" s="210" t="s">
        <v>586</v>
      </c>
      <c r="B128" s="208">
        <v>22377324.760191623</v>
      </c>
      <c r="C128" s="208">
        <v>13224117.54782065</v>
      </c>
      <c r="D128" s="208">
        <v>7376892.1677712034</v>
      </c>
      <c r="E128" s="208">
        <v>7023761.3156361412</v>
      </c>
    </row>
    <row r="129" spans="1:5" x14ac:dyDescent="0.25">
      <c r="A129" s="210" t="s">
        <v>587</v>
      </c>
      <c r="B129" s="208">
        <v>22684708.714051336</v>
      </c>
      <c r="C129" s="208">
        <v>13379686.190742709</v>
      </c>
      <c r="D129" s="208">
        <v>7478883.8662241418</v>
      </c>
      <c r="E129" s="208">
        <v>7148149.1247316077</v>
      </c>
    </row>
    <row r="130" spans="1:5" x14ac:dyDescent="0.25">
      <c r="A130" s="210" t="s">
        <v>588</v>
      </c>
      <c r="B130" s="208">
        <v>22838710.828177366</v>
      </c>
      <c r="C130" s="208">
        <v>13432771.509775188</v>
      </c>
      <c r="D130" s="208">
        <v>7534369.5666278116</v>
      </c>
      <c r="E130" s="208">
        <v>7235405.0305390116</v>
      </c>
    </row>
    <row r="131" spans="1:5" x14ac:dyDescent="0.25">
      <c r="A131" s="210" t="s">
        <v>589</v>
      </c>
      <c r="B131" s="208">
        <v>22907039.828335743</v>
      </c>
      <c r="C131" s="208">
        <v>13420917.645273631</v>
      </c>
      <c r="D131" s="208">
        <v>7564538.8144861665</v>
      </c>
      <c r="E131" s="208">
        <v>7286512.3733402435</v>
      </c>
    </row>
    <row r="132" spans="1:5" x14ac:dyDescent="0.25">
      <c r="A132" s="210" t="s">
        <v>590</v>
      </c>
      <c r="B132" s="208">
        <v>23067765.572419517</v>
      </c>
      <c r="C132" s="208">
        <v>13508671.80453616</v>
      </c>
      <c r="D132" s="208">
        <v>7653519.1425991999</v>
      </c>
      <c r="E132" s="208">
        <v>7392855.8299092585</v>
      </c>
    </row>
    <row r="133" spans="1:5" x14ac:dyDescent="0.25">
      <c r="A133" s="210" t="s">
        <v>591</v>
      </c>
      <c r="B133" s="208">
        <v>23140037.881999999</v>
      </c>
      <c r="C133" s="208">
        <v>13498986.732000001</v>
      </c>
      <c r="D133" s="208">
        <v>7649953.2910000002</v>
      </c>
      <c r="E133" s="208">
        <v>7421805.8689999999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36"/>
  <sheetViews>
    <sheetView showGridLines="0" workbookViewId="0"/>
    <sheetView workbookViewId="1"/>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4.85546875" customWidth="1"/>
    <col min="7" max="7" width="13.85546875" customWidth="1"/>
    <col min="8" max="8" width="14.7109375" customWidth="1"/>
    <col min="9" max="9" width="13.140625" customWidth="1"/>
    <col min="10" max="10" width="15.42578125" customWidth="1"/>
    <col min="11" max="11" width="13.28515625" customWidth="1"/>
    <col min="12" max="12" width="14.5703125" customWidth="1"/>
    <col min="13" max="13" width="13.5703125" customWidth="1"/>
    <col min="14" max="14" width="15.28515625" customWidth="1"/>
    <col min="15" max="16" width="12.85546875" bestFit="1" customWidth="1"/>
    <col min="17" max="17" width="13.7109375" bestFit="1" customWidth="1"/>
    <col min="18" max="19" width="12" bestFit="1" customWidth="1"/>
    <col min="20" max="21" width="12.85546875" bestFit="1" customWidth="1"/>
    <col min="22" max="23" width="13.7109375" bestFit="1"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721</v>
      </c>
      <c r="C2" s="4"/>
      <c r="D2" s="4"/>
      <c r="E2" s="4"/>
      <c r="F2" s="4"/>
      <c r="G2" s="4"/>
      <c r="H2" s="4"/>
      <c r="I2" s="4"/>
      <c r="J2" s="4"/>
      <c r="K2" s="4"/>
    </row>
    <row r="3" spans="2:14" x14ac:dyDescent="0.25">
      <c r="B3" s="4"/>
      <c r="C3" s="4"/>
      <c r="D3" s="4"/>
      <c r="E3" s="4"/>
      <c r="F3" s="4"/>
      <c r="G3" s="4"/>
      <c r="H3" s="4"/>
      <c r="I3" s="4"/>
      <c r="J3" s="4"/>
      <c r="K3" s="4"/>
    </row>
    <row r="4" spans="2:14" ht="18.75" x14ac:dyDescent="0.3">
      <c r="B4" s="2" t="s">
        <v>815</v>
      </c>
      <c r="C4" s="2"/>
      <c r="D4" s="2"/>
      <c r="E4" s="2"/>
      <c r="F4" s="2"/>
      <c r="G4" s="2"/>
      <c r="J4" s="4"/>
      <c r="K4" s="4"/>
    </row>
    <row r="5" spans="2:14" x14ac:dyDescent="0.25">
      <c r="B5" s="3" t="s">
        <v>857</v>
      </c>
      <c r="J5" s="4"/>
      <c r="K5" s="4"/>
    </row>
    <row r="6" spans="2:14" x14ac:dyDescent="0.25">
      <c r="J6" s="4"/>
      <c r="K6" s="4"/>
    </row>
    <row r="7" spans="2:14" x14ac:dyDescent="0.25">
      <c r="D7" s="406" t="s">
        <v>5</v>
      </c>
      <c r="E7" s="406"/>
      <c r="F7" s="406"/>
      <c r="G7" s="406" t="s">
        <v>6</v>
      </c>
      <c r="H7" s="406"/>
      <c r="I7" s="406"/>
      <c r="J7" s="414" t="s">
        <v>625</v>
      </c>
      <c r="K7" s="414"/>
      <c r="L7" s="414"/>
      <c r="N7" s="4"/>
    </row>
    <row r="8" spans="2:14" ht="30" x14ac:dyDescent="0.25">
      <c r="B8" s="138" t="s">
        <v>476</v>
      </c>
      <c r="C8" s="161" t="s">
        <v>594</v>
      </c>
      <c r="D8" s="138" t="s">
        <v>2</v>
      </c>
      <c r="E8" s="235" t="s">
        <v>595</v>
      </c>
      <c r="F8" s="235" t="s">
        <v>596</v>
      </c>
      <c r="G8" s="138" t="s">
        <v>2</v>
      </c>
      <c r="H8" s="235" t="s">
        <v>595</v>
      </c>
      <c r="I8" s="235" t="s">
        <v>596</v>
      </c>
      <c r="J8" s="340" t="s">
        <v>2</v>
      </c>
      <c r="K8" s="346" t="s">
        <v>595</v>
      </c>
      <c r="L8" s="346" t="s">
        <v>596</v>
      </c>
      <c r="M8" s="4"/>
    </row>
    <row r="9" spans="2:14" x14ac:dyDescent="0.25">
      <c r="B9" s="407">
        <v>45108</v>
      </c>
      <c r="C9" s="251" t="s">
        <v>76</v>
      </c>
      <c r="D9" s="253">
        <v>107603</v>
      </c>
      <c r="E9" s="253">
        <v>25329299.515999999</v>
      </c>
      <c r="F9" s="272">
        <v>25528060.311661769</v>
      </c>
      <c r="G9" s="253">
        <v>47071</v>
      </c>
      <c r="H9" s="253">
        <v>8333096.4539999999</v>
      </c>
      <c r="I9" s="272">
        <v>8398486.848253781</v>
      </c>
      <c r="J9" s="323">
        <v>154674</v>
      </c>
      <c r="K9" s="323">
        <v>33662395.969999999</v>
      </c>
      <c r="L9" s="323">
        <v>33926547.159915552</v>
      </c>
    </row>
    <row r="10" spans="2:14" x14ac:dyDescent="0.25">
      <c r="B10" s="415"/>
      <c r="C10" s="251" t="s">
        <v>77</v>
      </c>
      <c r="D10" s="253">
        <v>61709</v>
      </c>
      <c r="E10" s="253">
        <v>14707932.743000001</v>
      </c>
      <c r="F10" s="272">
        <v>14823346.926194916</v>
      </c>
      <c r="G10" s="253">
        <v>49165</v>
      </c>
      <c r="H10" s="253">
        <v>8270074.8600000003</v>
      </c>
      <c r="I10" s="272">
        <v>8334970.7193709901</v>
      </c>
      <c r="J10" s="323">
        <v>110874</v>
      </c>
      <c r="K10" s="323">
        <v>22978007.603</v>
      </c>
      <c r="L10" s="323">
        <v>23158317.645565905</v>
      </c>
      <c r="M10" s="4"/>
    </row>
    <row r="11" spans="2:14" x14ac:dyDescent="0.25">
      <c r="B11" s="415"/>
      <c r="C11" s="251" t="s">
        <v>28</v>
      </c>
      <c r="D11" s="253">
        <v>169312</v>
      </c>
      <c r="E11" s="253">
        <v>40037232.259000003</v>
      </c>
      <c r="F11" s="272">
        <v>40351407.237856686</v>
      </c>
      <c r="G11" s="253">
        <v>96236</v>
      </c>
      <c r="H11" s="253">
        <v>16603171.313999999</v>
      </c>
      <c r="I11" s="272">
        <v>16733457.56762477</v>
      </c>
      <c r="J11" s="323">
        <v>265548</v>
      </c>
      <c r="K11" s="323">
        <v>56640403.572999999</v>
      </c>
      <c r="L11" s="323">
        <v>57084864.805481464</v>
      </c>
      <c r="M11" s="4"/>
    </row>
    <row r="12" spans="2:14" x14ac:dyDescent="0.25">
      <c r="B12" s="407">
        <v>45139</v>
      </c>
      <c r="C12" s="251" t="s">
        <v>76</v>
      </c>
      <c r="D12" s="253">
        <v>107495</v>
      </c>
      <c r="E12" s="253">
        <v>25328349.484999999</v>
      </c>
      <c r="F12" s="272">
        <v>25498683.430313677</v>
      </c>
      <c r="G12" s="253">
        <v>47164</v>
      </c>
      <c r="H12" s="253">
        <v>8347020.5659999996</v>
      </c>
      <c r="I12" s="272">
        <v>8403154.5413094908</v>
      </c>
      <c r="J12" s="323">
        <v>154659</v>
      </c>
      <c r="K12" s="323">
        <v>33675370.050999999</v>
      </c>
      <c r="L12" s="323">
        <v>33901837.971623167</v>
      </c>
      <c r="M12" s="4"/>
    </row>
    <row r="13" spans="2:14" x14ac:dyDescent="0.25">
      <c r="B13" s="415"/>
      <c r="C13" s="251" t="s">
        <v>77</v>
      </c>
      <c r="D13" s="253">
        <v>61425</v>
      </c>
      <c r="E13" s="253">
        <v>14670726.693</v>
      </c>
      <c r="F13" s="272">
        <v>14769387.790507251</v>
      </c>
      <c r="G13" s="253">
        <v>49448</v>
      </c>
      <c r="H13" s="253">
        <v>8312011.5609999998</v>
      </c>
      <c r="I13" s="272">
        <v>8367910.0996519746</v>
      </c>
      <c r="J13" s="323">
        <v>110873</v>
      </c>
      <c r="K13" s="323">
        <v>22982738.254000001</v>
      </c>
      <c r="L13" s="323">
        <v>23137297.890159227</v>
      </c>
      <c r="M13" s="4"/>
    </row>
    <row r="14" spans="2:14" x14ac:dyDescent="0.25">
      <c r="B14" s="415"/>
      <c r="C14" s="251" t="s">
        <v>28</v>
      </c>
      <c r="D14" s="253">
        <v>168920</v>
      </c>
      <c r="E14" s="253">
        <v>39999076.178000003</v>
      </c>
      <c r="F14" s="272">
        <v>40268071.220820926</v>
      </c>
      <c r="G14" s="253">
        <v>96612</v>
      </c>
      <c r="H14" s="253">
        <v>16659032.127</v>
      </c>
      <c r="I14" s="272">
        <v>16771064.640961466</v>
      </c>
      <c r="J14" s="323">
        <v>265532</v>
      </c>
      <c r="K14" s="323">
        <v>56658108.305</v>
      </c>
      <c r="L14" s="323">
        <v>57039135.861782394</v>
      </c>
      <c r="M14" s="4"/>
    </row>
    <row r="15" spans="2:14" x14ac:dyDescent="0.25">
      <c r="B15" s="416">
        <v>45170</v>
      </c>
      <c r="C15" s="251" t="s">
        <v>76</v>
      </c>
      <c r="D15" s="253">
        <v>107346</v>
      </c>
      <c r="E15" s="253">
        <v>25293121.418000001</v>
      </c>
      <c r="F15" s="272">
        <v>25293121.418000001</v>
      </c>
      <c r="G15" s="253">
        <v>47248</v>
      </c>
      <c r="H15" s="253">
        <v>8349348.3439999996</v>
      </c>
      <c r="I15" s="272">
        <v>8349348.3439999996</v>
      </c>
      <c r="J15" s="323">
        <v>154594</v>
      </c>
      <c r="K15" s="323">
        <v>33642469.762000002</v>
      </c>
      <c r="L15" s="323">
        <v>33642469.762000002</v>
      </c>
      <c r="M15" s="4"/>
    </row>
    <row r="16" spans="2:14" x14ac:dyDescent="0.25">
      <c r="B16" s="417"/>
      <c r="C16" s="251" t="s">
        <v>77</v>
      </c>
      <c r="D16" s="253">
        <v>61168</v>
      </c>
      <c r="E16" s="253">
        <v>14619374.314999999</v>
      </c>
      <c r="F16" s="272">
        <v>14619374.314999999</v>
      </c>
      <c r="G16" s="253">
        <v>49763</v>
      </c>
      <c r="H16" s="253">
        <v>8344374.7850000001</v>
      </c>
      <c r="I16" s="272">
        <v>8344374.7850000001</v>
      </c>
      <c r="J16" s="323">
        <v>110931</v>
      </c>
      <c r="K16" s="323">
        <v>22963749.100000001</v>
      </c>
      <c r="L16" s="323">
        <v>22963749.100000001</v>
      </c>
      <c r="M16" s="4"/>
    </row>
    <row r="17" spans="2:29" x14ac:dyDescent="0.25">
      <c r="B17" s="417"/>
      <c r="C17" s="252" t="s">
        <v>28</v>
      </c>
      <c r="D17" s="253">
        <v>168514</v>
      </c>
      <c r="E17" s="253">
        <v>39912495.733000003</v>
      </c>
      <c r="F17" s="272">
        <v>39912495.733000003</v>
      </c>
      <c r="G17" s="253">
        <v>97011</v>
      </c>
      <c r="H17" s="253">
        <v>16693723.129000001</v>
      </c>
      <c r="I17" s="272">
        <v>16693723.129000001</v>
      </c>
      <c r="J17" s="323">
        <v>265525</v>
      </c>
      <c r="K17" s="323">
        <v>56606218.862000003</v>
      </c>
      <c r="L17" s="323">
        <v>56606218.862000003</v>
      </c>
    </row>
    <row r="18" spans="2:29" x14ac:dyDescent="0.25">
      <c r="B18" s="4" t="s">
        <v>812</v>
      </c>
      <c r="M18" s="261"/>
    </row>
    <row r="19" spans="2:29" ht="74.25" customHeight="1" x14ac:dyDescent="0.25">
      <c r="B19" s="410" t="s">
        <v>813</v>
      </c>
      <c r="C19" s="410"/>
      <c r="D19" s="410"/>
      <c r="E19" s="410"/>
      <c r="F19" s="410"/>
      <c r="G19" s="410"/>
      <c r="H19" s="410"/>
      <c r="I19" s="410"/>
      <c r="J19" s="410"/>
      <c r="K19" s="410"/>
      <c r="L19" s="410"/>
      <c r="M19" s="261"/>
    </row>
    <row r="20" spans="2:29" x14ac:dyDescent="0.25">
      <c r="B20" s="258" t="s">
        <v>859</v>
      </c>
      <c r="C20" s="246"/>
      <c r="D20" s="246"/>
      <c r="E20" s="246"/>
      <c r="F20" s="246"/>
      <c r="G20" s="246"/>
      <c r="H20" s="246"/>
      <c r="I20" s="246"/>
      <c r="J20" s="246"/>
      <c r="K20" s="246"/>
      <c r="L20" s="246"/>
      <c r="M20" s="263"/>
    </row>
    <row r="21" spans="2:29" x14ac:dyDescent="0.25">
      <c r="B21" s="259"/>
      <c r="D21" s="212"/>
      <c r="E21" s="212"/>
      <c r="F21" s="212"/>
      <c r="G21" s="212"/>
      <c r="H21" s="212"/>
      <c r="I21" s="212"/>
      <c r="J21" s="212"/>
      <c r="K21" s="212"/>
    </row>
    <row r="22" spans="2:29" ht="18.75" x14ac:dyDescent="0.3">
      <c r="B22" s="2" t="s">
        <v>819</v>
      </c>
      <c r="C22" s="2"/>
      <c r="D22" s="2"/>
      <c r="E22" s="2"/>
      <c r="F22" s="2"/>
      <c r="G22" s="8"/>
    </row>
    <row r="23" spans="2:29" x14ac:dyDescent="0.25">
      <c r="B23" s="3" t="s">
        <v>860</v>
      </c>
    </row>
    <row r="25" spans="2:29" x14ac:dyDescent="0.25">
      <c r="C25" s="403" t="s">
        <v>5</v>
      </c>
      <c r="D25" s="404"/>
      <c r="E25" s="404"/>
      <c r="F25" s="404"/>
      <c r="G25" s="404"/>
      <c r="H25" s="404"/>
      <c r="I25" s="404"/>
      <c r="J25" s="404"/>
      <c r="K25" s="405"/>
      <c r="L25" s="403" t="s">
        <v>6</v>
      </c>
      <c r="M25" s="404"/>
      <c r="N25" s="404"/>
      <c r="O25" s="404"/>
      <c r="P25" s="404"/>
      <c r="Q25" s="404"/>
      <c r="R25" s="404"/>
      <c r="S25" s="404"/>
      <c r="T25" s="405"/>
      <c r="U25" s="403" t="s">
        <v>625</v>
      </c>
      <c r="V25" s="404"/>
      <c r="W25" s="404"/>
      <c r="X25" s="404"/>
      <c r="Y25" s="404"/>
      <c r="Z25" s="404"/>
      <c r="AA25" s="404"/>
      <c r="AB25" s="404"/>
      <c r="AC25" s="405"/>
    </row>
    <row r="26" spans="2:29" x14ac:dyDescent="0.25">
      <c r="C26" s="403" t="s">
        <v>76</v>
      </c>
      <c r="D26" s="404"/>
      <c r="E26" s="405"/>
      <c r="F26" s="403" t="s">
        <v>77</v>
      </c>
      <c r="G26" s="404"/>
      <c r="H26" s="405"/>
      <c r="I26" s="403" t="s">
        <v>28</v>
      </c>
      <c r="J26" s="404"/>
      <c r="K26" s="405"/>
      <c r="L26" s="403" t="s">
        <v>76</v>
      </c>
      <c r="M26" s="404"/>
      <c r="N26" s="405"/>
      <c r="O26" s="403" t="s">
        <v>77</v>
      </c>
      <c r="P26" s="404"/>
      <c r="Q26" s="405"/>
      <c r="R26" s="403" t="s">
        <v>28</v>
      </c>
      <c r="S26" s="404"/>
      <c r="T26" s="405"/>
      <c r="U26" s="403" t="s">
        <v>76</v>
      </c>
      <c r="V26" s="404"/>
      <c r="W26" s="405"/>
      <c r="X26" s="403" t="s">
        <v>77</v>
      </c>
      <c r="Y26" s="404"/>
      <c r="Z26" s="405"/>
      <c r="AA26" s="403" t="s">
        <v>28</v>
      </c>
      <c r="AB26" s="404"/>
      <c r="AC26" s="405"/>
    </row>
    <row r="27" spans="2:29" ht="45" x14ac:dyDescent="0.25">
      <c r="B27" s="138" t="s">
        <v>476</v>
      </c>
      <c r="C27" s="360" t="s">
        <v>835</v>
      </c>
      <c r="D27" s="351" t="s">
        <v>838</v>
      </c>
      <c r="E27" s="360" t="s">
        <v>845</v>
      </c>
      <c r="F27" s="360" t="s">
        <v>835</v>
      </c>
      <c r="G27" s="351" t="s">
        <v>838</v>
      </c>
      <c r="H27" s="360" t="s">
        <v>845</v>
      </c>
      <c r="I27" s="360" t="s">
        <v>835</v>
      </c>
      <c r="J27" s="351" t="s">
        <v>838</v>
      </c>
      <c r="K27" s="360" t="s">
        <v>845</v>
      </c>
      <c r="L27" s="360" t="s">
        <v>835</v>
      </c>
      <c r="M27" s="351" t="s">
        <v>838</v>
      </c>
      <c r="N27" s="360" t="s">
        <v>845</v>
      </c>
      <c r="O27" s="360" t="s">
        <v>835</v>
      </c>
      <c r="P27" s="351" t="s">
        <v>838</v>
      </c>
      <c r="Q27" s="360" t="s">
        <v>845</v>
      </c>
      <c r="R27" s="360" t="s">
        <v>835</v>
      </c>
      <c r="S27" s="351" t="s">
        <v>838</v>
      </c>
      <c r="T27" s="360" t="s">
        <v>845</v>
      </c>
      <c r="U27" s="360" t="s">
        <v>835</v>
      </c>
      <c r="V27" s="351" t="s">
        <v>838</v>
      </c>
      <c r="W27" s="360" t="s">
        <v>845</v>
      </c>
      <c r="X27" s="360" t="s">
        <v>835</v>
      </c>
      <c r="Y27" s="351" t="s">
        <v>838</v>
      </c>
      <c r="Z27" s="360" t="s">
        <v>845</v>
      </c>
      <c r="AA27" s="360" t="s">
        <v>835</v>
      </c>
      <c r="AB27" s="351" t="s">
        <v>838</v>
      </c>
      <c r="AC27" s="360" t="s">
        <v>845</v>
      </c>
    </row>
    <row r="28" spans="2:29" hidden="1" outlineLevel="1" x14ac:dyDescent="0.25">
      <c r="B28" s="205">
        <v>39630</v>
      </c>
      <c r="C28" s="357"/>
      <c r="D28" s="357"/>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c r="AC28" s="173"/>
    </row>
    <row r="29" spans="2:29" hidden="1" outlineLevel="1" x14ac:dyDescent="0.25">
      <c r="B29" s="205">
        <v>39661</v>
      </c>
      <c r="C29" s="357"/>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c r="AC29" s="173"/>
    </row>
    <row r="30" spans="2:29" hidden="1" outlineLevel="1" x14ac:dyDescent="0.25">
      <c r="B30" s="205">
        <v>39692</v>
      </c>
      <c r="C30" s="357"/>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c r="AC30" s="173"/>
    </row>
    <row r="31" spans="2:29" hidden="1" outlineLevel="1" x14ac:dyDescent="0.25">
      <c r="B31" s="205">
        <v>39722</v>
      </c>
      <c r="C31" s="357">
        <v>2444</v>
      </c>
      <c r="D31" s="357">
        <v>657365.14308114117</v>
      </c>
      <c r="E31" s="357">
        <v>385553.92200000002</v>
      </c>
      <c r="F31" s="357">
        <v>955</v>
      </c>
      <c r="G31" s="357">
        <v>326838.34646710416</v>
      </c>
      <c r="H31" s="357">
        <v>191695.29699999999</v>
      </c>
      <c r="I31" s="357">
        <v>3399</v>
      </c>
      <c r="J31" s="357">
        <v>984203.48954824533</v>
      </c>
      <c r="K31" s="357">
        <v>577249.21900000004</v>
      </c>
      <c r="L31" s="357">
        <v>217</v>
      </c>
      <c r="M31" s="357">
        <v>60234.08183916827</v>
      </c>
      <c r="N31" s="357">
        <v>35328.137999999999</v>
      </c>
      <c r="O31" s="357">
        <v>229</v>
      </c>
      <c r="P31" s="357">
        <v>61248.516112853125</v>
      </c>
      <c r="Q31" s="357">
        <v>35923.118000000002</v>
      </c>
      <c r="R31" s="357">
        <v>446</v>
      </c>
      <c r="S31" s="357">
        <v>121482.59795202139</v>
      </c>
      <c r="T31" s="357">
        <v>71251.255999999994</v>
      </c>
      <c r="U31" s="357">
        <v>2661</v>
      </c>
      <c r="V31" s="357">
        <v>717599.22492030938</v>
      </c>
      <c r="W31" s="357">
        <v>420882.06</v>
      </c>
      <c r="X31" s="357">
        <v>1184</v>
      </c>
      <c r="Y31" s="357">
        <v>388086.86257995723</v>
      </c>
      <c r="Z31" s="357">
        <v>227618.41500000001</v>
      </c>
      <c r="AA31" s="357">
        <v>3845</v>
      </c>
      <c r="AB31" s="357">
        <v>1105686.0875002667</v>
      </c>
      <c r="AC31" s="173">
        <v>648500.47499999998</v>
      </c>
    </row>
    <row r="32" spans="2:29" hidden="1" outlineLevel="1" x14ac:dyDescent="0.25">
      <c r="B32" s="205">
        <v>39753</v>
      </c>
      <c r="C32" s="357">
        <v>3067</v>
      </c>
      <c r="D32" s="357">
        <v>329411.91646977473</v>
      </c>
      <c r="E32" s="357">
        <v>192967.99</v>
      </c>
      <c r="F32" s="357">
        <v>1159</v>
      </c>
      <c r="G32" s="357">
        <v>146218.39800425179</v>
      </c>
      <c r="H32" s="357">
        <v>85654.066999999995</v>
      </c>
      <c r="I32" s="357">
        <v>4226</v>
      </c>
      <c r="J32" s="357">
        <v>475630.3144740265</v>
      </c>
      <c r="K32" s="357">
        <v>278622.05699999997</v>
      </c>
      <c r="L32" s="357">
        <v>290</v>
      </c>
      <c r="M32" s="357">
        <v>35030.578095988676</v>
      </c>
      <c r="N32" s="357">
        <v>20520.752</v>
      </c>
      <c r="O32" s="357">
        <v>294</v>
      </c>
      <c r="P32" s="357">
        <v>33520.767710325606</v>
      </c>
      <c r="Q32" s="357">
        <v>19636.312000000002</v>
      </c>
      <c r="R32" s="357">
        <v>584</v>
      </c>
      <c r="S32" s="357">
        <v>68551.34580631429</v>
      </c>
      <c r="T32" s="357">
        <v>40157.063999999998</v>
      </c>
      <c r="U32" s="357">
        <v>3357</v>
      </c>
      <c r="V32" s="357">
        <v>364442.49456576334</v>
      </c>
      <c r="W32" s="357">
        <v>213488.742</v>
      </c>
      <c r="X32" s="357">
        <v>1453</v>
      </c>
      <c r="Y32" s="357">
        <v>179739.16571457742</v>
      </c>
      <c r="Z32" s="357">
        <v>105290.379</v>
      </c>
      <c r="AA32" s="357">
        <v>4810</v>
      </c>
      <c r="AB32" s="357">
        <v>544181.66028034082</v>
      </c>
      <c r="AC32" s="173">
        <v>318779.12099999998</v>
      </c>
    </row>
    <row r="33" spans="2:29" hidden="1" outlineLevel="1" x14ac:dyDescent="0.25">
      <c r="B33" s="205">
        <v>39783</v>
      </c>
      <c r="C33" s="357">
        <v>3251</v>
      </c>
      <c r="D33" s="357">
        <v>343011.09211446194</v>
      </c>
      <c r="E33" s="357">
        <v>198565.283</v>
      </c>
      <c r="F33" s="357">
        <v>1234</v>
      </c>
      <c r="G33" s="357">
        <v>186026.16271429948</v>
      </c>
      <c r="H33" s="357">
        <v>107688.46400000001</v>
      </c>
      <c r="I33" s="357">
        <v>4485</v>
      </c>
      <c r="J33" s="357">
        <v>529037.25482876145</v>
      </c>
      <c r="K33" s="357">
        <v>306253.74699999997</v>
      </c>
      <c r="L33" s="357">
        <v>352</v>
      </c>
      <c r="M33" s="357">
        <v>36515.178092055998</v>
      </c>
      <c r="N33" s="357">
        <v>21138.227999999999</v>
      </c>
      <c r="O33" s="357">
        <v>348</v>
      </c>
      <c r="P33" s="357">
        <v>34943.560220078849</v>
      </c>
      <c r="Q33" s="357">
        <v>20228.436000000002</v>
      </c>
      <c r="R33" s="357">
        <v>700</v>
      </c>
      <c r="S33" s="357">
        <v>71458.738312134854</v>
      </c>
      <c r="T33" s="357">
        <v>41366.663999999997</v>
      </c>
      <c r="U33" s="357">
        <v>3603</v>
      </c>
      <c r="V33" s="357">
        <v>379526.27020651795</v>
      </c>
      <c r="W33" s="357">
        <v>219703.511</v>
      </c>
      <c r="X33" s="357">
        <v>1582</v>
      </c>
      <c r="Y33" s="357">
        <v>220969.72293437828</v>
      </c>
      <c r="Z33" s="357">
        <v>127916.9</v>
      </c>
      <c r="AA33" s="357">
        <v>5185</v>
      </c>
      <c r="AB33" s="357">
        <v>600495.9931408962</v>
      </c>
      <c r="AC33" s="173">
        <v>347620.41100000002</v>
      </c>
    </row>
    <row r="34" spans="2:29" collapsed="1" x14ac:dyDescent="0.25">
      <c r="B34" s="359" t="s">
        <v>699</v>
      </c>
      <c r="C34" s="358">
        <v>2920.6666666666665</v>
      </c>
      <c r="D34" s="358">
        <v>443262.71722179261</v>
      </c>
      <c r="E34" s="358"/>
      <c r="F34" s="358">
        <v>1116</v>
      </c>
      <c r="G34" s="358">
        <v>219694.30239521849</v>
      </c>
      <c r="H34" s="358"/>
      <c r="I34" s="358">
        <v>4036.6666666666665</v>
      </c>
      <c r="J34" s="358">
        <v>662957.01961701119</v>
      </c>
      <c r="K34" s="358"/>
      <c r="L34" s="358">
        <v>286.33333333333331</v>
      </c>
      <c r="M34" s="358">
        <v>43926.612675737648</v>
      </c>
      <c r="N34" s="358"/>
      <c r="O34" s="358">
        <v>290.33333333333331</v>
      </c>
      <c r="P34" s="358">
        <v>43237.614681085863</v>
      </c>
      <c r="Q34" s="358"/>
      <c r="R34" s="358">
        <v>576.66666666666663</v>
      </c>
      <c r="S34" s="358">
        <v>87164.22735682351</v>
      </c>
      <c r="T34" s="358"/>
      <c r="U34" s="358">
        <v>3207</v>
      </c>
      <c r="V34" s="358">
        <v>487189.3298975302</v>
      </c>
      <c r="W34" s="358"/>
      <c r="X34" s="358">
        <v>1406.3333333333333</v>
      </c>
      <c r="Y34" s="358">
        <v>262931.91707630432</v>
      </c>
      <c r="Z34" s="358"/>
      <c r="AA34" s="358">
        <v>4613.333333333333</v>
      </c>
      <c r="AB34" s="358">
        <v>750121.24697383458</v>
      </c>
      <c r="AC34" s="361"/>
    </row>
    <row r="35" spans="2:29" hidden="1" outlineLevel="1" x14ac:dyDescent="0.25">
      <c r="B35" s="205">
        <v>39814</v>
      </c>
      <c r="C35" s="357">
        <v>4434</v>
      </c>
      <c r="D35" s="357">
        <v>672879.41800569347</v>
      </c>
      <c r="E35" s="357">
        <v>386551.685</v>
      </c>
      <c r="F35" s="357">
        <v>1765</v>
      </c>
      <c r="G35" s="357">
        <v>339245.48905710765</v>
      </c>
      <c r="H35" s="357">
        <v>194887.69</v>
      </c>
      <c r="I35" s="357">
        <v>6199</v>
      </c>
      <c r="J35" s="357">
        <v>1012124.9070628011</v>
      </c>
      <c r="K35" s="357">
        <v>581439.375</v>
      </c>
      <c r="L35" s="357">
        <v>468</v>
      </c>
      <c r="M35" s="357">
        <v>66214.842629835111</v>
      </c>
      <c r="N35" s="357">
        <v>38038.701000000001</v>
      </c>
      <c r="O35" s="357">
        <v>481</v>
      </c>
      <c r="P35" s="357">
        <v>76048.498581250722</v>
      </c>
      <c r="Q35" s="357">
        <v>43687.88</v>
      </c>
      <c r="R35" s="357">
        <v>949</v>
      </c>
      <c r="S35" s="357">
        <v>142263.34121108582</v>
      </c>
      <c r="T35" s="357">
        <v>81726.581000000006</v>
      </c>
      <c r="U35" s="357">
        <v>4902</v>
      </c>
      <c r="V35" s="357">
        <v>739094.2606355286</v>
      </c>
      <c r="W35" s="357">
        <v>424590.386</v>
      </c>
      <c r="X35" s="357">
        <v>2246</v>
      </c>
      <c r="Y35" s="357">
        <v>415293.98763835838</v>
      </c>
      <c r="Z35" s="357">
        <v>238575.57</v>
      </c>
      <c r="AA35" s="357">
        <v>7148</v>
      </c>
      <c r="AB35" s="357">
        <v>1154388.248273887</v>
      </c>
      <c r="AC35" s="173">
        <v>663165.95600000001</v>
      </c>
    </row>
    <row r="36" spans="2:29" hidden="1" outlineLevel="1" x14ac:dyDescent="0.25">
      <c r="B36" s="205">
        <v>39845</v>
      </c>
      <c r="C36" s="357">
        <v>5048</v>
      </c>
      <c r="D36" s="357">
        <v>520215.40424146992</v>
      </c>
      <c r="E36" s="357">
        <v>297761.34000000003</v>
      </c>
      <c r="F36" s="357">
        <v>2132</v>
      </c>
      <c r="G36" s="357">
        <v>273142.10374564334</v>
      </c>
      <c r="H36" s="357">
        <v>156341.31200000001</v>
      </c>
      <c r="I36" s="357">
        <v>7180</v>
      </c>
      <c r="J36" s="357">
        <v>793357.5079871132</v>
      </c>
      <c r="K36" s="357">
        <v>454102.652</v>
      </c>
      <c r="L36" s="357">
        <v>596</v>
      </c>
      <c r="M36" s="357">
        <v>82319.543448009514</v>
      </c>
      <c r="N36" s="357">
        <v>47118.131000000001</v>
      </c>
      <c r="O36" s="357">
        <v>584</v>
      </c>
      <c r="P36" s="357">
        <v>76497.587757171437</v>
      </c>
      <c r="Q36" s="357">
        <v>43785.754999999997</v>
      </c>
      <c r="R36" s="357">
        <v>1180</v>
      </c>
      <c r="S36" s="357">
        <v>158817.13120518098</v>
      </c>
      <c r="T36" s="357">
        <v>90903.885999999999</v>
      </c>
      <c r="U36" s="357">
        <v>5644</v>
      </c>
      <c r="V36" s="357">
        <v>602534.94768947945</v>
      </c>
      <c r="W36" s="357">
        <v>344879.47100000002</v>
      </c>
      <c r="X36" s="357">
        <v>2716</v>
      </c>
      <c r="Y36" s="357">
        <v>349639.69150281476</v>
      </c>
      <c r="Z36" s="357">
        <v>200127.06700000001</v>
      </c>
      <c r="AA36" s="357">
        <v>8360</v>
      </c>
      <c r="AB36" s="357">
        <v>952174.63919229421</v>
      </c>
      <c r="AC36" s="173">
        <v>545006.53799999994</v>
      </c>
    </row>
    <row r="37" spans="2:29" hidden="1" outlineLevel="1" x14ac:dyDescent="0.25">
      <c r="B37" s="205">
        <v>39873</v>
      </c>
      <c r="C37" s="357">
        <v>5703</v>
      </c>
      <c r="D37" s="357">
        <v>575473.19545862463</v>
      </c>
      <c r="E37" s="357">
        <v>330681.51199999999</v>
      </c>
      <c r="F37" s="357">
        <v>2584</v>
      </c>
      <c r="G37" s="357">
        <v>351568.92457589757</v>
      </c>
      <c r="H37" s="357">
        <v>202020.432</v>
      </c>
      <c r="I37" s="357">
        <v>8287</v>
      </c>
      <c r="J37" s="357">
        <v>927042.12003452214</v>
      </c>
      <c r="K37" s="357">
        <v>532701.94400000002</v>
      </c>
      <c r="L37" s="357">
        <v>787</v>
      </c>
      <c r="M37" s="357">
        <v>107849.62966575501</v>
      </c>
      <c r="N37" s="357">
        <v>61973.135999999999</v>
      </c>
      <c r="O37" s="357">
        <v>703</v>
      </c>
      <c r="P37" s="357">
        <v>82561.530431839448</v>
      </c>
      <c r="Q37" s="357">
        <v>47441.951999999997</v>
      </c>
      <c r="R37" s="357">
        <v>1490</v>
      </c>
      <c r="S37" s="357">
        <v>190411.16009759446</v>
      </c>
      <c r="T37" s="357">
        <v>109415.088</v>
      </c>
      <c r="U37" s="357">
        <v>6490</v>
      </c>
      <c r="V37" s="357">
        <v>683322.8251243796</v>
      </c>
      <c r="W37" s="357">
        <v>392654.64799999999</v>
      </c>
      <c r="X37" s="357">
        <v>3287</v>
      </c>
      <c r="Y37" s="357">
        <v>434130.45500773704</v>
      </c>
      <c r="Z37" s="357">
        <v>249462.38399999999</v>
      </c>
      <c r="AA37" s="357">
        <v>9777</v>
      </c>
      <c r="AB37" s="357">
        <v>1117453.2801321165</v>
      </c>
      <c r="AC37" s="173">
        <v>642117.03200000001</v>
      </c>
    </row>
    <row r="38" spans="2:29" hidden="1" outlineLevel="1" x14ac:dyDescent="0.25">
      <c r="B38" s="205">
        <v>39904</v>
      </c>
      <c r="C38" s="357">
        <v>6499</v>
      </c>
      <c r="D38" s="357">
        <v>826587.24880238005</v>
      </c>
      <c r="E38" s="357">
        <v>474237.53899999999</v>
      </c>
      <c r="F38" s="357">
        <v>3131</v>
      </c>
      <c r="G38" s="357">
        <v>490737.24166660506</v>
      </c>
      <c r="H38" s="357">
        <v>281550.462</v>
      </c>
      <c r="I38" s="357">
        <v>9630</v>
      </c>
      <c r="J38" s="357">
        <v>1317324.4904689852</v>
      </c>
      <c r="K38" s="357">
        <v>755788.00100000005</v>
      </c>
      <c r="L38" s="357">
        <v>1119</v>
      </c>
      <c r="M38" s="357">
        <v>190469.75529362637</v>
      </c>
      <c r="N38" s="357">
        <v>109278.129</v>
      </c>
      <c r="O38" s="357">
        <v>922</v>
      </c>
      <c r="P38" s="357">
        <v>138923.2165857825</v>
      </c>
      <c r="Q38" s="357">
        <v>79704.356</v>
      </c>
      <c r="R38" s="357">
        <v>2041</v>
      </c>
      <c r="S38" s="357">
        <v>329392.97187940881</v>
      </c>
      <c r="T38" s="357">
        <v>188982.48499999999</v>
      </c>
      <c r="U38" s="357">
        <v>7618</v>
      </c>
      <c r="V38" s="357">
        <v>1017057.0040960064</v>
      </c>
      <c r="W38" s="357">
        <v>583515.66799999995</v>
      </c>
      <c r="X38" s="357">
        <v>4053</v>
      </c>
      <c r="Y38" s="357">
        <v>629660.45825238747</v>
      </c>
      <c r="Z38" s="357">
        <v>361254.81800000003</v>
      </c>
      <c r="AA38" s="357">
        <v>11671</v>
      </c>
      <c r="AB38" s="357">
        <v>1646717.4623483939</v>
      </c>
      <c r="AC38" s="173">
        <v>944770.48600000003</v>
      </c>
    </row>
    <row r="39" spans="2:29" hidden="1" outlineLevel="1" x14ac:dyDescent="0.25">
      <c r="B39" s="205">
        <v>39934</v>
      </c>
      <c r="C39" s="357">
        <v>7208</v>
      </c>
      <c r="D39" s="357">
        <v>760425.29644982715</v>
      </c>
      <c r="E39" s="357">
        <v>435187.42300000001</v>
      </c>
      <c r="F39" s="357">
        <v>3842</v>
      </c>
      <c r="G39" s="357">
        <v>578663.33081988792</v>
      </c>
      <c r="H39" s="357">
        <v>331166</v>
      </c>
      <c r="I39" s="357">
        <v>11050</v>
      </c>
      <c r="J39" s="357">
        <v>1339088.6272697151</v>
      </c>
      <c r="K39" s="357">
        <v>766353.42299999995</v>
      </c>
      <c r="L39" s="357">
        <v>1372</v>
      </c>
      <c r="M39" s="357">
        <v>180578.9581466782</v>
      </c>
      <c r="N39" s="357">
        <v>103344.394</v>
      </c>
      <c r="O39" s="357">
        <v>1125</v>
      </c>
      <c r="P39" s="357">
        <v>145916.90825697233</v>
      </c>
      <c r="Q39" s="357">
        <v>83507.483999999997</v>
      </c>
      <c r="R39" s="357">
        <v>2497</v>
      </c>
      <c r="S39" s="357">
        <v>326495.86640365055</v>
      </c>
      <c r="T39" s="357">
        <v>186851.878</v>
      </c>
      <c r="U39" s="357">
        <v>8580</v>
      </c>
      <c r="V39" s="357">
        <v>941004.25459650555</v>
      </c>
      <c r="W39" s="357">
        <v>538531.81700000004</v>
      </c>
      <c r="X39" s="357">
        <v>4967</v>
      </c>
      <c r="Y39" s="357">
        <v>724580.23907686013</v>
      </c>
      <c r="Z39" s="357">
        <v>414673.484</v>
      </c>
      <c r="AA39" s="357">
        <v>13547</v>
      </c>
      <c r="AB39" s="357">
        <v>1665584.4936733656</v>
      </c>
      <c r="AC39" s="173">
        <v>953205.30099999998</v>
      </c>
    </row>
    <row r="40" spans="2:29" hidden="1" outlineLevel="1" x14ac:dyDescent="0.25">
      <c r="B40" s="205">
        <v>39965</v>
      </c>
      <c r="C40" s="357">
        <v>7817</v>
      </c>
      <c r="D40" s="357">
        <v>765946.06757025688</v>
      </c>
      <c r="E40" s="357">
        <v>439866.065</v>
      </c>
      <c r="F40" s="357">
        <v>4373</v>
      </c>
      <c r="G40" s="357">
        <v>532405.79822313052</v>
      </c>
      <c r="H40" s="357">
        <v>305748.99900000001</v>
      </c>
      <c r="I40" s="357">
        <v>12190</v>
      </c>
      <c r="J40" s="357">
        <v>1298351.8657933872</v>
      </c>
      <c r="K40" s="357">
        <v>745615.06400000001</v>
      </c>
      <c r="L40" s="357">
        <v>1674</v>
      </c>
      <c r="M40" s="357">
        <v>214103.53533285009</v>
      </c>
      <c r="N40" s="357">
        <v>122954.97500000001</v>
      </c>
      <c r="O40" s="357">
        <v>1346</v>
      </c>
      <c r="P40" s="357">
        <v>164473.26703129135</v>
      </c>
      <c r="Q40" s="357">
        <v>94453.398000000001</v>
      </c>
      <c r="R40" s="357">
        <v>3020</v>
      </c>
      <c r="S40" s="357">
        <v>378576.80236414145</v>
      </c>
      <c r="T40" s="357">
        <v>217408.37299999999</v>
      </c>
      <c r="U40" s="357">
        <v>9491</v>
      </c>
      <c r="V40" s="357">
        <v>980049.60290310695</v>
      </c>
      <c r="W40" s="357">
        <v>562821.04</v>
      </c>
      <c r="X40" s="357">
        <v>5719</v>
      </c>
      <c r="Y40" s="357">
        <v>696879.06525442179</v>
      </c>
      <c r="Z40" s="357">
        <v>400202.397</v>
      </c>
      <c r="AA40" s="357">
        <v>15210</v>
      </c>
      <c r="AB40" s="357">
        <v>1676928.6681575286</v>
      </c>
      <c r="AC40" s="173">
        <v>963023.43700000003</v>
      </c>
    </row>
    <row r="41" spans="2:29" hidden="1" outlineLevel="1" x14ac:dyDescent="0.25">
      <c r="B41" s="205">
        <v>39995</v>
      </c>
      <c r="C41" s="357">
        <v>8395</v>
      </c>
      <c r="D41" s="357">
        <v>1110843.4383516693</v>
      </c>
      <c r="E41" s="357">
        <v>635123.79399999999</v>
      </c>
      <c r="F41" s="357">
        <v>4882</v>
      </c>
      <c r="G41" s="357">
        <v>741967.22712656565</v>
      </c>
      <c r="H41" s="357">
        <v>424219.13299999997</v>
      </c>
      <c r="I41" s="357">
        <v>13277</v>
      </c>
      <c r="J41" s="357">
        <v>1852810.6654782353</v>
      </c>
      <c r="K41" s="357">
        <v>1059342.9269999999</v>
      </c>
      <c r="L41" s="357">
        <v>2118</v>
      </c>
      <c r="M41" s="357">
        <v>388950.6249041179</v>
      </c>
      <c r="N41" s="357">
        <v>222382.19</v>
      </c>
      <c r="O41" s="357">
        <v>1670</v>
      </c>
      <c r="P41" s="357">
        <v>302569.73598091071</v>
      </c>
      <c r="Q41" s="357">
        <v>172993.99</v>
      </c>
      <c r="R41" s="357">
        <v>3788</v>
      </c>
      <c r="S41" s="357">
        <v>691520.36088502861</v>
      </c>
      <c r="T41" s="357">
        <v>395376.18</v>
      </c>
      <c r="U41" s="357">
        <v>10513</v>
      </c>
      <c r="V41" s="357">
        <v>1499794.0632557874</v>
      </c>
      <c r="W41" s="357">
        <v>857505.98400000005</v>
      </c>
      <c r="X41" s="357">
        <v>6552</v>
      </c>
      <c r="Y41" s="357">
        <v>1044536.9631074765</v>
      </c>
      <c r="Z41" s="357">
        <v>597213.12300000002</v>
      </c>
      <c r="AA41" s="357">
        <v>17065</v>
      </c>
      <c r="AB41" s="357">
        <v>2544331.0263632638</v>
      </c>
      <c r="AC41" s="173">
        <v>1454719.1070000001</v>
      </c>
    </row>
    <row r="42" spans="2:29" hidden="1" outlineLevel="1" x14ac:dyDescent="0.25">
      <c r="B42" s="205">
        <v>40026</v>
      </c>
      <c r="C42" s="357">
        <v>9052</v>
      </c>
      <c r="D42" s="357">
        <v>1293754.8144274526</v>
      </c>
      <c r="E42" s="357">
        <v>737039.56900000002</v>
      </c>
      <c r="F42" s="357">
        <v>5603</v>
      </c>
      <c r="G42" s="357">
        <v>1016815.5917261129</v>
      </c>
      <c r="H42" s="357">
        <v>579269.98</v>
      </c>
      <c r="I42" s="357">
        <v>14655</v>
      </c>
      <c r="J42" s="357">
        <v>2310570.4061535653</v>
      </c>
      <c r="K42" s="357">
        <v>1316309.5490000001</v>
      </c>
      <c r="L42" s="357">
        <v>2469</v>
      </c>
      <c r="M42" s="357">
        <v>404598.11374549888</v>
      </c>
      <c r="N42" s="357">
        <v>230495.62100000001</v>
      </c>
      <c r="O42" s="357">
        <v>1969</v>
      </c>
      <c r="P42" s="357">
        <v>315675.43425482162</v>
      </c>
      <c r="Q42" s="357">
        <v>179837.23300000001</v>
      </c>
      <c r="R42" s="357">
        <v>4438</v>
      </c>
      <c r="S42" s="357">
        <v>720273.54800032056</v>
      </c>
      <c r="T42" s="357">
        <v>410332.85399999999</v>
      </c>
      <c r="U42" s="357">
        <v>11521</v>
      </c>
      <c r="V42" s="357">
        <v>1698352.9281729516</v>
      </c>
      <c r="W42" s="357">
        <v>967535.19</v>
      </c>
      <c r="X42" s="357">
        <v>7572</v>
      </c>
      <c r="Y42" s="357">
        <v>1332491.0259809347</v>
      </c>
      <c r="Z42" s="357">
        <v>759107.21299999999</v>
      </c>
      <c r="AA42" s="357">
        <v>19093</v>
      </c>
      <c r="AB42" s="357">
        <v>3030843.9541538861</v>
      </c>
      <c r="AC42" s="173">
        <v>1726642.4029999999</v>
      </c>
    </row>
    <row r="43" spans="2:29" hidden="1" outlineLevel="1" x14ac:dyDescent="0.25">
      <c r="B43" s="205">
        <v>40057</v>
      </c>
      <c r="C43" s="357">
        <v>12193</v>
      </c>
      <c r="D43" s="357">
        <v>1664721.9485884027</v>
      </c>
      <c r="E43" s="357">
        <v>957691.02899999998</v>
      </c>
      <c r="F43" s="357">
        <v>15010</v>
      </c>
      <c r="G43" s="357">
        <v>1720497.0252720164</v>
      </c>
      <c r="H43" s="357">
        <v>989777.64300000004</v>
      </c>
      <c r="I43" s="357">
        <v>27203</v>
      </c>
      <c r="J43" s="357">
        <v>3385218.9738604194</v>
      </c>
      <c r="K43" s="357">
        <v>1947468.672</v>
      </c>
      <c r="L43" s="357">
        <v>2777</v>
      </c>
      <c r="M43" s="357">
        <v>418637.2843714155</v>
      </c>
      <c r="N43" s="357">
        <v>240836.11799999999</v>
      </c>
      <c r="O43" s="357">
        <v>2203</v>
      </c>
      <c r="P43" s="357">
        <v>324035.80532569077</v>
      </c>
      <c r="Q43" s="357">
        <v>186413.223</v>
      </c>
      <c r="R43" s="357">
        <v>4980</v>
      </c>
      <c r="S43" s="357">
        <v>742673.08969710628</v>
      </c>
      <c r="T43" s="357">
        <v>427249.34100000001</v>
      </c>
      <c r="U43" s="357">
        <v>14970</v>
      </c>
      <c r="V43" s="357">
        <v>2083359.2329598183</v>
      </c>
      <c r="W43" s="357">
        <v>1198527.1470000001</v>
      </c>
      <c r="X43" s="357">
        <v>17213</v>
      </c>
      <c r="Y43" s="357">
        <v>2044532.8305977073</v>
      </c>
      <c r="Z43" s="357">
        <v>1176190.8659999999</v>
      </c>
      <c r="AA43" s="357">
        <v>32183</v>
      </c>
      <c r="AB43" s="357">
        <v>4127892.0635575256</v>
      </c>
      <c r="AC43" s="173">
        <v>2374718.0129999998</v>
      </c>
    </row>
    <row r="44" spans="2:29" hidden="1" outlineLevel="1" x14ac:dyDescent="0.25">
      <c r="B44" s="205">
        <v>40087</v>
      </c>
      <c r="C44" s="357">
        <v>98877</v>
      </c>
      <c r="D44" s="357">
        <v>8189336.6481865738</v>
      </c>
      <c r="E44" s="357">
        <v>4711096.3140000002</v>
      </c>
      <c r="F44" s="357">
        <v>70157</v>
      </c>
      <c r="G44" s="357">
        <v>5173557.2012756774</v>
      </c>
      <c r="H44" s="357">
        <v>2976202.7510000002</v>
      </c>
      <c r="I44" s="357">
        <v>169034</v>
      </c>
      <c r="J44" s="357">
        <v>13362893.849462252</v>
      </c>
      <c r="K44" s="357">
        <v>7687299.0650000004</v>
      </c>
      <c r="L44" s="357">
        <v>3876</v>
      </c>
      <c r="M44" s="357">
        <v>751525.90916511044</v>
      </c>
      <c r="N44" s="357">
        <v>432331.83500000002</v>
      </c>
      <c r="O44" s="357">
        <v>3042</v>
      </c>
      <c r="P44" s="357">
        <v>564151.93568945408</v>
      </c>
      <c r="Q44" s="357">
        <v>324540.82900000003</v>
      </c>
      <c r="R44" s="357">
        <v>6918</v>
      </c>
      <c r="S44" s="357">
        <v>1315677.8448545646</v>
      </c>
      <c r="T44" s="357">
        <v>756872.66399999999</v>
      </c>
      <c r="U44" s="357">
        <v>102753</v>
      </c>
      <c r="V44" s="357">
        <v>8940862.5573516842</v>
      </c>
      <c r="W44" s="357">
        <v>5143428.1490000002</v>
      </c>
      <c r="X44" s="357">
        <v>73199</v>
      </c>
      <c r="Y44" s="357">
        <v>5737709.1369651314</v>
      </c>
      <c r="Z44" s="357">
        <v>3300743.58</v>
      </c>
      <c r="AA44" s="357">
        <v>175952</v>
      </c>
      <c r="AB44" s="357">
        <v>14678571.694316816</v>
      </c>
      <c r="AC44" s="173">
        <v>8444171.7290000003</v>
      </c>
    </row>
    <row r="45" spans="2:29" hidden="1" outlineLevel="1" x14ac:dyDescent="0.25">
      <c r="B45" s="205">
        <v>40118</v>
      </c>
      <c r="C45" s="357">
        <v>118191</v>
      </c>
      <c r="D45" s="357">
        <v>4958791.5412635971</v>
      </c>
      <c r="E45" s="357">
        <v>2839653.29</v>
      </c>
      <c r="F45" s="357">
        <v>85364</v>
      </c>
      <c r="G45" s="357">
        <v>3702088.6144838091</v>
      </c>
      <c r="H45" s="357">
        <v>2120002.0260000001</v>
      </c>
      <c r="I45" s="357">
        <v>203555</v>
      </c>
      <c r="J45" s="357">
        <v>8660880.1557474062</v>
      </c>
      <c r="K45" s="357">
        <v>4959655.3159999996</v>
      </c>
      <c r="L45" s="357">
        <v>4342</v>
      </c>
      <c r="M45" s="357">
        <v>662187.45576694829</v>
      </c>
      <c r="N45" s="357">
        <v>379201.82199999999</v>
      </c>
      <c r="O45" s="357">
        <v>3394</v>
      </c>
      <c r="P45" s="357">
        <v>505360.08399260626</v>
      </c>
      <c r="Q45" s="357">
        <v>289394.58600000001</v>
      </c>
      <c r="R45" s="357">
        <v>7736</v>
      </c>
      <c r="S45" s="357">
        <v>1167547.5397595547</v>
      </c>
      <c r="T45" s="357">
        <v>668596.40800000005</v>
      </c>
      <c r="U45" s="357">
        <v>122533</v>
      </c>
      <c r="V45" s="357">
        <v>5620978.997030546</v>
      </c>
      <c r="W45" s="357">
        <v>3218855.1120000002</v>
      </c>
      <c r="X45" s="357">
        <v>88758</v>
      </c>
      <c r="Y45" s="357">
        <v>4207448.6984764151</v>
      </c>
      <c r="Z45" s="357">
        <v>2409396.6120000002</v>
      </c>
      <c r="AA45" s="357">
        <v>211291</v>
      </c>
      <c r="AB45" s="357">
        <v>9828427.695506962</v>
      </c>
      <c r="AC45" s="173">
        <v>5628251.7240000004</v>
      </c>
    </row>
    <row r="46" spans="2:29" hidden="1" outlineLevel="1" x14ac:dyDescent="0.25">
      <c r="B46" s="205">
        <v>40148</v>
      </c>
      <c r="C46" s="357">
        <v>137544</v>
      </c>
      <c r="D46" s="357">
        <v>5975353.2303256877</v>
      </c>
      <c r="E46" s="357">
        <v>3411337.3089999999</v>
      </c>
      <c r="F46" s="357">
        <v>100434</v>
      </c>
      <c r="G46" s="357">
        <v>4645196.1611477239</v>
      </c>
      <c r="H46" s="357">
        <v>2651948.824</v>
      </c>
      <c r="I46" s="357">
        <v>237978</v>
      </c>
      <c r="J46" s="357">
        <v>10620549.391473411</v>
      </c>
      <c r="K46" s="357">
        <v>6063286.1330000004</v>
      </c>
      <c r="L46" s="357">
        <v>4968</v>
      </c>
      <c r="M46" s="357">
        <v>810103.69258448656</v>
      </c>
      <c r="N46" s="357">
        <v>462489.30300000001</v>
      </c>
      <c r="O46" s="357">
        <v>3798</v>
      </c>
      <c r="P46" s="357">
        <v>605307.46613914496</v>
      </c>
      <c r="Q46" s="357">
        <v>345570.85800000001</v>
      </c>
      <c r="R46" s="357">
        <v>8766</v>
      </c>
      <c r="S46" s="357">
        <v>1415411.1587236316</v>
      </c>
      <c r="T46" s="357">
        <v>808060.16099999996</v>
      </c>
      <c r="U46" s="357">
        <v>142512</v>
      </c>
      <c r="V46" s="357">
        <v>6785456.9229101744</v>
      </c>
      <c r="W46" s="357">
        <v>3873826.6120000002</v>
      </c>
      <c r="X46" s="357">
        <v>104232</v>
      </c>
      <c r="Y46" s="357">
        <v>5250503.6272868691</v>
      </c>
      <c r="Z46" s="357">
        <v>2997519.682</v>
      </c>
      <c r="AA46" s="357">
        <v>246744</v>
      </c>
      <c r="AB46" s="357">
        <v>12035960.550197043</v>
      </c>
      <c r="AC46" s="173">
        <v>6871346.2939999998</v>
      </c>
    </row>
    <row r="47" spans="2:29" collapsed="1" x14ac:dyDescent="0.25">
      <c r="B47" s="359" t="s">
        <v>700</v>
      </c>
      <c r="C47" s="358">
        <v>35080.083333333336</v>
      </c>
      <c r="D47" s="358">
        <v>2276194.0209726361</v>
      </c>
      <c r="E47" s="358"/>
      <c r="F47" s="358">
        <v>24939.75</v>
      </c>
      <c r="G47" s="358">
        <v>1630490.3924266815</v>
      </c>
      <c r="H47" s="358"/>
      <c r="I47" s="358">
        <v>60019.833333333336</v>
      </c>
      <c r="J47" s="358">
        <v>3906684.4133993178</v>
      </c>
      <c r="K47" s="358"/>
      <c r="L47" s="358">
        <v>2213.8333333333335</v>
      </c>
      <c r="M47" s="358">
        <v>356461.61208786099</v>
      </c>
      <c r="N47" s="358"/>
      <c r="O47" s="358">
        <v>1769.75</v>
      </c>
      <c r="P47" s="358">
        <v>275126.78916891135</v>
      </c>
      <c r="Q47" s="358"/>
      <c r="R47" s="358">
        <v>3983.5833333333335</v>
      </c>
      <c r="S47" s="358">
        <v>631588.40125677246</v>
      </c>
      <c r="T47" s="358"/>
      <c r="U47" s="358">
        <v>37293.916666666664</v>
      </c>
      <c r="V47" s="358">
        <v>2632655.6330604968</v>
      </c>
      <c r="W47" s="358"/>
      <c r="X47" s="358">
        <v>26709.5</v>
      </c>
      <c r="Y47" s="358">
        <v>1905617.1815955928</v>
      </c>
      <c r="Z47" s="358"/>
      <c r="AA47" s="358">
        <v>64003.416666666664</v>
      </c>
      <c r="AB47" s="358">
        <v>4538272.81465609</v>
      </c>
      <c r="AC47" s="361"/>
    </row>
    <row r="48" spans="2:29" hidden="1" outlineLevel="1" x14ac:dyDescent="0.25">
      <c r="B48" s="205">
        <v>40179</v>
      </c>
      <c r="C48" s="357">
        <v>147468</v>
      </c>
      <c r="D48" s="357">
        <v>5632030.6978371209</v>
      </c>
      <c r="E48" s="357">
        <v>3231997.4950000001</v>
      </c>
      <c r="F48" s="357">
        <v>103465</v>
      </c>
      <c r="G48" s="357">
        <v>4147192.0970958928</v>
      </c>
      <c r="H48" s="357">
        <v>2379907.9210000001</v>
      </c>
      <c r="I48" s="357">
        <v>250933</v>
      </c>
      <c r="J48" s="357">
        <v>9779222.7949330136</v>
      </c>
      <c r="K48" s="357">
        <v>5611905.4160000002</v>
      </c>
      <c r="L48" s="357">
        <v>5495</v>
      </c>
      <c r="M48" s="357">
        <v>821634.85634988931</v>
      </c>
      <c r="N48" s="357">
        <v>471503.43099999998</v>
      </c>
      <c r="O48" s="357">
        <v>4172</v>
      </c>
      <c r="P48" s="357">
        <v>613282.65593733592</v>
      </c>
      <c r="Q48" s="357">
        <v>351938.424</v>
      </c>
      <c r="R48" s="357">
        <v>9667</v>
      </c>
      <c r="S48" s="357">
        <v>1434917.5122872253</v>
      </c>
      <c r="T48" s="357">
        <v>823441.85499999998</v>
      </c>
      <c r="U48" s="357">
        <v>152963</v>
      </c>
      <c r="V48" s="357">
        <v>6453665.554187011</v>
      </c>
      <c r="W48" s="357">
        <v>3703500.926</v>
      </c>
      <c r="X48" s="357">
        <v>107637</v>
      </c>
      <c r="Y48" s="357">
        <v>4760474.7530332291</v>
      </c>
      <c r="Z48" s="357">
        <v>2731846.3450000002</v>
      </c>
      <c r="AA48" s="357">
        <v>260600</v>
      </c>
      <c r="AB48" s="357">
        <v>11214140.307220239</v>
      </c>
      <c r="AC48" s="173">
        <v>6435347.2709999997</v>
      </c>
    </row>
    <row r="49" spans="2:29" hidden="1" outlineLevel="1" x14ac:dyDescent="0.25">
      <c r="B49" s="205">
        <v>40210</v>
      </c>
      <c r="C49" s="357">
        <v>157189</v>
      </c>
      <c r="D49" s="357">
        <v>6055058.2149852803</v>
      </c>
      <c r="E49" s="357">
        <v>3484520.068</v>
      </c>
      <c r="F49" s="357">
        <v>108163</v>
      </c>
      <c r="G49" s="357">
        <v>4356258.872791227</v>
      </c>
      <c r="H49" s="357">
        <v>2506907.6009999998</v>
      </c>
      <c r="I49" s="357">
        <v>265352</v>
      </c>
      <c r="J49" s="357">
        <v>10411317.087776506</v>
      </c>
      <c r="K49" s="357">
        <v>5991427.6689999998</v>
      </c>
      <c r="L49" s="357">
        <v>5997</v>
      </c>
      <c r="M49" s="357">
        <v>830475.20869575255</v>
      </c>
      <c r="N49" s="357">
        <v>477915.72399999999</v>
      </c>
      <c r="O49" s="357">
        <v>4576</v>
      </c>
      <c r="P49" s="357">
        <v>634599.55823863682</v>
      </c>
      <c r="Q49" s="357">
        <v>365194.65500000003</v>
      </c>
      <c r="R49" s="357">
        <v>10573</v>
      </c>
      <c r="S49" s="357">
        <v>1465074.7669343892</v>
      </c>
      <c r="T49" s="357">
        <v>843110.37899999996</v>
      </c>
      <c r="U49" s="357">
        <v>163186</v>
      </c>
      <c r="V49" s="357">
        <v>6885533.4236810319</v>
      </c>
      <c r="W49" s="357">
        <v>3962435.7919999999</v>
      </c>
      <c r="X49" s="357">
        <v>112739</v>
      </c>
      <c r="Y49" s="357">
        <v>4990858.4310298646</v>
      </c>
      <c r="Z49" s="357">
        <v>2872102.2560000001</v>
      </c>
      <c r="AA49" s="357">
        <v>275925</v>
      </c>
      <c r="AB49" s="357">
        <v>11876391.854710896</v>
      </c>
      <c r="AC49" s="173">
        <v>6834538.0480000004</v>
      </c>
    </row>
    <row r="50" spans="2:29" hidden="1" outlineLevel="1" x14ac:dyDescent="0.25">
      <c r="B50" s="205">
        <v>40238</v>
      </c>
      <c r="C50" s="357">
        <v>167854</v>
      </c>
      <c r="D50" s="357">
        <v>6931436.6483165156</v>
      </c>
      <c r="E50" s="357">
        <v>3992205.8029999998</v>
      </c>
      <c r="F50" s="357">
        <v>115920</v>
      </c>
      <c r="G50" s="357">
        <v>5358257.6983758733</v>
      </c>
      <c r="H50" s="357">
        <v>3086123.2039999999</v>
      </c>
      <c r="I50" s="357">
        <v>283774</v>
      </c>
      <c r="J50" s="357">
        <v>12289694.346692391</v>
      </c>
      <c r="K50" s="357">
        <v>7078329.0070000002</v>
      </c>
      <c r="L50" s="357">
        <v>6477</v>
      </c>
      <c r="M50" s="357">
        <v>955362.55088906211</v>
      </c>
      <c r="N50" s="357">
        <v>550247.245</v>
      </c>
      <c r="O50" s="357">
        <v>4862</v>
      </c>
      <c r="P50" s="357">
        <v>700948.91559755907</v>
      </c>
      <c r="Q50" s="357">
        <v>403716.065</v>
      </c>
      <c r="R50" s="357">
        <v>11339</v>
      </c>
      <c r="S50" s="357">
        <v>1656311.4664866214</v>
      </c>
      <c r="T50" s="357">
        <v>953963.31</v>
      </c>
      <c r="U50" s="357">
        <v>174331</v>
      </c>
      <c r="V50" s="357">
        <v>7886799.1992055783</v>
      </c>
      <c r="W50" s="357">
        <v>4542453.0480000004</v>
      </c>
      <c r="X50" s="357">
        <v>120782</v>
      </c>
      <c r="Y50" s="357">
        <v>6059206.6139734332</v>
      </c>
      <c r="Z50" s="357">
        <v>3489839.2689999999</v>
      </c>
      <c r="AA50" s="357">
        <v>295113</v>
      </c>
      <c r="AB50" s="357">
        <v>13946005.813179011</v>
      </c>
      <c r="AC50" s="173">
        <v>8032292.3169999998</v>
      </c>
    </row>
    <row r="51" spans="2:29" hidden="1" outlineLevel="1" x14ac:dyDescent="0.25">
      <c r="B51" s="205">
        <v>40269</v>
      </c>
      <c r="C51" s="357">
        <v>172340</v>
      </c>
      <c r="D51" s="357">
        <v>6106579.2254698901</v>
      </c>
      <c r="E51" s="357">
        <v>3533379.966</v>
      </c>
      <c r="F51" s="357">
        <v>118241</v>
      </c>
      <c r="G51" s="357">
        <v>4475306.5751245022</v>
      </c>
      <c r="H51" s="357">
        <v>2589495.3640000001</v>
      </c>
      <c r="I51" s="357">
        <v>290581</v>
      </c>
      <c r="J51" s="357">
        <v>10581885.800594393</v>
      </c>
      <c r="K51" s="357">
        <v>6122875.3300000001</v>
      </c>
      <c r="L51" s="357">
        <v>6887</v>
      </c>
      <c r="M51" s="357">
        <v>953224.59320673742</v>
      </c>
      <c r="N51" s="357">
        <v>551553.424</v>
      </c>
      <c r="O51" s="357">
        <v>5130</v>
      </c>
      <c r="P51" s="357">
        <v>696394.3997384964</v>
      </c>
      <c r="Q51" s="357">
        <v>402946.712</v>
      </c>
      <c r="R51" s="357">
        <v>12017</v>
      </c>
      <c r="S51" s="357">
        <v>1649618.9929452338</v>
      </c>
      <c r="T51" s="357">
        <v>954500.13600000006</v>
      </c>
      <c r="U51" s="357">
        <v>179227</v>
      </c>
      <c r="V51" s="357">
        <v>7059803.8186766272</v>
      </c>
      <c r="W51" s="357">
        <v>4084933.39</v>
      </c>
      <c r="X51" s="357">
        <v>123371</v>
      </c>
      <c r="Y51" s="357">
        <v>5171700.9748629993</v>
      </c>
      <c r="Z51" s="357">
        <v>2992442.0759999999</v>
      </c>
      <c r="AA51" s="357">
        <v>302598</v>
      </c>
      <c r="AB51" s="357">
        <v>12231504.793539625</v>
      </c>
      <c r="AC51" s="173">
        <v>7077375.466</v>
      </c>
    </row>
    <row r="52" spans="2:29" hidden="1" outlineLevel="1" x14ac:dyDescent="0.25">
      <c r="B52" s="205">
        <v>40299</v>
      </c>
      <c r="C52" s="357">
        <v>177041</v>
      </c>
      <c r="D52" s="357">
        <v>6332849.6372849438</v>
      </c>
      <c r="E52" s="357">
        <v>3677489.48</v>
      </c>
      <c r="F52" s="357">
        <v>120927</v>
      </c>
      <c r="G52" s="357">
        <v>4781073.970954272</v>
      </c>
      <c r="H52" s="357">
        <v>2776372.4449999998</v>
      </c>
      <c r="I52" s="357">
        <v>297968</v>
      </c>
      <c r="J52" s="357">
        <v>11113923.608239217</v>
      </c>
      <c r="K52" s="357">
        <v>6453861.9249999998</v>
      </c>
      <c r="L52" s="357">
        <v>7424</v>
      </c>
      <c r="M52" s="357">
        <v>1046795.2249475996</v>
      </c>
      <c r="N52" s="357">
        <v>607874.598</v>
      </c>
      <c r="O52" s="357">
        <v>5506</v>
      </c>
      <c r="P52" s="357">
        <v>753290.35888789874</v>
      </c>
      <c r="Q52" s="357">
        <v>437436.15100000001</v>
      </c>
      <c r="R52" s="357">
        <v>12930</v>
      </c>
      <c r="S52" s="357">
        <v>1800085.5838354982</v>
      </c>
      <c r="T52" s="357">
        <v>1045310.749</v>
      </c>
      <c r="U52" s="357">
        <v>184465</v>
      </c>
      <c r="V52" s="357">
        <v>7379644.8622325426</v>
      </c>
      <c r="W52" s="357">
        <v>4285364.0779999997</v>
      </c>
      <c r="X52" s="357">
        <v>126433</v>
      </c>
      <c r="Y52" s="357">
        <v>5534364.3298421707</v>
      </c>
      <c r="Z52" s="357">
        <v>3213808.5959999999</v>
      </c>
      <c r="AA52" s="357">
        <v>310898</v>
      </c>
      <c r="AB52" s="357">
        <v>12914009.192074712</v>
      </c>
      <c r="AC52" s="173">
        <v>7499172.6739999996</v>
      </c>
    </row>
    <row r="53" spans="2:29" hidden="1" outlineLevel="1" x14ac:dyDescent="0.25">
      <c r="B53" s="205">
        <v>40330</v>
      </c>
      <c r="C53" s="357">
        <v>183571</v>
      </c>
      <c r="D53" s="357">
        <v>6722294.5745557938</v>
      </c>
      <c r="E53" s="357">
        <v>3903654.6230000001</v>
      </c>
      <c r="F53" s="357">
        <v>125869</v>
      </c>
      <c r="G53" s="357">
        <v>4842725.4761781124</v>
      </c>
      <c r="H53" s="357">
        <v>2812183.7689999999</v>
      </c>
      <c r="I53" s="357">
        <v>309440</v>
      </c>
      <c r="J53" s="357">
        <v>11565020.050733905</v>
      </c>
      <c r="K53" s="357">
        <v>6715838.392</v>
      </c>
      <c r="L53" s="357">
        <v>8152</v>
      </c>
      <c r="M53" s="357">
        <v>1270239.8361080212</v>
      </c>
      <c r="N53" s="357">
        <v>737631.70499999996</v>
      </c>
      <c r="O53" s="357">
        <v>6003</v>
      </c>
      <c r="P53" s="357">
        <v>894427.15734296979</v>
      </c>
      <c r="Q53" s="357">
        <v>519396.26699999999</v>
      </c>
      <c r="R53" s="357">
        <v>14155</v>
      </c>
      <c r="S53" s="357">
        <v>2164666.9934509913</v>
      </c>
      <c r="T53" s="357">
        <v>1257027.9720000001</v>
      </c>
      <c r="U53" s="357">
        <v>191723</v>
      </c>
      <c r="V53" s="357">
        <v>7992534.4106638143</v>
      </c>
      <c r="W53" s="357">
        <v>4641286.3279999997</v>
      </c>
      <c r="X53" s="357">
        <v>131872</v>
      </c>
      <c r="Y53" s="357">
        <v>5737152.6335210819</v>
      </c>
      <c r="Z53" s="357">
        <v>3331580.0359999998</v>
      </c>
      <c r="AA53" s="357">
        <v>323595</v>
      </c>
      <c r="AB53" s="357">
        <v>13729687.044184897</v>
      </c>
      <c r="AC53" s="173">
        <v>7972866.3640000001</v>
      </c>
    </row>
    <row r="54" spans="2:29" hidden="1" outlineLevel="1" x14ac:dyDescent="0.25">
      <c r="B54" s="205">
        <v>40360</v>
      </c>
      <c r="C54" s="357">
        <v>187484</v>
      </c>
      <c r="D54" s="357">
        <v>11939782.629224349</v>
      </c>
      <c r="E54" s="357">
        <v>6978003.8930000002</v>
      </c>
      <c r="F54" s="357">
        <v>129748</v>
      </c>
      <c r="G54" s="357">
        <v>8583243.5722005479</v>
      </c>
      <c r="H54" s="357">
        <v>5016331.4460000005</v>
      </c>
      <c r="I54" s="357">
        <v>317232</v>
      </c>
      <c r="J54" s="357">
        <v>20523026.201424897</v>
      </c>
      <c r="K54" s="357">
        <v>11994335.339</v>
      </c>
      <c r="L54" s="357">
        <v>8702</v>
      </c>
      <c r="M54" s="357">
        <v>1241431.9352453614</v>
      </c>
      <c r="N54" s="357">
        <v>725533.88500000001</v>
      </c>
      <c r="O54" s="357">
        <v>6395</v>
      </c>
      <c r="P54" s="357">
        <v>908284.53158618859</v>
      </c>
      <c r="Q54" s="357">
        <v>530831.52300000004</v>
      </c>
      <c r="R54" s="357">
        <v>15097</v>
      </c>
      <c r="S54" s="357">
        <v>2149716.4668315495</v>
      </c>
      <c r="T54" s="357">
        <v>1256365.4080000001</v>
      </c>
      <c r="U54" s="357">
        <v>196186</v>
      </c>
      <c r="V54" s="357">
        <v>13181214.56446971</v>
      </c>
      <c r="W54" s="357">
        <v>7703537.7779999999</v>
      </c>
      <c r="X54" s="357">
        <v>136143</v>
      </c>
      <c r="Y54" s="357">
        <v>9491528.1037867367</v>
      </c>
      <c r="Z54" s="357">
        <v>5547162.9689999996</v>
      </c>
      <c r="AA54" s="357">
        <v>332329</v>
      </c>
      <c r="AB54" s="357">
        <v>22672742.668256447</v>
      </c>
      <c r="AC54" s="173">
        <v>13250700.747</v>
      </c>
    </row>
    <row r="55" spans="2:29" hidden="1" outlineLevel="1" x14ac:dyDescent="0.25">
      <c r="B55" s="205">
        <v>40391</v>
      </c>
      <c r="C55" s="357">
        <v>192848</v>
      </c>
      <c r="D55" s="357">
        <v>12739188.113622833</v>
      </c>
      <c r="E55" s="357">
        <v>7437883.6940000001</v>
      </c>
      <c r="F55" s="357">
        <v>133983</v>
      </c>
      <c r="G55" s="357">
        <v>8965597.8098078091</v>
      </c>
      <c r="H55" s="357">
        <v>5234640.7920000004</v>
      </c>
      <c r="I55" s="357">
        <v>326831</v>
      </c>
      <c r="J55" s="357">
        <v>21704785.923430644</v>
      </c>
      <c r="K55" s="357">
        <v>12672524.486</v>
      </c>
      <c r="L55" s="357">
        <v>9142</v>
      </c>
      <c r="M55" s="357">
        <v>1269824.774431136</v>
      </c>
      <c r="N55" s="357">
        <v>741398.03099999996</v>
      </c>
      <c r="O55" s="357">
        <v>6680</v>
      </c>
      <c r="P55" s="357">
        <v>933202.60378966562</v>
      </c>
      <c r="Q55" s="357">
        <v>544858.304</v>
      </c>
      <c r="R55" s="357">
        <v>15822</v>
      </c>
      <c r="S55" s="357">
        <v>2203027.3782208012</v>
      </c>
      <c r="T55" s="357">
        <v>1286256.335</v>
      </c>
      <c r="U55" s="357">
        <v>201990</v>
      </c>
      <c r="V55" s="357">
        <v>14009012.88805397</v>
      </c>
      <c r="W55" s="357">
        <v>8179281.7249999996</v>
      </c>
      <c r="X55" s="357">
        <v>140663</v>
      </c>
      <c r="Y55" s="357">
        <v>9898800.4135974757</v>
      </c>
      <c r="Z55" s="357">
        <v>5779499.0959999999</v>
      </c>
      <c r="AA55" s="357">
        <v>342653</v>
      </c>
      <c r="AB55" s="357">
        <v>23907813.301651444</v>
      </c>
      <c r="AC55" s="173">
        <v>13958780.821</v>
      </c>
    </row>
    <row r="56" spans="2:29" hidden="1" outlineLevel="1" x14ac:dyDescent="0.25">
      <c r="B56" s="205">
        <v>40422</v>
      </c>
      <c r="C56" s="357">
        <v>198415</v>
      </c>
      <c r="D56" s="357">
        <v>12384558.705475364</v>
      </c>
      <c r="E56" s="357">
        <v>7259748.727</v>
      </c>
      <c r="F56" s="357">
        <v>138718</v>
      </c>
      <c r="G56" s="357">
        <v>8817723.7799581829</v>
      </c>
      <c r="H56" s="357">
        <v>5168893.0149999997</v>
      </c>
      <c r="I56" s="357">
        <v>337133</v>
      </c>
      <c r="J56" s="357">
        <v>21202282.485433549</v>
      </c>
      <c r="K56" s="357">
        <v>12428641.742000001</v>
      </c>
      <c r="L56" s="357">
        <v>9139</v>
      </c>
      <c r="M56" s="357">
        <v>1188677.3775612598</v>
      </c>
      <c r="N56" s="357">
        <v>696795.04</v>
      </c>
      <c r="O56" s="357">
        <v>6646</v>
      </c>
      <c r="P56" s="357">
        <v>854043.43276745954</v>
      </c>
      <c r="Q56" s="357">
        <v>500634.772</v>
      </c>
      <c r="R56" s="357">
        <v>15785</v>
      </c>
      <c r="S56" s="357">
        <v>2042720.8103287194</v>
      </c>
      <c r="T56" s="357">
        <v>1197429.8119999999</v>
      </c>
      <c r="U56" s="357">
        <v>207554</v>
      </c>
      <c r="V56" s="357">
        <v>13573236.083036626</v>
      </c>
      <c r="W56" s="357">
        <v>7956543.767</v>
      </c>
      <c r="X56" s="357">
        <v>145364</v>
      </c>
      <c r="Y56" s="357">
        <v>9671767.2127256431</v>
      </c>
      <c r="Z56" s="357">
        <v>5669527.7869999995</v>
      </c>
      <c r="AA56" s="357">
        <v>352918</v>
      </c>
      <c r="AB56" s="357">
        <v>23245003.295762267</v>
      </c>
      <c r="AC56" s="173">
        <v>13626071.554</v>
      </c>
    </row>
    <row r="57" spans="2:29" hidden="1" outlineLevel="1" x14ac:dyDescent="0.25">
      <c r="B57" s="205">
        <v>40452</v>
      </c>
      <c r="C57" s="357">
        <v>204343</v>
      </c>
      <c r="D57" s="357">
        <v>13476088.700554438</v>
      </c>
      <c r="E57" s="357">
        <v>7907342.017</v>
      </c>
      <c r="F57" s="357">
        <v>143664</v>
      </c>
      <c r="G57" s="357">
        <v>9656889.916113982</v>
      </c>
      <c r="H57" s="357">
        <v>5666357.1370000001</v>
      </c>
      <c r="I57" s="357">
        <v>348007</v>
      </c>
      <c r="J57" s="357">
        <v>23132978.616668418</v>
      </c>
      <c r="K57" s="357">
        <v>13573699.153999999</v>
      </c>
      <c r="L57" s="357">
        <v>9374</v>
      </c>
      <c r="M57" s="357">
        <v>1253718.1602214181</v>
      </c>
      <c r="N57" s="357">
        <v>735642.10699999996</v>
      </c>
      <c r="O57" s="357">
        <v>6792</v>
      </c>
      <c r="P57" s="357">
        <v>895833.0998798142</v>
      </c>
      <c r="Q57" s="357">
        <v>525646.48899999994</v>
      </c>
      <c r="R57" s="357">
        <v>16166</v>
      </c>
      <c r="S57" s="357">
        <v>2149551.2601012327</v>
      </c>
      <c r="T57" s="357">
        <v>1261288.5959999999</v>
      </c>
      <c r="U57" s="357">
        <v>213717</v>
      </c>
      <c r="V57" s="357">
        <v>14729806.860775856</v>
      </c>
      <c r="W57" s="357">
        <v>8642984.1239999998</v>
      </c>
      <c r="X57" s="357">
        <v>150456</v>
      </c>
      <c r="Y57" s="357">
        <v>10552723.015993796</v>
      </c>
      <c r="Z57" s="357">
        <v>6192003.6260000002</v>
      </c>
      <c r="AA57" s="357">
        <v>364173</v>
      </c>
      <c r="AB57" s="357">
        <v>25282529.876769651</v>
      </c>
      <c r="AC57" s="173">
        <v>14834987.75</v>
      </c>
    </row>
    <row r="58" spans="2:29" hidden="1" outlineLevel="1" x14ac:dyDescent="0.25">
      <c r="B58" s="205">
        <v>40483</v>
      </c>
      <c r="C58" s="357">
        <v>211646</v>
      </c>
      <c r="D58" s="357">
        <v>14280699.115959838</v>
      </c>
      <c r="E58" s="357">
        <v>8385359.7800000003</v>
      </c>
      <c r="F58" s="357">
        <v>150888</v>
      </c>
      <c r="G58" s="357">
        <v>10337504.315810975</v>
      </c>
      <c r="H58" s="357">
        <v>6069989.4460000005</v>
      </c>
      <c r="I58" s="357">
        <v>362534</v>
      </c>
      <c r="J58" s="357">
        <v>24618203.431770813</v>
      </c>
      <c r="K58" s="357">
        <v>14455349.226</v>
      </c>
      <c r="L58" s="357">
        <v>9728</v>
      </c>
      <c r="M58" s="357">
        <v>1352783.0021264805</v>
      </c>
      <c r="N58" s="357">
        <v>794328.91099999996</v>
      </c>
      <c r="O58" s="357">
        <v>7036</v>
      </c>
      <c r="P58" s="357">
        <v>969993.3633227878</v>
      </c>
      <c r="Q58" s="357">
        <v>569561.98499999999</v>
      </c>
      <c r="R58" s="357">
        <v>16764</v>
      </c>
      <c r="S58" s="357">
        <v>2322776.3654492679</v>
      </c>
      <c r="T58" s="357">
        <v>1363890.8959999999</v>
      </c>
      <c r="U58" s="357">
        <v>221374</v>
      </c>
      <c r="V58" s="357">
        <v>15633482.118086321</v>
      </c>
      <c r="W58" s="357">
        <v>9179688.6909999996</v>
      </c>
      <c r="X58" s="357">
        <v>157924</v>
      </c>
      <c r="Y58" s="357">
        <v>11307497.679133762</v>
      </c>
      <c r="Z58" s="357">
        <v>6639551.4309999999</v>
      </c>
      <c r="AA58" s="357">
        <v>379298</v>
      </c>
      <c r="AB58" s="357">
        <v>26940979.797220081</v>
      </c>
      <c r="AC58" s="173">
        <v>15819240.122</v>
      </c>
    </row>
    <row r="59" spans="2:29" hidden="1" outlineLevel="1" x14ac:dyDescent="0.25">
      <c r="B59" s="205">
        <v>40513</v>
      </c>
      <c r="C59" s="357">
        <v>215860</v>
      </c>
      <c r="D59" s="357">
        <v>14120876.67975712</v>
      </c>
      <c r="E59" s="357">
        <v>8301289.3169999998</v>
      </c>
      <c r="F59" s="357">
        <v>154356</v>
      </c>
      <c r="G59" s="357">
        <v>10237471.46597757</v>
      </c>
      <c r="H59" s="357">
        <v>6018338.2690000003</v>
      </c>
      <c r="I59" s="357">
        <v>370216</v>
      </c>
      <c r="J59" s="357">
        <v>24358348.14573469</v>
      </c>
      <c r="K59" s="357">
        <v>14319627.585999999</v>
      </c>
      <c r="L59" s="357">
        <v>10094</v>
      </c>
      <c r="M59" s="357">
        <v>1395632.8804067366</v>
      </c>
      <c r="N59" s="357">
        <v>820455.598</v>
      </c>
      <c r="O59" s="357">
        <v>7277</v>
      </c>
      <c r="P59" s="357">
        <v>1002607.7063609506</v>
      </c>
      <c r="Q59" s="357">
        <v>589406.51</v>
      </c>
      <c r="R59" s="357">
        <v>17371</v>
      </c>
      <c r="S59" s="357">
        <v>2398240.5867676875</v>
      </c>
      <c r="T59" s="357">
        <v>1409862.108</v>
      </c>
      <c r="U59" s="357">
        <v>225954</v>
      </c>
      <c r="V59" s="357">
        <v>15516509.560163857</v>
      </c>
      <c r="W59" s="357">
        <v>9121744.9149999991</v>
      </c>
      <c r="X59" s="357">
        <v>161633</v>
      </c>
      <c r="Y59" s="357">
        <v>11240079.172338519</v>
      </c>
      <c r="Z59" s="357">
        <v>6607744.7790000001</v>
      </c>
      <c r="AA59" s="357">
        <v>387587</v>
      </c>
      <c r="AB59" s="357">
        <v>26756588.732502375</v>
      </c>
      <c r="AC59" s="173">
        <v>15729489.694</v>
      </c>
    </row>
    <row r="60" spans="2:29" collapsed="1" x14ac:dyDescent="0.25">
      <c r="B60" s="359" t="s">
        <v>701</v>
      </c>
      <c r="C60" s="358">
        <v>184671.58333333334</v>
      </c>
      <c r="D60" s="358">
        <v>9726786.9119202904</v>
      </c>
      <c r="E60" s="358"/>
      <c r="F60" s="358">
        <v>128661.83333333333</v>
      </c>
      <c r="G60" s="358">
        <v>7046603.7958657444</v>
      </c>
      <c r="H60" s="358"/>
      <c r="I60" s="358">
        <v>313333.41666666669</v>
      </c>
      <c r="J60" s="358">
        <v>16773390.707786037</v>
      </c>
      <c r="K60" s="358"/>
      <c r="L60" s="358">
        <v>8050.916666666667</v>
      </c>
      <c r="M60" s="358">
        <v>1131650.0333491212</v>
      </c>
      <c r="N60" s="358"/>
      <c r="O60" s="358">
        <v>5922.916666666667</v>
      </c>
      <c r="P60" s="358">
        <v>821408.98195414699</v>
      </c>
      <c r="Q60" s="358"/>
      <c r="R60" s="358">
        <v>13973.833333333334</v>
      </c>
      <c r="S60" s="358">
        <v>1953059.0153032681</v>
      </c>
      <c r="T60" s="358"/>
      <c r="U60" s="358">
        <v>192722.5</v>
      </c>
      <c r="V60" s="358">
        <v>10858436.945269413</v>
      </c>
      <c r="W60" s="358"/>
      <c r="X60" s="358">
        <v>134584.75</v>
      </c>
      <c r="Y60" s="358">
        <v>7868012.7778198905</v>
      </c>
      <c r="Z60" s="358"/>
      <c r="AA60" s="358">
        <v>327307.25</v>
      </c>
      <c r="AB60" s="358">
        <v>18726449.723089304</v>
      </c>
      <c r="AC60" s="361"/>
    </row>
    <row r="61" spans="2:29" hidden="1" outlineLevel="1" x14ac:dyDescent="0.25">
      <c r="B61" s="205">
        <v>40544</v>
      </c>
      <c r="C61" s="357">
        <v>216052</v>
      </c>
      <c r="D61" s="357">
        <v>13791329.161121195</v>
      </c>
      <c r="E61" s="357">
        <v>8129503.8380000005</v>
      </c>
      <c r="F61" s="357">
        <v>156801</v>
      </c>
      <c r="G61" s="357">
        <v>10454971.412525415</v>
      </c>
      <c r="H61" s="357">
        <v>6162838.2029999997</v>
      </c>
      <c r="I61" s="357">
        <v>372853</v>
      </c>
      <c r="J61" s="357">
        <v>24246300.573646609</v>
      </c>
      <c r="K61" s="357">
        <v>14292342.040999999</v>
      </c>
      <c r="L61" s="357">
        <v>10664</v>
      </c>
      <c r="M61" s="357">
        <v>1600666.6296019161</v>
      </c>
      <c r="N61" s="357">
        <v>943536.72199999995</v>
      </c>
      <c r="O61" s="357">
        <v>7665</v>
      </c>
      <c r="P61" s="357">
        <v>1148380.0769050545</v>
      </c>
      <c r="Q61" s="357">
        <v>676929.69499999995</v>
      </c>
      <c r="R61" s="357">
        <v>18329</v>
      </c>
      <c r="S61" s="357">
        <v>2749046.7065069708</v>
      </c>
      <c r="T61" s="357">
        <v>1620466.4169999999</v>
      </c>
      <c r="U61" s="357">
        <v>226716</v>
      </c>
      <c r="V61" s="357">
        <v>15391995.79072311</v>
      </c>
      <c r="W61" s="357">
        <v>9073040.5600000005</v>
      </c>
      <c r="X61" s="357">
        <v>164466</v>
      </c>
      <c r="Y61" s="357">
        <v>11603351.48943047</v>
      </c>
      <c r="Z61" s="357">
        <v>6839767.898</v>
      </c>
      <c r="AA61" s="357">
        <v>391182</v>
      </c>
      <c r="AB61" s="357">
        <v>26995347.28015358</v>
      </c>
      <c r="AC61" s="173">
        <v>15912808.458000001</v>
      </c>
    </row>
    <row r="62" spans="2:29" hidden="1" outlineLevel="1" x14ac:dyDescent="0.25">
      <c r="B62" s="205">
        <v>40575</v>
      </c>
      <c r="C62" s="357">
        <v>221369</v>
      </c>
      <c r="D62" s="357">
        <v>14933520.32097519</v>
      </c>
      <c r="E62" s="357">
        <v>8823039.5109999999</v>
      </c>
      <c r="F62" s="357">
        <v>159862</v>
      </c>
      <c r="G62" s="357">
        <v>10643101.422098266</v>
      </c>
      <c r="H62" s="357">
        <v>6288169.3229999999</v>
      </c>
      <c r="I62" s="357">
        <v>381231</v>
      </c>
      <c r="J62" s="357">
        <v>25576621.743073456</v>
      </c>
      <c r="K62" s="357">
        <v>15111208.834000001</v>
      </c>
      <c r="L62" s="357">
        <v>10862</v>
      </c>
      <c r="M62" s="357">
        <v>1428089.9782498381</v>
      </c>
      <c r="N62" s="357">
        <v>843745.75</v>
      </c>
      <c r="O62" s="357">
        <v>7770</v>
      </c>
      <c r="P62" s="357">
        <v>1008251.2878166814</v>
      </c>
      <c r="Q62" s="357">
        <v>595696.17599999998</v>
      </c>
      <c r="R62" s="357">
        <v>18632</v>
      </c>
      <c r="S62" s="357">
        <v>2436341.2660665195</v>
      </c>
      <c r="T62" s="357">
        <v>1439441.926</v>
      </c>
      <c r="U62" s="357">
        <v>232231</v>
      </c>
      <c r="V62" s="357">
        <v>16361610.299225027</v>
      </c>
      <c r="W62" s="357">
        <v>9666785.2609999999</v>
      </c>
      <c r="X62" s="357">
        <v>167632</v>
      </c>
      <c r="Y62" s="357">
        <v>11651352.709914949</v>
      </c>
      <c r="Z62" s="357">
        <v>6883865.4989999998</v>
      </c>
      <c r="AA62" s="357">
        <v>399863</v>
      </c>
      <c r="AB62" s="357">
        <v>28012963.009139977</v>
      </c>
      <c r="AC62" s="173">
        <v>16550650.76</v>
      </c>
    </row>
    <row r="63" spans="2:29" hidden="1" outlineLevel="1" x14ac:dyDescent="0.25">
      <c r="B63" s="205">
        <v>40603</v>
      </c>
      <c r="C63" s="357">
        <v>222893</v>
      </c>
      <c r="D63" s="357">
        <v>13759748.749890078</v>
      </c>
      <c r="E63" s="357">
        <v>8191716.3389999997</v>
      </c>
      <c r="F63" s="357">
        <v>161524</v>
      </c>
      <c r="G63" s="357">
        <v>10148216.102835007</v>
      </c>
      <c r="H63" s="357">
        <v>6041629.7690000003</v>
      </c>
      <c r="I63" s="357">
        <v>384417</v>
      </c>
      <c r="J63" s="357">
        <v>23907964.852725081</v>
      </c>
      <c r="K63" s="357">
        <v>14233346.107999999</v>
      </c>
      <c r="L63" s="357">
        <v>11369</v>
      </c>
      <c r="M63" s="357">
        <v>1660264.4355511779</v>
      </c>
      <c r="N63" s="357">
        <v>988420.32299999997</v>
      </c>
      <c r="O63" s="357">
        <v>8148</v>
      </c>
      <c r="P63" s="357">
        <v>1171576.3190138342</v>
      </c>
      <c r="Q63" s="357">
        <v>697485.18299999996</v>
      </c>
      <c r="R63" s="357">
        <v>19517</v>
      </c>
      <c r="S63" s="357">
        <v>2831840.7545650122</v>
      </c>
      <c r="T63" s="357">
        <v>1685905.5060000001</v>
      </c>
      <c r="U63" s="357">
        <v>234262</v>
      </c>
      <c r="V63" s="357">
        <v>15420013.185441256</v>
      </c>
      <c r="W63" s="357">
        <v>9180136.6620000005</v>
      </c>
      <c r="X63" s="357">
        <v>169672</v>
      </c>
      <c r="Y63" s="357">
        <v>11319792.421848841</v>
      </c>
      <c r="Z63" s="357">
        <v>6739114.9519999996</v>
      </c>
      <c r="AA63" s="357">
        <v>403934</v>
      </c>
      <c r="AB63" s="357">
        <v>26739805.607290097</v>
      </c>
      <c r="AC63" s="173">
        <v>15919251.614</v>
      </c>
    </row>
    <row r="64" spans="2:29" hidden="1" outlineLevel="1" x14ac:dyDescent="0.25">
      <c r="B64" s="205">
        <v>40634</v>
      </c>
      <c r="C64" s="357">
        <v>222010</v>
      </c>
      <c r="D64" s="357">
        <v>13006743.904254256</v>
      </c>
      <c r="E64" s="357">
        <v>7768121.3119999999</v>
      </c>
      <c r="F64" s="357">
        <v>161901</v>
      </c>
      <c r="G64" s="357">
        <v>9650351.154255705</v>
      </c>
      <c r="H64" s="357">
        <v>5763556.1229999997</v>
      </c>
      <c r="I64" s="357">
        <v>383911</v>
      </c>
      <c r="J64" s="357">
        <v>22657095.058509961</v>
      </c>
      <c r="K64" s="357">
        <v>13531677.435000001</v>
      </c>
      <c r="L64" s="357">
        <v>11684</v>
      </c>
      <c r="M64" s="357">
        <v>1413929.4182649574</v>
      </c>
      <c r="N64" s="357">
        <v>844452.33400000003</v>
      </c>
      <c r="O64" s="357">
        <v>8406</v>
      </c>
      <c r="P64" s="357">
        <v>1007276.1282406955</v>
      </c>
      <c r="Q64" s="357">
        <v>601583.549</v>
      </c>
      <c r="R64" s="357">
        <v>20090</v>
      </c>
      <c r="S64" s="357">
        <v>2421205.5465056528</v>
      </c>
      <c r="T64" s="357">
        <v>1446035.8829999999</v>
      </c>
      <c r="U64" s="357">
        <v>233694</v>
      </c>
      <c r="V64" s="357">
        <v>14420673.322519213</v>
      </c>
      <c r="W64" s="357">
        <v>8612573.6459999997</v>
      </c>
      <c r="X64" s="357">
        <v>170307</v>
      </c>
      <c r="Y64" s="357">
        <v>10657627.2824964</v>
      </c>
      <c r="Z64" s="357">
        <v>6365139.6720000003</v>
      </c>
      <c r="AA64" s="357">
        <v>404001</v>
      </c>
      <c r="AB64" s="357">
        <v>25078300.605015613</v>
      </c>
      <c r="AC64" s="173">
        <v>14977713.318</v>
      </c>
    </row>
    <row r="65" spans="2:29" hidden="1" outlineLevel="1" x14ac:dyDescent="0.25">
      <c r="B65" s="205">
        <v>40664</v>
      </c>
      <c r="C65" s="357">
        <v>223751</v>
      </c>
      <c r="D65" s="357">
        <v>13985007.128234308</v>
      </c>
      <c r="E65" s="357">
        <v>8385773.5599999996</v>
      </c>
      <c r="F65" s="357">
        <v>165419</v>
      </c>
      <c r="G65" s="357">
        <v>10744315.428503297</v>
      </c>
      <c r="H65" s="357">
        <v>6442570.6339999996</v>
      </c>
      <c r="I65" s="357">
        <v>389170</v>
      </c>
      <c r="J65" s="357">
        <v>24729322.556737605</v>
      </c>
      <c r="K65" s="357">
        <v>14828344.194</v>
      </c>
      <c r="L65" s="357">
        <v>12497</v>
      </c>
      <c r="M65" s="357">
        <v>1894627.8479107206</v>
      </c>
      <c r="N65" s="357">
        <v>1136068.074</v>
      </c>
      <c r="O65" s="357">
        <v>9044</v>
      </c>
      <c r="P65" s="357">
        <v>1391404.0005985545</v>
      </c>
      <c r="Q65" s="357">
        <v>834321.98300000001</v>
      </c>
      <c r="R65" s="357">
        <v>21541</v>
      </c>
      <c r="S65" s="357">
        <v>3286031.8485092749</v>
      </c>
      <c r="T65" s="357">
        <v>1970390.057</v>
      </c>
      <c r="U65" s="357">
        <v>236248</v>
      </c>
      <c r="V65" s="357">
        <v>15879634.976145029</v>
      </c>
      <c r="W65" s="357">
        <v>9521841.6339999996</v>
      </c>
      <c r="X65" s="357">
        <v>174463</v>
      </c>
      <c r="Y65" s="357">
        <v>12135719.429101853</v>
      </c>
      <c r="Z65" s="357">
        <v>7276892.6169999996</v>
      </c>
      <c r="AA65" s="357">
        <v>410711</v>
      </c>
      <c r="AB65" s="357">
        <v>28015354.40524688</v>
      </c>
      <c r="AC65" s="173">
        <v>16798734.250999998</v>
      </c>
    </row>
    <row r="66" spans="2:29" hidden="1" outlineLevel="1" x14ac:dyDescent="0.25">
      <c r="B66" s="205">
        <v>40695</v>
      </c>
      <c r="C66" s="357">
        <v>229420</v>
      </c>
      <c r="D66" s="357">
        <v>14987171.790752232</v>
      </c>
      <c r="E66" s="357">
        <v>9001948.4849999994</v>
      </c>
      <c r="F66" s="357">
        <v>168072</v>
      </c>
      <c r="G66" s="357">
        <v>10721296.286801238</v>
      </c>
      <c r="H66" s="357">
        <v>6439677.7599999998</v>
      </c>
      <c r="I66" s="357">
        <v>397492</v>
      </c>
      <c r="J66" s="357">
        <v>25708468.07755347</v>
      </c>
      <c r="K66" s="357">
        <v>15441626.244999999</v>
      </c>
      <c r="L66" s="357">
        <v>13001</v>
      </c>
      <c r="M66" s="357">
        <v>1806790.9375395253</v>
      </c>
      <c r="N66" s="357">
        <v>1085237.3729999999</v>
      </c>
      <c r="O66" s="357">
        <v>9368</v>
      </c>
      <c r="P66" s="357">
        <v>1275909.8779506211</v>
      </c>
      <c r="Q66" s="357">
        <v>766367.07400000002</v>
      </c>
      <c r="R66" s="357">
        <v>22369</v>
      </c>
      <c r="S66" s="357">
        <v>3082700.8154901462</v>
      </c>
      <c r="T66" s="357">
        <v>1851604.4469999999</v>
      </c>
      <c r="U66" s="357">
        <v>242421</v>
      </c>
      <c r="V66" s="357">
        <v>16793962.728291757</v>
      </c>
      <c r="W66" s="357">
        <v>10087185.857999999</v>
      </c>
      <c r="X66" s="357">
        <v>177440</v>
      </c>
      <c r="Y66" s="357">
        <v>11997206.164751858</v>
      </c>
      <c r="Z66" s="357">
        <v>7206044.8339999998</v>
      </c>
      <c r="AA66" s="357">
        <v>419861</v>
      </c>
      <c r="AB66" s="357">
        <v>28791168.893043619</v>
      </c>
      <c r="AC66" s="173">
        <v>17293230.692000002</v>
      </c>
    </row>
    <row r="67" spans="2:29" hidden="1" outlineLevel="1" x14ac:dyDescent="0.25">
      <c r="B67" s="205">
        <v>40725</v>
      </c>
      <c r="C67" s="357">
        <v>232716</v>
      </c>
      <c r="D67" s="357">
        <v>18509847.52893934</v>
      </c>
      <c r="E67" s="357">
        <v>11131936.645</v>
      </c>
      <c r="F67" s="357">
        <v>169626</v>
      </c>
      <c r="G67" s="357">
        <v>13426353.39912102</v>
      </c>
      <c r="H67" s="357">
        <v>8074691.8729999997</v>
      </c>
      <c r="I67" s="357">
        <v>402342</v>
      </c>
      <c r="J67" s="357">
        <v>31936200.928060357</v>
      </c>
      <c r="K67" s="357">
        <v>19206628.517999999</v>
      </c>
      <c r="L67" s="357">
        <v>13322</v>
      </c>
      <c r="M67" s="357">
        <v>1798253.8869727328</v>
      </c>
      <c r="N67" s="357">
        <v>1081480.996</v>
      </c>
      <c r="O67" s="357">
        <v>9629</v>
      </c>
      <c r="P67" s="357">
        <v>1306797.8940841502</v>
      </c>
      <c r="Q67" s="357">
        <v>785916.326</v>
      </c>
      <c r="R67" s="357">
        <v>22951</v>
      </c>
      <c r="S67" s="357">
        <v>3105051.7810568833</v>
      </c>
      <c r="T67" s="357">
        <v>1867397.3219999999</v>
      </c>
      <c r="U67" s="357">
        <v>246038</v>
      </c>
      <c r="V67" s="357">
        <v>20308101.415912069</v>
      </c>
      <c r="W67" s="357">
        <v>12213417.641000001</v>
      </c>
      <c r="X67" s="357">
        <v>179255</v>
      </c>
      <c r="Y67" s="357">
        <v>14733151.29320517</v>
      </c>
      <c r="Z67" s="357">
        <v>8860608.1989999991</v>
      </c>
      <c r="AA67" s="357">
        <v>425293</v>
      </c>
      <c r="AB67" s="357">
        <v>35041252.709117241</v>
      </c>
      <c r="AC67" s="173">
        <v>21074025.84</v>
      </c>
    </row>
    <row r="68" spans="2:29" hidden="1" outlineLevel="1" x14ac:dyDescent="0.25">
      <c r="B68" s="205">
        <v>40756</v>
      </c>
      <c r="C68" s="357">
        <v>237643</v>
      </c>
      <c r="D68" s="357">
        <v>19366819.088409785</v>
      </c>
      <c r="E68" s="357">
        <v>11666210.709000001</v>
      </c>
      <c r="F68" s="357">
        <v>172104</v>
      </c>
      <c r="G68" s="357">
        <v>13979444.873754334</v>
      </c>
      <c r="H68" s="357">
        <v>8420956.9340000004</v>
      </c>
      <c r="I68" s="357">
        <v>409747</v>
      </c>
      <c r="J68" s="357">
        <v>33346263.962164119</v>
      </c>
      <c r="K68" s="357">
        <v>20087167.642999999</v>
      </c>
      <c r="L68" s="357">
        <v>13665</v>
      </c>
      <c r="M68" s="357">
        <v>1862589.2205648602</v>
      </c>
      <c r="N68" s="357">
        <v>1121989.017</v>
      </c>
      <c r="O68" s="357">
        <v>9887</v>
      </c>
      <c r="P68" s="357">
        <v>1360936.8837293186</v>
      </c>
      <c r="Q68" s="357">
        <v>819803.00300000003</v>
      </c>
      <c r="R68" s="357">
        <v>23552</v>
      </c>
      <c r="S68" s="357">
        <v>3223526.104294179</v>
      </c>
      <c r="T68" s="357">
        <v>1941792.02</v>
      </c>
      <c r="U68" s="357">
        <v>251308</v>
      </c>
      <c r="V68" s="357">
        <v>21229408.308974646</v>
      </c>
      <c r="W68" s="357">
        <v>12788199.726</v>
      </c>
      <c r="X68" s="357">
        <v>181991</v>
      </c>
      <c r="Y68" s="357">
        <v>15340381.757483652</v>
      </c>
      <c r="Z68" s="357">
        <v>9240759.9370000008</v>
      </c>
      <c r="AA68" s="357">
        <v>433299</v>
      </c>
      <c r="AB68" s="357">
        <v>36569790.0664583</v>
      </c>
      <c r="AC68" s="173">
        <v>22028959.662999999</v>
      </c>
    </row>
    <row r="69" spans="2:29" hidden="1" outlineLevel="1" x14ac:dyDescent="0.25">
      <c r="B69" s="205">
        <v>40787</v>
      </c>
      <c r="C69" s="357">
        <v>237602</v>
      </c>
      <c r="D69" s="357">
        <v>17841951.32018001</v>
      </c>
      <c r="E69" s="357">
        <v>10801076.694</v>
      </c>
      <c r="F69" s="357">
        <v>171862</v>
      </c>
      <c r="G69" s="357">
        <v>13007419.748637784</v>
      </c>
      <c r="H69" s="357">
        <v>7874370.6770000001</v>
      </c>
      <c r="I69" s="357">
        <v>409464</v>
      </c>
      <c r="J69" s="357">
        <v>30849371.068817794</v>
      </c>
      <c r="K69" s="357">
        <v>18675447.370999999</v>
      </c>
      <c r="L69" s="357">
        <v>13650</v>
      </c>
      <c r="M69" s="357">
        <v>1702369.8095768192</v>
      </c>
      <c r="N69" s="357">
        <v>1030572.64</v>
      </c>
      <c r="O69" s="357">
        <v>9861</v>
      </c>
      <c r="P69" s="357">
        <v>1216415.0682128463</v>
      </c>
      <c r="Q69" s="357">
        <v>736387.64099999995</v>
      </c>
      <c r="R69" s="357">
        <v>23511</v>
      </c>
      <c r="S69" s="357">
        <v>2918784.877789665</v>
      </c>
      <c r="T69" s="357">
        <v>1766960.281</v>
      </c>
      <c r="U69" s="357">
        <v>251252</v>
      </c>
      <c r="V69" s="357">
        <v>19544321.129756827</v>
      </c>
      <c r="W69" s="357">
        <v>11831649.334000001</v>
      </c>
      <c r="X69" s="357">
        <v>181723</v>
      </c>
      <c r="Y69" s="357">
        <v>14223834.816850631</v>
      </c>
      <c r="Z69" s="357">
        <v>8610758.318</v>
      </c>
      <c r="AA69" s="357">
        <v>432975</v>
      </c>
      <c r="AB69" s="357">
        <v>33768155.946607463</v>
      </c>
      <c r="AC69" s="173">
        <v>20442407.651999999</v>
      </c>
    </row>
    <row r="70" spans="2:29" hidden="1" outlineLevel="1" x14ac:dyDescent="0.25">
      <c r="B70" s="205">
        <v>40817</v>
      </c>
      <c r="C70" s="357">
        <v>244518</v>
      </c>
      <c r="D70" s="357">
        <v>20271322.042315885</v>
      </c>
      <c r="E70" s="357">
        <v>12331326.425000001</v>
      </c>
      <c r="F70" s="357">
        <v>177646</v>
      </c>
      <c r="G70" s="357">
        <v>15305132.807698609</v>
      </c>
      <c r="H70" s="357">
        <v>9310324.6170000006</v>
      </c>
      <c r="I70" s="357">
        <v>422164</v>
      </c>
      <c r="J70" s="357">
        <v>35576454.850014485</v>
      </c>
      <c r="K70" s="357">
        <v>21641651.041999999</v>
      </c>
      <c r="L70" s="357">
        <v>14421</v>
      </c>
      <c r="M70" s="357">
        <v>2111200.7628475153</v>
      </c>
      <c r="N70" s="357">
        <v>1284272.713</v>
      </c>
      <c r="O70" s="357">
        <v>10422</v>
      </c>
      <c r="P70" s="357">
        <v>1533144.6153007788</v>
      </c>
      <c r="Q70" s="357">
        <v>932633.13899999997</v>
      </c>
      <c r="R70" s="357">
        <v>24843</v>
      </c>
      <c r="S70" s="357">
        <v>3644345.3781482941</v>
      </c>
      <c r="T70" s="357">
        <v>2216905.852</v>
      </c>
      <c r="U70" s="357">
        <v>258939</v>
      </c>
      <c r="V70" s="357">
        <v>22382522.805163398</v>
      </c>
      <c r="W70" s="357">
        <v>13615599.138</v>
      </c>
      <c r="X70" s="357">
        <v>188068</v>
      </c>
      <c r="Y70" s="357">
        <v>16838277.422999386</v>
      </c>
      <c r="Z70" s="357">
        <v>10242957.755999999</v>
      </c>
      <c r="AA70" s="357">
        <v>447007</v>
      </c>
      <c r="AB70" s="357">
        <v>39220800.228162788</v>
      </c>
      <c r="AC70" s="173">
        <v>23858556.894000001</v>
      </c>
    </row>
    <row r="71" spans="2:29" hidden="1" outlineLevel="1" x14ac:dyDescent="0.25">
      <c r="B71" s="205">
        <v>40848</v>
      </c>
      <c r="C71" s="357">
        <v>244805</v>
      </c>
      <c r="D71" s="357">
        <v>18807876.421173628</v>
      </c>
      <c r="E71" s="357">
        <v>11477395.828</v>
      </c>
      <c r="F71" s="357">
        <v>177882</v>
      </c>
      <c r="G71" s="357">
        <v>13967842.322757289</v>
      </c>
      <c r="H71" s="357">
        <v>8523793.5219999999</v>
      </c>
      <c r="I71" s="357">
        <v>422687</v>
      </c>
      <c r="J71" s="357">
        <v>32775718.743930917</v>
      </c>
      <c r="K71" s="357">
        <v>20001189.350000001</v>
      </c>
      <c r="L71" s="357">
        <v>14395</v>
      </c>
      <c r="M71" s="357">
        <v>1788727.6225617635</v>
      </c>
      <c r="N71" s="357">
        <v>1091560.4979999999</v>
      </c>
      <c r="O71" s="357">
        <v>10364</v>
      </c>
      <c r="P71" s="357">
        <v>1278186.7843273224</v>
      </c>
      <c r="Q71" s="357">
        <v>780005.95799999998</v>
      </c>
      <c r="R71" s="357">
        <v>24759</v>
      </c>
      <c r="S71" s="357">
        <v>3066914.4068890861</v>
      </c>
      <c r="T71" s="357">
        <v>1871566.456</v>
      </c>
      <c r="U71" s="357">
        <v>259200</v>
      </c>
      <c r="V71" s="357">
        <v>20596604.043735392</v>
      </c>
      <c r="W71" s="357">
        <v>12568956.325999999</v>
      </c>
      <c r="X71" s="357">
        <v>188246</v>
      </c>
      <c r="Y71" s="357">
        <v>15246029.10708461</v>
      </c>
      <c r="Z71" s="357">
        <v>9303799.4800000004</v>
      </c>
      <c r="AA71" s="357">
        <v>447446</v>
      </c>
      <c r="AB71" s="357">
        <v>35842633.150820002</v>
      </c>
      <c r="AC71" s="173">
        <v>21872755.806000002</v>
      </c>
    </row>
    <row r="72" spans="2:29" hidden="1" outlineLevel="1" x14ac:dyDescent="0.25">
      <c r="B72" s="205">
        <v>40878</v>
      </c>
      <c r="C72" s="357">
        <v>253065</v>
      </c>
      <c r="D72" s="357">
        <v>20887410.195309788</v>
      </c>
      <c r="E72" s="357">
        <v>12824071.208000001</v>
      </c>
      <c r="F72" s="357">
        <v>183726</v>
      </c>
      <c r="G72" s="357">
        <v>15428432.705571098</v>
      </c>
      <c r="H72" s="357">
        <v>9472467.7589999996</v>
      </c>
      <c r="I72" s="357">
        <v>436791</v>
      </c>
      <c r="J72" s="357">
        <v>36315842.900880888</v>
      </c>
      <c r="K72" s="357">
        <v>22296538.967</v>
      </c>
      <c r="L72" s="357">
        <v>15067</v>
      </c>
      <c r="M72" s="357">
        <v>2162745.745667642</v>
      </c>
      <c r="N72" s="357">
        <v>1327843.193</v>
      </c>
      <c r="O72" s="357">
        <v>10837</v>
      </c>
      <c r="P72" s="357">
        <v>1557275.5505787442</v>
      </c>
      <c r="Q72" s="357">
        <v>956107.64399999997</v>
      </c>
      <c r="R72" s="357">
        <v>25904</v>
      </c>
      <c r="S72" s="357">
        <v>3720021.2962463866</v>
      </c>
      <c r="T72" s="357">
        <v>2283950.8369999998</v>
      </c>
      <c r="U72" s="357">
        <v>268132</v>
      </c>
      <c r="V72" s="357">
        <v>23050155.940977432</v>
      </c>
      <c r="W72" s="357">
        <v>14151914.401000001</v>
      </c>
      <c r="X72" s="357">
        <v>194563</v>
      </c>
      <c r="Y72" s="357">
        <v>16985708.256149843</v>
      </c>
      <c r="Z72" s="357">
        <v>10428575.403000001</v>
      </c>
      <c r="AA72" s="357">
        <v>462695</v>
      </c>
      <c r="AB72" s="357">
        <v>40035864.197127275</v>
      </c>
      <c r="AC72" s="173">
        <v>24580489.804000001</v>
      </c>
    </row>
    <row r="73" spans="2:29" collapsed="1" x14ac:dyDescent="0.25">
      <c r="B73" s="359" t="s">
        <v>702</v>
      </c>
      <c r="C73" s="358">
        <v>232153.66666666666</v>
      </c>
      <c r="D73" s="358">
        <v>16679062.304296307</v>
      </c>
      <c r="E73" s="358"/>
      <c r="F73" s="358">
        <v>168868.75</v>
      </c>
      <c r="G73" s="358">
        <v>12289739.80537992</v>
      </c>
      <c r="H73" s="358"/>
      <c r="I73" s="358">
        <v>401022.41666666669</v>
      </c>
      <c r="J73" s="358">
        <v>28968802.109676231</v>
      </c>
      <c r="K73" s="358"/>
      <c r="L73" s="358">
        <v>12883.083333333334</v>
      </c>
      <c r="M73" s="358">
        <v>1769188.0246091224</v>
      </c>
      <c r="N73" s="358"/>
      <c r="O73" s="358">
        <v>9283.4166666666661</v>
      </c>
      <c r="P73" s="358">
        <v>1271296.2072298834</v>
      </c>
      <c r="Q73" s="358"/>
      <c r="R73" s="358">
        <v>22166.5</v>
      </c>
      <c r="S73" s="358">
        <v>3040484.2318390063</v>
      </c>
      <c r="T73" s="358"/>
      <c r="U73" s="358">
        <v>245036.75</v>
      </c>
      <c r="V73" s="358">
        <v>18448250.32890543</v>
      </c>
      <c r="W73" s="358"/>
      <c r="X73" s="358">
        <v>178152.16666666666</v>
      </c>
      <c r="Y73" s="358">
        <v>13561036.012609804</v>
      </c>
      <c r="Z73" s="358"/>
      <c r="AA73" s="358">
        <v>423188.91666666669</v>
      </c>
      <c r="AB73" s="358">
        <v>32009286.341515232</v>
      </c>
      <c r="AC73" s="361"/>
    </row>
    <row r="74" spans="2:29" hidden="1" outlineLevel="1" x14ac:dyDescent="0.25">
      <c r="B74" s="205">
        <v>40909</v>
      </c>
      <c r="C74" s="357">
        <v>252071</v>
      </c>
      <c r="D74" s="357">
        <v>18345177.693507075</v>
      </c>
      <c r="E74" s="357">
        <v>11273151.108999999</v>
      </c>
      <c r="F74" s="357">
        <v>182814</v>
      </c>
      <c r="G74" s="357">
        <v>13921306.004498862</v>
      </c>
      <c r="H74" s="357">
        <v>8554672.4509999994</v>
      </c>
      <c r="I74" s="357">
        <v>434885</v>
      </c>
      <c r="J74" s="357">
        <v>32266483.698005941</v>
      </c>
      <c r="K74" s="357">
        <v>19827823.559999999</v>
      </c>
      <c r="L74" s="357">
        <v>15016</v>
      </c>
      <c r="M74" s="357">
        <v>1846043.1677829246</v>
      </c>
      <c r="N74" s="357">
        <v>1134397.493</v>
      </c>
      <c r="O74" s="357">
        <v>10786</v>
      </c>
      <c r="P74" s="357">
        <v>1312356.3015118637</v>
      </c>
      <c r="Q74" s="357">
        <v>806445.76699999999</v>
      </c>
      <c r="R74" s="357">
        <v>25802</v>
      </c>
      <c r="S74" s="357">
        <v>3158399.4692947883</v>
      </c>
      <c r="T74" s="357">
        <v>1940843.26</v>
      </c>
      <c r="U74" s="357">
        <v>267087</v>
      </c>
      <c r="V74" s="357">
        <v>20191220.86129</v>
      </c>
      <c r="W74" s="357">
        <v>12407548.602</v>
      </c>
      <c r="X74" s="357">
        <v>193600</v>
      </c>
      <c r="Y74" s="357">
        <v>15233662.306010727</v>
      </c>
      <c r="Z74" s="357">
        <v>9361118.2180000003</v>
      </c>
      <c r="AA74" s="357">
        <v>460687</v>
      </c>
      <c r="AB74" s="357">
        <v>35424883.167300731</v>
      </c>
      <c r="AC74" s="173">
        <v>21768666.82</v>
      </c>
    </row>
    <row r="75" spans="2:29" hidden="1" outlineLevel="1" x14ac:dyDescent="0.25">
      <c r="B75" s="205">
        <v>40940</v>
      </c>
      <c r="C75" s="357">
        <v>257841</v>
      </c>
      <c r="D75" s="357">
        <v>20567122.765254948</v>
      </c>
      <c r="E75" s="357">
        <v>12687628.673</v>
      </c>
      <c r="F75" s="357">
        <v>187623</v>
      </c>
      <c r="G75" s="357">
        <v>15279687.808970563</v>
      </c>
      <c r="H75" s="357">
        <v>9425869.0130000003</v>
      </c>
      <c r="I75" s="357">
        <v>445464</v>
      </c>
      <c r="J75" s="357">
        <v>35846810.574225508</v>
      </c>
      <c r="K75" s="357">
        <v>22113497.686000001</v>
      </c>
      <c r="L75" s="357">
        <v>15866</v>
      </c>
      <c r="M75" s="357">
        <v>2320573.8411828461</v>
      </c>
      <c r="N75" s="357">
        <v>1431536.1240000001</v>
      </c>
      <c r="O75" s="357">
        <v>11407</v>
      </c>
      <c r="P75" s="357">
        <v>1681526.2134551813</v>
      </c>
      <c r="Q75" s="357">
        <v>1037314.769</v>
      </c>
      <c r="R75" s="357">
        <v>27273</v>
      </c>
      <c r="S75" s="357">
        <v>4002100.0546380277</v>
      </c>
      <c r="T75" s="357">
        <v>2468850.8930000002</v>
      </c>
      <c r="U75" s="357">
        <v>273707</v>
      </c>
      <c r="V75" s="357">
        <v>22887696.606437795</v>
      </c>
      <c r="W75" s="357">
        <v>14119164.797</v>
      </c>
      <c r="X75" s="357">
        <v>199030</v>
      </c>
      <c r="Y75" s="357">
        <v>16961214.022425745</v>
      </c>
      <c r="Z75" s="357">
        <v>10463183.782</v>
      </c>
      <c r="AA75" s="357">
        <v>472737</v>
      </c>
      <c r="AB75" s="357">
        <v>39848910.628863543</v>
      </c>
      <c r="AC75" s="173">
        <v>24582348.579</v>
      </c>
    </row>
    <row r="76" spans="2:29" hidden="1" outlineLevel="1" x14ac:dyDescent="0.25">
      <c r="B76" s="205">
        <v>40969</v>
      </c>
      <c r="C76" s="357">
        <v>266227</v>
      </c>
      <c r="D76" s="357">
        <v>21186694.154837657</v>
      </c>
      <c r="E76" s="357">
        <v>13091164.982999999</v>
      </c>
      <c r="F76" s="357">
        <v>193233</v>
      </c>
      <c r="G76" s="357">
        <v>15363623.88166707</v>
      </c>
      <c r="H76" s="357">
        <v>9493115.5140000004</v>
      </c>
      <c r="I76" s="357">
        <v>459460</v>
      </c>
      <c r="J76" s="357">
        <v>36550318.036504723</v>
      </c>
      <c r="K76" s="357">
        <v>22584280.497000001</v>
      </c>
      <c r="L76" s="357">
        <v>16203</v>
      </c>
      <c r="M76" s="357">
        <v>2148143.5756142829</v>
      </c>
      <c r="N76" s="357">
        <v>1327328.452</v>
      </c>
      <c r="O76" s="357">
        <v>11662</v>
      </c>
      <c r="P76" s="357">
        <v>1558395.73929976</v>
      </c>
      <c r="Q76" s="357">
        <v>962925.86199999996</v>
      </c>
      <c r="R76" s="357">
        <v>27865</v>
      </c>
      <c r="S76" s="357">
        <v>3706539.3149140431</v>
      </c>
      <c r="T76" s="357">
        <v>2290254.3139999998</v>
      </c>
      <c r="U76" s="357">
        <v>282430</v>
      </c>
      <c r="V76" s="357">
        <v>23334837.730451938</v>
      </c>
      <c r="W76" s="357">
        <v>14418493.435000001</v>
      </c>
      <c r="X76" s="357">
        <v>204895</v>
      </c>
      <c r="Y76" s="357">
        <v>16922019.620966829</v>
      </c>
      <c r="Z76" s="357">
        <v>10456041.376</v>
      </c>
      <c r="AA76" s="357">
        <v>487325</v>
      </c>
      <c r="AB76" s="357">
        <v>40256857.351418771</v>
      </c>
      <c r="AC76" s="173">
        <v>24874534.811000001</v>
      </c>
    </row>
    <row r="77" spans="2:29" hidden="1" outlineLevel="1" x14ac:dyDescent="0.25">
      <c r="B77" s="205">
        <v>41000</v>
      </c>
      <c r="C77" s="357">
        <v>268907</v>
      </c>
      <c r="D77" s="357">
        <v>20020715.029622998</v>
      </c>
      <c r="E77" s="357">
        <v>12376984.071</v>
      </c>
      <c r="F77" s="357">
        <v>195360</v>
      </c>
      <c r="G77" s="357">
        <v>14782368.983724721</v>
      </c>
      <c r="H77" s="357">
        <v>9138591.9619999994</v>
      </c>
      <c r="I77" s="357">
        <v>464267</v>
      </c>
      <c r="J77" s="357">
        <v>34803084.013347715</v>
      </c>
      <c r="K77" s="357">
        <v>21515576.033</v>
      </c>
      <c r="L77" s="357">
        <v>16729</v>
      </c>
      <c r="M77" s="357">
        <v>2189230.471803538</v>
      </c>
      <c r="N77" s="357">
        <v>1353401.746</v>
      </c>
      <c r="O77" s="357">
        <v>12056</v>
      </c>
      <c r="P77" s="357">
        <v>1563881.9423356066</v>
      </c>
      <c r="Q77" s="357">
        <v>966805.72400000005</v>
      </c>
      <c r="R77" s="357">
        <v>28785</v>
      </c>
      <c r="S77" s="357">
        <v>3753112.4141391446</v>
      </c>
      <c r="T77" s="357">
        <v>2320207.4700000002</v>
      </c>
      <c r="U77" s="357">
        <v>285636</v>
      </c>
      <c r="V77" s="357">
        <v>22209945.501426533</v>
      </c>
      <c r="W77" s="357">
        <v>13730385.817</v>
      </c>
      <c r="X77" s="357">
        <v>207416</v>
      </c>
      <c r="Y77" s="357">
        <v>16346250.926060326</v>
      </c>
      <c r="Z77" s="357">
        <v>10105397.686000001</v>
      </c>
      <c r="AA77" s="357">
        <v>493052</v>
      </c>
      <c r="AB77" s="357">
        <v>38556196.427486859</v>
      </c>
      <c r="AC77" s="173">
        <v>23835783.502999999</v>
      </c>
    </row>
    <row r="78" spans="2:29" hidden="1" outlineLevel="1" x14ac:dyDescent="0.25">
      <c r="B78" s="205">
        <v>41030</v>
      </c>
      <c r="C78" s="357">
        <v>273881</v>
      </c>
      <c r="D78" s="357">
        <v>21145746.285109773</v>
      </c>
      <c r="E78" s="357">
        <v>13076498.552999999</v>
      </c>
      <c r="F78" s="357">
        <v>198501</v>
      </c>
      <c r="G78" s="357">
        <v>15474229.988141496</v>
      </c>
      <c r="H78" s="357">
        <v>9569241.1760000009</v>
      </c>
      <c r="I78" s="357">
        <v>472382</v>
      </c>
      <c r="J78" s="357">
        <v>36619976.273251265</v>
      </c>
      <c r="K78" s="357">
        <v>22645739.728999998</v>
      </c>
      <c r="L78" s="357">
        <v>17101</v>
      </c>
      <c r="M78" s="357">
        <v>2242208.0543018831</v>
      </c>
      <c r="N78" s="357">
        <v>1386578.179</v>
      </c>
      <c r="O78" s="357">
        <v>12311</v>
      </c>
      <c r="P78" s="357">
        <v>1608631.1181325717</v>
      </c>
      <c r="Q78" s="357">
        <v>994775.12899999996</v>
      </c>
      <c r="R78" s="357">
        <v>29412</v>
      </c>
      <c r="S78" s="357">
        <v>3850839.1724344548</v>
      </c>
      <c r="T78" s="357">
        <v>2381353.3080000002</v>
      </c>
      <c r="U78" s="357">
        <v>290982</v>
      </c>
      <c r="V78" s="357">
        <v>23387954.339411654</v>
      </c>
      <c r="W78" s="357">
        <v>14463076.732000001</v>
      </c>
      <c r="X78" s="357">
        <v>210812</v>
      </c>
      <c r="Y78" s="357">
        <v>17082861.106274068</v>
      </c>
      <c r="Z78" s="357">
        <v>10564016.305</v>
      </c>
      <c r="AA78" s="357">
        <v>501794</v>
      </c>
      <c r="AB78" s="357">
        <v>40470815.445685722</v>
      </c>
      <c r="AC78" s="173">
        <v>25027093.037</v>
      </c>
    </row>
    <row r="79" spans="2:29" hidden="1" outlineLevel="1" x14ac:dyDescent="0.25">
      <c r="B79" s="205">
        <v>41061</v>
      </c>
      <c r="C79" s="357">
        <v>279232</v>
      </c>
      <c r="D79" s="357">
        <v>21517284.821353681</v>
      </c>
      <c r="E79" s="357">
        <v>13266851.407</v>
      </c>
      <c r="F79" s="357">
        <v>201334</v>
      </c>
      <c r="G79" s="357">
        <v>15479480.384914234</v>
      </c>
      <c r="H79" s="357">
        <v>9544139.4130000006</v>
      </c>
      <c r="I79" s="357">
        <v>480566</v>
      </c>
      <c r="J79" s="357">
        <v>36996765.206267916</v>
      </c>
      <c r="K79" s="357">
        <v>22810990.82</v>
      </c>
      <c r="L79" s="357">
        <v>17619</v>
      </c>
      <c r="M79" s="357">
        <v>2290991.0920939399</v>
      </c>
      <c r="N79" s="357">
        <v>1412549.8940000001</v>
      </c>
      <c r="O79" s="357">
        <v>12603</v>
      </c>
      <c r="P79" s="357">
        <v>1654424.1742656627</v>
      </c>
      <c r="Q79" s="357">
        <v>1020063.6310000001</v>
      </c>
      <c r="R79" s="357">
        <v>30222</v>
      </c>
      <c r="S79" s="357">
        <v>3945415.2663596026</v>
      </c>
      <c r="T79" s="357">
        <v>2432613.5249999999</v>
      </c>
      <c r="U79" s="357">
        <v>296851</v>
      </c>
      <c r="V79" s="357">
        <v>23808275.913447622</v>
      </c>
      <c r="W79" s="357">
        <v>14679401.301000001</v>
      </c>
      <c r="X79" s="357">
        <v>213937</v>
      </c>
      <c r="Y79" s="357">
        <v>17133904.559179898</v>
      </c>
      <c r="Z79" s="357">
        <v>10564203.044</v>
      </c>
      <c r="AA79" s="357">
        <v>510788</v>
      </c>
      <c r="AB79" s="357">
        <v>40942180.472627521</v>
      </c>
      <c r="AC79" s="173">
        <v>25243604.344999999</v>
      </c>
    </row>
    <row r="80" spans="2:29" hidden="1" outlineLevel="1" x14ac:dyDescent="0.25">
      <c r="B80" s="205">
        <v>41091</v>
      </c>
      <c r="C80" s="357">
        <v>276215</v>
      </c>
      <c r="D80" s="357">
        <v>21708980.466042094</v>
      </c>
      <c r="E80" s="357">
        <v>13383284.857000001</v>
      </c>
      <c r="F80" s="357">
        <v>202381</v>
      </c>
      <c r="G80" s="357">
        <v>16035151.298415188</v>
      </c>
      <c r="H80" s="357">
        <v>9885448.0010000002</v>
      </c>
      <c r="I80" s="357">
        <v>478596</v>
      </c>
      <c r="J80" s="357">
        <v>37744131.764457285</v>
      </c>
      <c r="K80" s="357">
        <v>23268732.857999999</v>
      </c>
      <c r="L80" s="357">
        <v>17698</v>
      </c>
      <c r="M80" s="357">
        <v>2340028.8349483632</v>
      </c>
      <c r="N80" s="357">
        <v>1442595.267</v>
      </c>
      <c r="O80" s="357">
        <v>12634</v>
      </c>
      <c r="P80" s="357">
        <v>1680964.9155686451</v>
      </c>
      <c r="Q80" s="357">
        <v>1036291.517</v>
      </c>
      <c r="R80" s="357">
        <v>30332</v>
      </c>
      <c r="S80" s="357">
        <v>4020993.7505170084</v>
      </c>
      <c r="T80" s="357">
        <v>2478886.784</v>
      </c>
      <c r="U80" s="357">
        <v>293913</v>
      </c>
      <c r="V80" s="357">
        <v>24049009.300990459</v>
      </c>
      <c r="W80" s="357">
        <v>14825880.124</v>
      </c>
      <c r="X80" s="357">
        <v>215015</v>
      </c>
      <c r="Y80" s="357">
        <v>17716116.213983834</v>
      </c>
      <c r="Z80" s="357">
        <v>10921739.517999999</v>
      </c>
      <c r="AA80" s="357">
        <v>508928</v>
      </c>
      <c r="AB80" s="357">
        <v>41765125.514974289</v>
      </c>
      <c r="AC80" s="173">
        <v>25747619.642000001</v>
      </c>
    </row>
    <row r="81" spans="2:29" hidden="1" outlineLevel="1" x14ac:dyDescent="0.25">
      <c r="B81" s="205">
        <v>41122</v>
      </c>
      <c r="C81" s="357">
        <v>282810</v>
      </c>
      <c r="D81" s="357">
        <v>22644148.508966032</v>
      </c>
      <c r="E81" s="357">
        <v>13990675.439999999</v>
      </c>
      <c r="F81" s="357">
        <v>207070</v>
      </c>
      <c r="G81" s="357">
        <v>16675851.295977432</v>
      </c>
      <c r="H81" s="357">
        <v>10303166.095000001</v>
      </c>
      <c r="I81" s="357">
        <v>489880</v>
      </c>
      <c r="J81" s="357">
        <v>39319999.804943465</v>
      </c>
      <c r="K81" s="357">
        <v>24293841.535</v>
      </c>
      <c r="L81" s="357">
        <v>23663</v>
      </c>
      <c r="M81" s="357">
        <v>3095144.2056365134</v>
      </c>
      <c r="N81" s="357">
        <v>1912333.246</v>
      </c>
      <c r="O81" s="357">
        <v>19160</v>
      </c>
      <c r="P81" s="357">
        <v>2454885.0856636702</v>
      </c>
      <c r="Q81" s="357">
        <v>1516749.48</v>
      </c>
      <c r="R81" s="357">
        <v>42823</v>
      </c>
      <c r="S81" s="357">
        <v>5550029.2913001832</v>
      </c>
      <c r="T81" s="357">
        <v>3429082.7259999998</v>
      </c>
      <c r="U81" s="357">
        <v>306473</v>
      </c>
      <c r="V81" s="357">
        <v>25739292.714602545</v>
      </c>
      <c r="W81" s="357">
        <v>15903008.686000001</v>
      </c>
      <c r="X81" s="357">
        <v>226230</v>
      </c>
      <c r="Y81" s="357">
        <v>19130736.381641101</v>
      </c>
      <c r="Z81" s="357">
        <v>11819915.574999999</v>
      </c>
      <c r="AA81" s="357">
        <v>532703</v>
      </c>
      <c r="AB81" s="357">
        <v>44870029.09624365</v>
      </c>
      <c r="AC81" s="173">
        <v>27722924.261</v>
      </c>
    </row>
    <row r="82" spans="2:29" hidden="1" outlineLevel="1" x14ac:dyDescent="0.25">
      <c r="B82" s="205">
        <v>41153</v>
      </c>
      <c r="C82" s="357">
        <v>287696</v>
      </c>
      <c r="D82" s="357">
        <v>22597584.492566552</v>
      </c>
      <c r="E82" s="357">
        <v>14069211.756999999</v>
      </c>
      <c r="F82" s="357">
        <v>211511</v>
      </c>
      <c r="G82" s="357">
        <v>16772789.69777005</v>
      </c>
      <c r="H82" s="357">
        <v>10442705.948999999</v>
      </c>
      <c r="I82" s="357">
        <v>499207</v>
      </c>
      <c r="J82" s="357">
        <v>39370374.1903366</v>
      </c>
      <c r="K82" s="357">
        <v>24511917.706</v>
      </c>
      <c r="L82" s="357">
        <v>23918</v>
      </c>
      <c r="M82" s="357">
        <v>3074253.3749835272</v>
      </c>
      <c r="N82" s="357">
        <v>1914024.118</v>
      </c>
      <c r="O82" s="357">
        <v>19316</v>
      </c>
      <c r="P82" s="357">
        <v>2494055.2258558562</v>
      </c>
      <c r="Q82" s="357">
        <v>1552793.889</v>
      </c>
      <c r="R82" s="357">
        <v>43234</v>
      </c>
      <c r="S82" s="357">
        <v>5568308.600839383</v>
      </c>
      <c r="T82" s="357">
        <v>3466818.0070000002</v>
      </c>
      <c r="U82" s="357">
        <v>311614</v>
      </c>
      <c r="V82" s="357">
        <v>25671837.867550079</v>
      </c>
      <c r="W82" s="357">
        <v>15983235.875</v>
      </c>
      <c r="X82" s="357">
        <v>230827</v>
      </c>
      <c r="Y82" s="357">
        <v>19266844.923625909</v>
      </c>
      <c r="Z82" s="357">
        <v>11995499.838</v>
      </c>
      <c r="AA82" s="357">
        <v>542441</v>
      </c>
      <c r="AB82" s="357">
        <v>44938682.791175984</v>
      </c>
      <c r="AC82" s="173">
        <v>27978735.713</v>
      </c>
    </row>
    <row r="83" spans="2:29" hidden="1" outlineLevel="1" x14ac:dyDescent="0.25">
      <c r="B83" s="205">
        <v>41183</v>
      </c>
      <c r="C83" s="357">
        <v>294781</v>
      </c>
      <c r="D83" s="357">
        <v>23454685.843480937</v>
      </c>
      <c r="E83" s="357">
        <v>14684423.467</v>
      </c>
      <c r="F83" s="357">
        <v>216179</v>
      </c>
      <c r="G83" s="357">
        <v>17126596.135780543</v>
      </c>
      <c r="H83" s="357">
        <v>10722556.332</v>
      </c>
      <c r="I83" s="357">
        <v>510960</v>
      </c>
      <c r="J83" s="357">
        <v>40581281.97926148</v>
      </c>
      <c r="K83" s="357">
        <v>25406979.798999999</v>
      </c>
      <c r="L83" s="357">
        <v>22975</v>
      </c>
      <c r="M83" s="357">
        <v>2977217.6376995095</v>
      </c>
      <c r="N83" s="357">
        <v>1863965.4709999999</v>
      </c>
      <c r="O83" s="357">
        <v>18437</v>
      </c>
      <c r="P83" s="357">
        <v>2353306.8735801321</v>
      </c>
      <c r="Q83" s="357">
        <v>1473349.7139999999</v>
      </c>
      <c r="R83" s="357">
        <v>41412</v>
      </c>
      <c r="S83" s="357">
        <v>5330524.5112796407</v>
      </c>
      <c r="T83" s="357">
        <v>3337315.1850000001</v>
      </c>
      <c r="U83" s="357">
        <v>317756</v>
      </c>
      <c r="V83" s="357">
        <v>26431903.481180452</v>
      </c>
      <c r="W83" s="357">
        <v>16548388.937999999</v>
      </c>
      <c r="X83" s="357">
        <v>234616</v>
      </c>
      <c r="Y83" s="357">
        <v>19479903.009360671</v>
      </c>
      <c r="Z83" s="357">
        <v>12195906.046</v>
      </c>
      <c r="AA83" s="357">
        <v>552372</v>
      </c>
      <c r="AB83" s="357">
        <v>45911806.490541123</v>
      </c>
      <c r="AC83" s="173">
        <v>28744294.984000001</v>
      </c>
    </row>
    <row r="84" spans="2:29" hidden="1" outlineLevel="1" x14ac:dyDescent="0.25">
      <c r="B84" s="205">
        <v>41214</v>
      </c>
      <c r="C84" s="357">
        <v>303521</v>
      </c>
      <c r="D84" s="357">
        <v>24143724.748885412</v>
      </c>
      <c r="E84" s="357">
        <v>15047736.120999999</v>
      </c>
      <c r="F84" s="357">
        <v>223185</v>
      </c>
      <c r="G84" s="357">
        <v>17843125.804896154</v>
      </c>
      <c r="H84" s="357">
        <v>11120846.161</v>
      </c>
      <c r="I84" s="357">
        <v>526706</v>
      </c>
      <c r="J84" s="357">
        <v>41986850.553781562</v>
      </c>
      <c r="K84" s="357">
        <v>26168582.282000002</v>
      </c>
      <c r="L84" s="357">
        <v>21524</v>
      </c>
      <c r="M84" s="357">
        <v>2743189.28566192</v>
      </c>
      <c r="N84" s="357">
        <v>1709710.8640000001</v>
      </c>
      <c r="O84" s="357">
        <v>16946</v>
      </c>
      <c r="P84" s="357">
        <v>2113523.8355331845</v>
      </c>
      <c r="Q84" s="357">
        <v>1317267.7080000001</v>
      </c>
      <c r="R84" s="357">
        <v>38470</v>
      </c>
      <c r="S84" s="357">
        <v>4856713.1211951049</v>
      </c>
      <c r="T84" s="357">
        <v>3026978.5720000002</v>
      </c>
      <c r="U84" s="357">
        <v>325045</v>
      </c>
      <c r="V84" s="357">
        <v>26886914.034547333</v>
      </c>
      <c r="W84" s="357">
        <v>16757446.984999999</v>
      </c>
      <c r="X84" s="357">
        <v>240131</v>
      </c>
      <c r="Y84" s="357">
        <v>19956649.640429337</v>
      </c>
      <c r="Z84" s="357">
        <v>12438113.869000001</v>
      </c>
      <c r="AA84" s="357">
        <v>565176</v>
      </c>
      <c r="AB84" s="357">
        <v>46843563.674976669</v>
      </c>
      <c r="AC84" s="173">
        <v>29195560.853999998</v>
      </c>
    </row>
    <row r="85" spans="2:29" hidden="1" outlineLevel="1" x14ac:dyDescent="0.25">
      <c r="B85" s="205">
        <v>41244</v>
      </c>
      <c r="C85" s="357">
        <v>312354</v>
      </c>
      <c r="D85" s="357">
        <v>24683044.249745216</v>
      </c>
      <c r="E85" s="357">
        <v>15379786.630000001</v>
      </c>
      <c r="F85" s="357">
        <v>227534</v>
      </c>
      <c r="G85" s="357">
        <v>17831136.761300251</v>
      </c>
      <c r="H85" s="357">
        <v>11110423.657</v>
      </c>
      <c r="I85" s="357">
        <v>539888</v>
      </c>
      <c r="J85" s="357">
        <v>42514181.011045471</v>
      </c>
      <c r="K85" s="357">
        <v>26490210.287</v>
      </c>
      <c r="L85" s="357">
        <v>22465</v>
      </c>
      <c r="M85" s="357">
        <v>2968926.1123219766</v>
      </c>
      <c r="N85" s="357">
        <v>1849911.61</v>
      </c>
      <c r="O85" s="357">
        <v>17699</v>
      </c>
      <c r="P85" s="357">
        <v>2281110.696639535</v>
      </c>
      <c r="Q85" s="357">
        <v>1421339.906</v>
      </c>
      <c r="R85" s="357">
        <v>40164</v>
      </c>
      <c r="S85" s="357">
        <v>5250036.8089615116</v>
      </c>
      <c r="T85" s="357">
        <v>3271251.5159999998</v>
      </c>
      <c r="U85" s="357">
        <v>334819</v>
      </c>
      <c r="V85" s="357">
        <v>27651970.362067197</v>
      </c>
      <c r="W85" s="357">
        <v>17229698.239999998</v>
      </c>
      <c r="X85" s="357">
        <v>245233</v>
      </c>
      <c r="Y85" s="357">
        <v>20112247.457939785</v>
      </c>
      <c r="Z85" s="357">
        <v>12531763.562999999</v>
      </c>
      <c r="AA85" s="357">
        <v>580052</v>
      </c>
      <c r="AB85" s="357">
        <v>47764217.820006981</v>
      </c>
      <c r="AC85" s="173">
        <v>29761461.802999999</v>
      </c>
    </row>
    <row r="86" spans="2:29" collapsed="1" x14ac:dyDescent="0.25">
      <c r="B86" s="359" t="s">
        <v>703</v>
      </c>
      <c r="C86" s="358">
        <v>279628</v>
      </c>
      <c r="D86" s="358">
        <v>21834575.7549477</v>
      </c>
      <c r="E86" s="358"/>
      <c r="F86" s="358">
        <v>203893.75</v>
      </c>
      <c r="G86" s="358">
        <v>16048779.003838047</v>
      </c>
      <c r="H86" s="358"/>
      <c r="I86" s="358">
        <v>483521.75</v>
      </c>
      <c r="J86" s="358">
        <v>37883354.75878574</v>
      </c>
      <c r="K86" s="358"/>
      <c r="L86" s="358">
        <v>19231.416666666668</v>
      </c>
      <c r="M86" s="358">
        <v>2519662.4711692692</v>
      </c>
      <c r="N86" s="358"/>
      <c r="O86" s="358">
        <v>14584.75</v>
      </c>
      <c r="P86" s="358">
        <v>1896421.8434868054</v>
      </c>
      <c r="Q86" s="358"/>
      <c r="R86" s="358">
        <v>33816.166666666664</v>
      </c>
      <c r="S86" s="358">
        <v>4416084.3146560742</v>
      </c>
      <c r="T86" s="358"/>
      <c r="U86" s="358">
        <v>298859.41666666669</v>
      </c>
      <c r="V86" s="358">
        <v>24354238.226116966</v>
      </c>
      <c r="W86" s="358"/>
      <c r="X86" s="358">
        <v>218478.5</v>
      </c>
      <c r="Y86" s="358">
        <v>17945200.847324852</v>
      </c>
      <c r="Z86" s="358"/>
      <c r="AA86" s="358">
        <v>517337.91666666669</v>
      </c>
      <c r="AB86" s="358">
        <v>42299439.073441811</v>
      </c>
      <c r="AC86" s="361"/>
    </row>
    <row r="87" spans="2:29" hidden="1" outlineLevel="1" x14ac:dyDescent="0.25">
      <c r="B87" s="205">
        <v>41275</v>
      </c>
      <c r="C87" s="357">
        <v>316102</v>
      </c>
      <c r="D87" s="357">
        <v>24279139.339683548</v>
      </c>
      <c r="E87" s="357">
        <v>15155009.141000001</v>
      </c>
      <c r="F87" s="357">
        <v>230222</v>
      </c>
      <c r="G87" s="357">
        <v>17810906.500772074</v>
      </c>
      <c r="H87" s="357">
        <v>11117546.097999999</v>
      </c>
      <c r="I87" s="357">
        <v>546324</v>
      </c>
      <c r="J87" s="357">
        <v>42090045.840455621</v>
      </c>
      <c r="K87" s="357">
        <v>26272555.239</v>
      </c>
      <c r="L87" s="357">
        <v>22998</v>
      </c>
      <c r="M87" s="357">
        <v>2951664.9339431692</v>
      </c>
      <c r="N87" s="357">
        <v>1842425.649</v>
      </c>
      <c r="O87" s="357">
        <v>18080</v>
      </c>
      <c r="P87" s="357">
        <v>2278975.7316418421</v>
      </c>
      <c r="Q87" s="357">
        <v>1422533.87</v>
      </c>
      <c r="R87" s="357">
        <v>41078</v>
      </c>
      <c r="S87" s="357">
        <v>5230640.6655850112</v>
      </c>
      <c r="T87" s="357">
        <v>3264959.5189999999</v>
      </c>
      <c r="U87" s="357">
        <v>339100</v>
      </c>
      <c r="V87" s="357">
        <v>27230804.273626715</v>
      </c>
      <c r="W87" s="357">
        <v>16997434.789999999</v>
      </c>
      <c r="X87" s="357">
        <v>248302</v>
      </c>
      <c r="Y87" s="357">
        <v>20089882.232413918</v>
      </c>
      <c r="Z87" s="357">
        <v>12540079.968</v>
      </c>
      <c r="AA87" s="357">
        <v>587402</v>
      </c>
      <c r="AB87" s="357">
        <v>47320686.506040633</v>
      </c>
      <c r="AC87" s="173">
        <v>29537514.758000001</v>
      </c>
    </row>
    <row r="88" spans="2:29" hidden="1" outlineLevel="1" x14ac:dyDescent="0.25">
      <c r="B88" s="205">
        <v>41306</v>
      </c>
      <c r="C88" s="357">
        <v>318370</v>
      </c>
      <c r="D88" s="357">
        <v>23902260.833243757</v>
      </c>
      <c r="E88" s="357">
        <v>14937260.642999999</v>
      </c>
      <c r="F88" s="357">
        <v>231652</v>
      </c>
      <c r="G88" s="357">
        <v>17621763.993959293</v>
      </c>
      <c r="H88" s="357">
        <v>11012384.293</v>
      </c>
      <c r="I88" s="357">
        <v>550022</v>
      </c>
      <c r="J88" s="357">
        <v>41524024.827203058</v>
      </c>
      <c r="K88" s="357">
        <v>25949644.936000001</v>
      </c>
      <c r="L88" s="357">
        <v>23375</v>
      </c>
      <c r="M88" s="357">
        <v>2981261.9511127551</v>
      </c>
      <c r="N88" s="357">
        <v>1863082.6229999999</v>
      </c>
      <c r="O88" s="357">
        <v>18243</v>
      </c>
      <c r="P88" s="357">
        <v>2271551.7676005866</v>
      </c>
      <c r="Q88" s="357">
        <v>1419562.821</v>
      </c>
      <c r="R88" s="357">
        <v>41618</v>
      </c>
      <c r="S88" s="357">
        <v>5252813.7187133413</v>
      </c>
      <c r="T88" s="357">
        <v>3282645.4440000001</v>
      </c>
      <c r="U88" s="357">
        <v>341745</v>
      </c>
      <c r="V88" s="357">
        <v>26883522.784356512</v>
      </c>
      <c r="W88" s="357">
        <v>16800343.265999999</v>
      </c>
      <c r="X88" s="357">
        <v>249895</v>
      </c>
      <c r="Y88" s="357">
        <v>19893315.761559878</v>
      </c>
      <c r="Z88" s="357">
        <v>12431947.114</v>
      </c>
      <c r="AA88" s="357">
        <v>591640</v>
      </c>
      <c r="AB88" s="357">
        <v>46776838.545916393</v>
      </c>
      <c r="AC88" s="173">
        <v>29232290.379999999</v>
      </c>
    </row>
    <row r="89" spans="2:29" hidden="1" outlineLevel="1" x14ac:dyDescent="0.25">
      <c r="B89" s="205">
        <v>41334</v>
      </c>
      <c r="C89" s="357">
        <v>320652</v>
      </c>
      <c r="D89" s="357">
        <v>24117820.873235155</v>
      </c>
      <c r="E89" s="357">
        <v>15129817.061000001</v>
      </c>
      <c r="F89" s="357">
        <v>233004</v>
      </c>
      <c r="G89" s="357">
        <v>17749979.403149121</v>
      </c>
      <c r="H89" s="357">
        <v>11135083.165999999</v>
      </c>
      <c r="I89" s="357">
        <v>553656</v>
      </c>
      <c r="J89" s="357">
        <v>41867800.276384272</v>
      </c>
      <c r="K89" s="357">
        <v>26264900.227000002</v>
      </c>
      <c r="L89" s="357">
        <v>23775</v>
      </c>
      <c r="M89" s="357">
        <v>3008450.4812295353</v>
      </c>
      <c r="N89" s="357">
        <v>1887289.3060000001</v>
      </c>
      <c r="O89" s="357">
        <v>18581</v>
      </c>
      <c r="P89" s="357">
        <v>2292061.9845414422</v>
      </c>
      <c r="Q89" s="357">
        <v>1437877.7709999999</v>
      </c>
      <c r="R89" s="357">
        <v>42356</v>
      </c>
      <c r="S89" s="357">
        <v>5300512.4657709775</v>
      </c>
      <c r="T89" s="357">
        <v>3325167.077</v>
      </c>
      <c r="U89" s="357">
        <v>344427</v>
      </c>
      <c r="V89" s="357">
        <v>27126271.354464687</v>
      </c>
      <c r="W89" s="357">
        <v>17017106.366999999</v>
      </c>
      <c r="X89" s="357">
        <v>251585</v>
      </c>
      <c r="Y89" s="357">
        <v>20042041.387690563</v>
      </c>
      <c r="Z89" s="357">
        <v>12572960.937000001</v>
      </c>
      <c r="AA89" s="357">
        <v>596012</v>
      </c>
      <c r="AB89" s="357">
        <v>47168312.742155254</v>
      </c>
      <c r="AC89" s="173">
        <v>29590067.304000001</v>
      </c>
    </row>
    <row r="90" spans="2:29" hidden="1" outlineLevel="1" x14ac:dyDescent="0.25">
      <c r="B90" s="205">
        <v>41365</v>
      </c>
      <c r="C90" s="357">
        <v>322878</v>
      </c>
      <c r="D90" s="357">
        <v>24446449.256413676</v>
      </c>
      <c r="E90" s="357">
        <v>15261790.779999999</v>
      </c>
      <c r="F90" s="357">
        <v>234782</v>
      </c>
      <c r="G90" s="357">
        <v>17901530.822277348</v>
      </c>
      <c r="H90" s="357">
        <v>11175832.334000001</v>
      </c>
      <c r="I90" s="357">
        <v>557660</v>
      </c>
      <c r="J90" s="357">
        <v>42347980.078691028</v>
      </c>
      <c r="K90" s="357">
        <v>26437623.114</v>
      </c>
      <c r="L90" s="357">
        <v>24167</v>
      </c>
      <c r="M90" s="357">
        <v>3059431.1761208302</v>
      </c>
      <c r="N90" s="357">
        <v>1909986.9280000001</v>
      </c>
      <c r="O90" s="357">
        <v>18856</v>
      </c>
      <c r="P90" s="357">
        <v>2332988.1687911092</v>
      </c>
      <c r="Q90" s="357">
        <v>1456472.3470000001</v>
      </c>
      <c r="R90" s="357">
        <v>43023</v>
      </c>
      <c r="S90" s="357">
        <v>5392419.3449119385</v>
      </c>
      <c r="T90" s="357">
        <v>3366459.2749999999</v>
      </c>
      <c r="U90" s="357">
        <v>347045</v>
      </c>
      <c r="V90" s="357">
        <v>27505880.432534508</v>
      </c>
      <c r="W90" s="357">
        <v>17171777.708000001</v>
      </c>
      <c r="X90" s="357">
        <v>253638</v>
      </c>
      <c r="Y90" s="357">
        <v>20234518.991068456</v>
      </c>
      <c r="Z90" s="357">
        <v>12632304.681</v>
      </c>
      <c r="AA90" s="357">
        <v>600683</v>
      </c>
      <c r="AB90" s="357">
        <v>47740399.423602961</v>
      </c>
      <c r="AC90" s="173">
        <v>29804082.388999999</v>
      </c>
    </row>
    <row r="91" spans="2:29" hidden="1" outlineLevel="1" x14ac:dyDescent="0.25">
      <c r="B91" s="205">
        <v>41395</v>
      </c>
      <c r="C91" s="357">
        <v>323526</v>
      </c>
      <c r="D91" s="357">
        <v>24399877.088415198</v>
      </c>
      <c r="E91" s="357">
        <v>15231414.18</v>
      </c>
      <c r="F91" s="357">
        <v>234339</v>
      </c>
      <c r="G91" s="357">
        <v>17887812.483652931</v>
      </c>
      <c r="H91" s="357">
        <v>11166313.654999999</v>
      </c>
      <c r="I91" s="357">
        <v>557865</v>
      </c>
      <c r="J91" s="357">
        <v>42287689.572068132</v>
      </c>
      <c r="K91" s="357">
        <v>26397727.835000001</v>
      </c>
      <c r="L91" s="357">
        <v>25946</v>
      </c>
      <c r="M91" s="357">
        <v>3276724.8034983701</v>
      </c>
      <c r="N91" s="357">
        <v>2045467.379</v>
      </c>
      <c r="O91" s="357">
        <v>20403</v>
      </c>
      <c r="P91" s="357">
        <v>2525563.710980841</v>
      </c>
      <c r="Q91" s="357">
        <v>1576561.504</v>
      </c>
      <c r="R91" s="357">
        <v>46349</v>
      </c>
      <c r="S91" s="357">
        <v>5802288.5144792115</v>
      </c>
      <c r="T91" s="357">
        <v>3622028.8829999999</v>
      </c>
      <c r="U91" s="357">
        <v>349472</v>
      </c>
      <c r="V91" s="357">
        <v>27676601.89191357</v>
      </c>
      <c r="W91" s="357">
        <v>17276881.559</v>
      </c>
      <c r="X91" s="357">
        <v>254742</v>
      </c>
      <c r="Y91" s="357">
        <v>20413376.194633774</v>
      </c>
      <c r="Z91" s="357">
        <v>12742875.159</v>
      </c>
      <c r="AA91" s="357">
        <v>604214</v>
      </c>
      <c r="AB91" s="357">
        <v>48089978.086547337</v>
      </c>
      <c r="AC91" s="173">
        <v>30019756.717999998</v>
      </c>
    </row>
    <row r="92" spans="2:29" hidden="1" outlineLevel="1" x14ac:dyDescent="0.25">
      <c r="B92" s="205">
        <v>41426</v>
      </c>
      <c r="C92" s="357">
        <v>325229</v>
      </c>
      <c r="D92" s="357">
        <v>24327103.023982454</v>
      </c>
      <c r="E92" s="357">
        <v>15283216.640000001</v>
      </c>
      <c r="F92" s="357">
        <v>235609</v>
      </c>
      <c r="G92" s="357">
        <v>17840383.156646721</v>
      </c>
      <c r="H92" s="357">
        <v>11208011.1</v>
      </c>
      <c r="I92" s="357">
        <v>560838</v>
      </c>
      <c r="J92" s="357">
        <v>42167486.180629171</v>
      </c>
      <c r="K92" s="357">
        <v>26491227.739999998</v>
      </c>
      <c r="L92" s="357">
        <v>26338</v>
      </c>
      <c r="M92" s="357">
        <v>3313713.4690901409</v>
      </c>
      <c r="N92" s="357">
        <v>2081801.5519999999</v>
      </c>
      <c r="O92" s="357">
        <v>20883</v>
      </c>
      <c r="P92" s="357">
        <v>2583231.7724719294</v>
      </c>
      <c r="Q92" s="357">
        <v>1622885.0090000001</v>
      </c>
      <c r="R92" s="357">
        <v>47221</v>
      </c>
      <c r="S92" s="357">
        <v>5896945.2415620703</v>
      </c>
      <c r="T92" s="357">
        <v>3704686.5610000002</v>
      </c>
      <c r="U92" s="357">
        <v>351567</v>
      </c>
      <c r="V92" s="357">
        <v>27640816.493072595</v>
      </c>
      <c r="W92" s="357">
        <v>17365018.192000002</v>
      </c>
      <c r="X92" s="357">
        <v>256492</v>
      </c>
      <c r="Y92" s="357">
        <v>20423614.929118652</v>
      </c>
      <c r="Z92" s="357">
        <v>12830896.108999999</v>
      </c>
      <c r="AA92" s="357">
        <v>608059</v>
      </c>
      <c r="AB92" s="357">
        <v>48064431.422191247</v>
      </c>
      <c r="AC92" s="173">
        <v>30195914.300999999</v>
      </c>
    </row>
    <row r="93" spans="2:29" hidden="1" outlineLevel="1" x14ac:dyDescent="0.25">
      <c r="B93" s="205">
        <v>41456</v>
      </c>
      <c r="C93" s="357">
        <v>327498</v>
      </c>
      <c r="D93" s="357">
        <v>24830780.537429661</v>
      </c>
      <c r="E93" s="357">
        <v>15640317.4</v>
      </c>
      <c r="F93" s="357">
        <v>237441</v>
      </c>
      <c r="G93" s="357">
        <v>18246704.223144025</v>
      </c>
      <c r="H93" s="357">
        <v>11493164.506999999</v>
      </c>
      <c r="I93" s="357">
        <v>564939</v>
      </c>
      <c r="J93" s="357">
        <v>43077484.760573685</v>
      </c>
      <c r="K93" s="357">
        <v>27133481.907000002</v>
      </c>
      <c r="L93" s="357">
        <v>26760</v>
      </c>
      <c r="M93" s="357">
        <v>3371252.6717071268</v>
      </c>
      <c r="N93" s="357">
        <v>2123471.7829999998</v>
      </c>
      <c r="O93" s="357">
        <v>21252</v>
      </c>
      <c r="P93" s="357">
        <v>2619350.1601986149</v>
      </c>
      <c r="Q93" s="357">
        <v>1649866.2949999999</v>
      </c>
      <c r="R93" s="357">
        <v>48012</v>
      </c>
      <c r="S93" s="357">
        <v>5990602.8319057412</v>
      </c>
      <c r="T93" s="357">
        <v>3773338.0780000002</v>
      </c>
      <c r="U93" s="357">
        <v>354258</v>
      </c>
      <c r="V93" s="357">
        <v>28202033.209136788</v>
      </c>
      <c r="W93" s="357">
        <v>17763789.182999998</v>
      </c>
      <c r="X93" s="357">
        <v>258693</v>
      </c>
      <c r="Y93" s="357">
        <v>20866054.383342639</v>
      </c>
      <c r="Z93" s="357">
        <v>13143030.801999999</v>
      </c>
      <c r="AA93" s="357">
        <v>612951</v>
      </c>
      <c r="AB93" s="357">
        <v>49068087.592479423</v>
      </c>
      <c r="AC93" s="173">
        <v>30906819.984999999</v>
      </c>
    </row>
    <row r="94" spans="2:29" hidden="1" outlineLevel="1" x14ac:dyDescent="0.25">
      <c r="B94" s="205">
        <v>41487</v>
      </c>
      <c r="C94" s="357">
        <v>329632</v>
      </c>
      <c r="D94" s="357">
        <v>25430698.047021907</v>
      </c>
      <c r="E94" s="357">
        <v>16056738.142999999</v>
      </c>
      <c r="F94" s="357">
        <v>239444</v>
      </c>
      <c r="G94" s="357">
        <v>18706982.248835381</v>
      </c>
      <c r="H94" s="357">
        <v>11811438.084000001</v>
      </c>
      <c r="I94" s="357">
        <v>569076</v>
      </c>
      <c r="J94" s="357">
        <v>44137680.295857295</v>
      </c>
      <c r="K94" s="357">
        <v>27868176.227000002</v>
      </c>
      <c r="L94" s="357">
        <v>27306</v>
      </c>
      <c r="M94" s="357">
        <v>3443566.079148768</v>
      </c>
      <c r="N94" s="357">
        <v>2174239.9169999999</v>
      </c>
      <c r="O94" s="357">
        <v>21757</v>
      </c>
      <c r="P94" s="357">
        <v>2698864.1049087886</v>
      </c>
      <c r="Q94" s="357">
        <v>1704041.0819999999</v>
      </c>
      <c r="R94" s="357">
        <v>49063</v>
      </c>
      <c r="S94" s="357">
        <v>6142430.1840575561</v>
      </c>
      <c r="T94" s="357">
        <v>3878280.9989999998</v>
      </c>
      <c r="U94" s="357">
        <v>356938</v>
      </c>
      <c r="V94" s="357">
        <v>28874264.126170676</v>
      </c>
      <c r="W94" s="357">
        <v>18230978.059999999</v>
      </c>
      <c r="X94" s="357">
        <v>261201</v>
      </c>
      <c r="Y94" s="357">
        <v>21405846.353744172</v>
      </c>
      <c r="Z94" s="357">
        <v>13515479.165999999</v>
      </c>
      <c r="AA94" s="357">
        <v>618139</v>
      </c>
      <c r="AB94" s="357">
        <v>50280110.479914851</v>
      </c>
      <c r="AC94" s="173">
        <v>31746457.226</v>
      </c>
    </row>
    <row r="95" spans="2:29" hidden="1" outlineLevel="1" x14ac:dyDescent="0.25">
      <c r="B95" s="205">
        <v>41518</v>
      </c>
      <c r="C95" s="357">
        <v>331319</v>
      </c>
      <c r="D95" s="357">
        <v>25874695.903121706</v>
      </c>
      <c r="E95" s="357">
        <v>16424761.710999999</v>
      </c>
      <c r="F95" s="357">
        <v>241073</v>
      </c>
      <c r="G95" s="357">
        <v>19101953.076985866</v>
      </c>
      <c r="H95" s="357">
        <v>12125554.197000001</v>
      </c>
      <c r="I95" s="357">
        <v>572392</v>
      </c>
      <c r="J95" s="357">
        <v>44976648.980107576</v>
      </c>
      <c r="K95" s="357">
        <v>28550315.908</v>
      </c>
      <c r="L95" s="357">
        <v>28726</v>
      </c>
      <c r="M95" s="357">
        <v>3717059.6494533592</v>
      </c>
      <c r="N95" s="357">
        <v>2359518.3199999998</v>
      </c>
      <c r="O95" s="357">
        <v>22887</v>
      </c>
      <c r="P95" s="357">
        <v>2912651.9248633785</v>
      </c>
      <c r="Q95" s="357">
        <v>1848895.693</v>
      </c>
      <c r="R95" s="357">
        <v>51613</v>
      </c>
      <c r="S95" s="357">
        <v>6629711.5743167372</v>
      </c>
      <c r="T95" s="357">
        <v>4208414.0130000003</v>
      </c>
      <c r="U95" s="357">
        <v>360045</v>
      </c>
      <c r="V95" s="357">
        <v>29591755.552575067</v>
      </c>
      <c r="W95" s="357">
        <v>18784280.030999999</v>
      </c>
      <c r="X95" s="357">
        <v>263960</v>
      </c>
      <c r="Y95" s="357">
        <v>22014605.001849245</v>
      </c>
      <c r="Z95" s="357">
        <v>13974449.890000001</v>
      </c>
      <c r="AA95" s="357">
        <v>624005</v>
      </c>
      <c r="AB95" s="357">
        <v>51606360.554424308</v>
      </c>
      <c r="AC95" s="173">
        <v>32758729.921</v>
      </c>
    </row>
    <row r="96" spans="2:29" hidden="1" outlineLevel="1" x14ac:dyDescent="0.25">
      <c r="B96" s="205">
        <v>41548</v>
      </c>
      <c r="C96" s="357">
        <v>333585</v>
      </c>
      <c r="D96" s="357">
        <v>26008926.053971916</v>
      </c>
      <c r="E96" s="357">
        <v>16533519.283</v>
      </c>
      <c r="F96" s="357">
        <v>242881</v>
      </c>
      <c r="G96" s="357">
        <v>19153795.710603651</v>
      </c>
      <c r="H96" s="357">
        <v>12175806.493000001</v>
      </c>
      <c r="I96" s="357">
        <v>576466</v>
      </c>
      <c r="J96" s="357">
        <v>45162721.764575571</v>
      </c>
      <c r="K96" s="357">
        <v>28709325.776000001</v>
      </c>
      <c r="L96" s="357">
        <v>29640</v>
      </c>
      <c r="M96" s="357">
        <v>3958111.5028244373</v>
      </c>
      <c r="N96" s="357">
        <v>2516117.4559999998</v>
      </c>
      <c r="O96" s="357">
        <v>23639</v>
      </c>
      <c r="P96" s="357">
        <v>3034494.476027939</v>
      </c>
      <c r="Q96" s="357">
        <v>1928986.719</v>
      </c>
      <c r="R96" s="357">
        <v>53279</v>
      </c>
      <c r="S96" s="357">
        <v>6992605.9788523763</v>
      </c>
      <c r="T96" s="357">
        <v>4445104.1749999998</v>
      </c>
      <c r="U96" s="357">
        <v>363225</v>
      </c>
      <c r="V96" s="357">
        <v>29967037.556796353</v>
      </c>
      <c r="W96" s="357">
        <v>19049636.739</v>
      </c>
      <c r="X96" s="357">
        <v>266520</v>
      </c>
      <c r="Y96" s="357">
        <v>22188290.186631586</v>
      </c>
      <c r="Z96" s="357">
        <v>14104793.211999999</v>
      </c>
      <c r="AA96" s="357">
        <v>629745</v>
      </c>
      <c r="AB96" s="357">
        <v>52155327.74342794</v>
      </c>
      <c r="AC96" s="173">
        <v>33154429.951000001</v>
      </c>
    </row>
    <row r="97" spans="2:29" hidden="1" outlineLevel="1" x14ac:dyDescent="0.25">
      <c r="B97" s="205">
        <v>41579</v>
      </c>
      <c r="C97" s="357">
        <v>336778</v>
      </c>
      <c r="D97" s="357">
        <v>26248501.362118892</v>
      </c>
      <c r="E97" s="357">
        <v>16747936.437999999</v>
      </c>
      <c r="F97" s="357">
        <v>245366</v>
      </c>
      <c r="G97" s="357">
        <v>19263855.216906659</v>
      </c>
      <c r="H97" s="357">
        <v>12291361.639</v>
      </c>
      <c r="I97" s="357">
        <v>582144</v>
      </c>
      <c r="J97" s="357">
        <v>45512356.579025552</v>
      </c>
      <c r="K97" s="357">
        <v>29039298.077</v>
      </c>
      <c r="L97" s="357">
        <v>30000</v>
      </c>
      <c r="M97" s="357">
        <v>3826782.0590564716</v>
      </c>
      <c r="N97" s="357">
        <v>2441689.977</v>
      </c>
      <c r="O97" s="357">
        <v>23904</v>
      </c>
      <c r="P97" s="357">
        <v>2984960.5706350794</v>
      </c>
      <c r="Q97" s="357">
        <v>1904563.206</v>
      </c>
      <c r="R97" s="357">
        <v>53904</v>
      </c>
      <c r="S97" s="357">
        <v>6811742.6296915514</v>
      </c>
      <c r="T97" s="357">
        <v>4346253.1830000002</v>
      </c>
      <c r="U97" s="357">
        <v>366778</v>
      </c>
      <c r="V97" s="357">
        <v>30075283.421175361</v>
      </c>
      <c r="W97" s="357">
        <v>19189626.414999999</v>
      </c>
      <c r="X97" s="357">
        <v>269270</v>
      </c>
      <c r="Y97" s="357">
        <v>22248815.787541736</v>
      </c>
      <c r="Z97" s="357">
        <v>14195924.845000001</v>
      </c>
      <c r="AA97" s="357">
        <v>636048</v>
      </c>
      <c r="AB97" s="357">
        <v>52324099.2087171</v>
      </c>
      <c r="AC97" s="173">
        <v>33385551.260000002</v>
      </c>
    </row>
    <row r="98" spans="2:29" hidden="1" outlineLevel="1" x14ac:dyDescent="0.25">
      <c r="B98" s="205">
        <v>41609</v>
      </c>
      <c r="C98" s="357">
        <v>339536</v>
      </c>
      <c r="D98" s="357">
        <v>26332025.090816222</v>
      </c>
      <c r="E98" s="357">
        <v>16901835.811999999</v>
      </c>
      <c r="F98" s="357">
        <v>247347</v>
      </c>
      <c r="G98" s="357">
        <v>19294437.055115607</v>
      </c>
      <c r="H98" s="357">
        <v>12384592.755999999</v>
      </c>
      <c r="I98" s="357">
        <v>586883</v>
      </c>
      <c r="J98" s="357">
        <v>45626462.145931832</v>
      </c>
      <c r="K98" s="357">
        <v>29286428.568</v>
      </c>
      <c r="L98" s="357">
        <v>30254</v>
      </c>
      <c r="M98" s="357">
        <v>3807037.0090398062</v>
      </c>
      <c r="N98" s="357">
        <v>2443637.139</v>
      </c>
      <c r="O98" s="357">
        <v>24221</v>
      </c>
      <c r="P98" s="357">
        <v>2992969.3372702054</v>
      </c>
      <c r="Q98" s="357">
        <v>1921108.466</v>
      </c>
      <c r="R98" s="357">
        <v>54475</v>
      </c>
      <c r="S98" s="357">
        <v>6800006.346310012</v>
      </c>
      <c r="T98" s="357">
        <v>4364745.6050000004</v>
      </c>
      <c r="U98" s="357">
        <v>369790</v>
      </c>
      <c r="V98" s="357">
        <v>30139062.09985603</v>
      </c>
      <c r="W98" s="357">
        <v>19345472.951000001</v>
      </c>
      <c r="X98" s="357">
        <v>271568</v>
      </c>
      <c r="Y98" s="357">
        <v>22287406.392385814</v>
      </c>
      <c r="Z98" s="357">
        <v>14305701.221999999</v>
      </c>
      <c r="AA98" s="357">
        <v>641358</v>
      </c>
      <c r="AB98" s="357">
        <v>52426468.492241845</v>
      </c>
      <c r="AC98" s="173">
        <v>33651174.173</v>
      </c>
    </row>
    <row r="99" spans="2:29" collapsed="1" x14ac:dyDescent="0.25">
      <c r="B99" s="359" t="s">
        <v>704</v>
      </c>
      <c r="C99" s="358">
        <v>327092.08333333331</v>
      </c>
      <c r="D99" s="358">
        <v>25016523.117454503</v>
      </c>
      <c r="E99" s="358"/>
      <c r="F99" s="358">
        <v>237763.33333333334</v>
      </c>
      <c r="G99" s="358">
        <v>18381675.324337389</v>
      </c>
      <c r="H99" s="358"/>
      <c r="I99" s="358">
        <v>564855.41666666663</v>
      </c>
      <c r="J99" s="358">
        <v>43398198.441791907</v>
      </c>
      <c r="K99" s="358"/>
      <c r="L99" s="358">
        <v>26607.083333333332</v>
      </c>
      <c r="M99" s="358">
        <v>3392921.3155187308</v>
      </c>
      <c r="N99" s="358"/>
      <c r="O99" s="358">
        <v>21058.833333333332</v>
      </c>
      <c r="P99" s="358">
        <v>2627305.3091609799</v>
      </c>
      <c r="Q99" s="358"/>
      <c r="R99" s="358">
        <v>47665.916666666664</v>
      </c>
      <c r="S99" s="358">
        <v>6020226.6246797098</v>
      </c>
      <c r="T99" s="358"/>
      <c r="U99" s="358">
        <v>353699.16666666669</v>
      </c>
      <c r="V99" s="358">
        <v>28409444.432973236</v>
      </c>
      <c r="W99" s="358"/>
      <c r="X99" s="358">
        <v>258822.16666666666</v>
      </c>
      <c r="Y99" s="358">
        <v>21008980.633498367</v>
      </c>
      <c r="Z99" s="358"/>
      <c r="AA99" s="358">
        <v>612521.33333333337</v>
      </c>
      <c r="AB99" s="358">
        <v>49418425.066471606</v>
      </c>
      <c r="AC99" s="361"/>
    </row>
    <row r="100" spans="2:29" hidden="1" outlineLevel="1" x14ac:dyDescent="0.25">
      <c r="B100" s="205">
        <v>41640</v>
      </c>
      <c r="C100" s="357">
        <v>343977</v>
      </c>
      <c r="D100" s="357">
        <v>26465096.859613907</v>
      </c>
      <c r="E100" s="357">
        <v>17017659.096000001</v>
      </c>
      <c r="F100" s="357">
        <v>250199</v>
      </c>
      <c r="G100" s="357">
        <v>19323098.784586065</v>
      </c>
      <c r="H100" s="357">
        <v>12425191.925000001</v>
      </c>
      <c r="I100" s="357">
        <v>594176</v>
      </c>
      <c r="J100" s="357">
        <v>45788195.644199967</v>
      </c>
      <c r="K100" s="357">
        <v>29442851.021000002</v>
      </c>
      <c r="L100" s="357">
        <v>30730</v>
      </c>
      <c r="M100" s="357">
        <v>3874981.7388284667</v>
      </c>
      <c r="N100" s="357">
        <v>2491701.375</v>
      </c>
      <c r="O100" s="357">
        <v>24692</v>
      </c>
      <c r="P100" s="357">
        <v>3059208.2888383735</v>
      </c>
      <c r="Q100" s="357">
        <v>1967140.496</v>
      </c>
      <c r="R100" s="357">
        <v>55422</v>
      </c>
      <c r="S100" s="357">
        <v>6934190.0276668407</v>
      </c>
      <c r="T100" s="357">
        <v>4458841.8710000003</v>
      </c>
      <c r="U100" s="357">
        <v>374707</v>
      </c>
      <c r="V100" s="357">
        <v>30340078.598442372</v>
      </c>
      <c r="W100" s="357">
        <v>19509360.471000001</v>
      </c>
      <c r="X100" s="357">
        <v>274891</v>
      </c>
      <c r="Y100" s="357">
        <v>22382307.07342444</v>
      </c>
      <c r="Z100" s="357">
        <v>14392332.421</v>
      </c>
      <c r="AA100" s="357">
        <v>649598</v>
      </c>
      <c r="AB100" s="357">
        <v>52722385.671866804</v>
      </c>
      <c r="AC100" s="173">
        <v>33901692.891999997</v>
      </c>
    </row>
    <row r="101" spans="2:29" hidden="1" outlineLevel="1" x14ac:dyDescent="0.25">
      <c r="B101" s="205">
        <v>41671</v>
      </c>
      <c r="C101" s="357">
        <v>345030</v>
      </c>
      <c r="D101" s="357">
        <v>26138443.775042571</v>
      </c>
      <c r="E101" s="357">
        <v>16889411.190000001</v>
      </c>
      <c r="F101" s="357">
        <v>250279</v>
      </c>
      <c r="G101" s="357">
        <v>19202406.565880712</v>
      </c>
      <c r="H101" s="357">
        <v>12407675.955</v>
      </c>
      <c r="I101" s="357">
        <v>595309</v>
      </c>
      <c r="J101" s="357">
        <v>45340850.340923287</v>
      </c>
      <c r="K101" s="357">
        <v>29297087.145</v>
      </c>
      <c r="L101" s="357">
        <v>31813</v>
      </c>
      <c r="M101" s="357">
        <v>4095348.1157025262</v>
      </c>
      <c r="N101" s="357">
        <v>2646217.9190000002</v>
      </c>
      <c r="O101" s="357">
        <v>25927</v>
      </c>
      <c r="P101" s="357">
        <v>3231008.0094654369</v>
      </c>
      <c r="Q101" s="357">
        <v>2087722.716</v>
      </c>
      <c r="R101" s="357">
        <v>57740</v>
      </c>
      <c r="S101" s="357">
        <v>7326356.1251679631</v>
      </c>
      <c r="T101" s="357">
        <v>4733940.6349999998</v>
      </c>
      <c r="U101" s="357">
        <v>376843</v>
      </c>
      <c r="V101" s="357">
        <v>30233791.8907451</v>
      </c>
      <c r="W101" s="357">
        <v>19535629.109000001</v>
      </c>
      <c r="X101" s="357">
        <v>276206</v>
      </c>
      <c r="Y101" s="357">
        <v>22433414.57534615</v>
      </c>
      <c r="Z101" s="357">
        <v>14495398.671</v>
      </c>
      <c r="AA101" s="357">
        <v>653049</v>
      </c>
      <c r="AB101" s="357">
        <v>52667206.466091245</v>
      </c>
      <c r="AC101" s="173">
        <v>34031027.780000001</v>
      </c>
    </row>
    <row r="102" spans="2:29" hidden="1" outlineLevel="1" x14ac:dyDescent="0.25">
      <c r="B102" s="205">
        <v>41699</v>
      </c>
      <c r="C102" s="357">
        <v>347209</v>
      </c>
      <c r="D102" s="357">
        <v>26107345.525301106</v>
      </c>
      <c r="E102" s="357">
        <v>17010565.614999998</v>
      </c>
      <c r="F102" s="357">
        <v>251731</v>
      </c>
      <c r="G102" s="357">
        <v>19171570.736780331</v>
      </c>
      <c r="H102" s="357">
        <v>12491475.307</v>
      </c>
      <c r="I102" s="357">
        <v>598940</v>
      </c>
      <c r="J102" s="357">
        <v>45278916.262081437</v>
      </c>
      <c r="K102" s="357">
        <v>29502040.921999998</v>
      </c>
      <c r="L102" s="357">
        <v>32148</v>
      </c>
      <c r="M102" s="357">
        <v>4094257.4475989947</v>
      </c>
      <c r="N102" s="357">
        <v>2667664.3509999998</v>
      </c>
      <c r="O102" s="357">
        <v>26144</v>
      </c>
      <c r="P102" s="357">
        <v>3213906.1068544397</v>
      </c>
      <c r="Q102" s="357">
        <v>2094060.4879999999</v>
      </c>
      <c r="R102" s="357">
        <v>58292</v>
      </c>
      <c r="S102" s="357">
        <v>7308163.5544534354</v>
      </c>
      <c r="T102" s="357">
        <v>4761724.8389999997</v>
      </c>
      <c r="U102" s="357">
        <v>379357</v>
      </c>
      <c r="V102" s="357">
        <v>30201602.9729001</v>
      </c>
      <c r="W102" s="357">
        <v>19678229.965999998</v>
      </c>
      <c r="X102" s="357">
        <v>277875</v>
      </c>
      <c r="Y102" s="357">
        <v>22385476.843634769</v>
      </c>
      <c r="Z102" s="357">
        <v>14585535.795</v>
      </c>
      <c r="AA102" s="357">
        <v>657232</v>
      </c>
      <c r="AB102" s="357">
        <v>52587079.816534877</v>
      </c>
      <c r="AC102" s="173">
        <v>34263765.761</v>
      </c>
    </row>
    <row r="103" spans="2:29" hidden="1" outlineLevel="1" x14ac:dyDescent="0.25">
      <c r="B103" s="205">
        <v>41730</v>
      </c>
      <c r="C103" s="357">
        <v>348949</v>
      </c>
      <c r="D103" s="357">
        <v>26005018.749502786</v>
      </c>
      <c r="E103" s="357">
        <v>17049109.342</v>
      </c>
      <c r="F103" s="357">
        <v>253310</v>
      </c>
      <c r="G103" s="357">
        <v>19159186.31198214</v>
      </c>
      <c r="H103" s="357">
        <v>12560923.931</v>
      </c>
      <c r="I103" s="357">
        <v>602259</v>
      </c>
      <c r="J103" s="357">
        <v>45164205.061484925</v>
      </c>
      <c r="K103" s="357">
        <v>29610033.272999998</v>
      </c>
      <c r="L103" s="357">
        <v>32204</v>
      </c>
      <c r="M103" s="357">
        <v>3985197.0946017299</v>
      </c>
      <c r="N103" s="357">
        <v>2612728.784</v>
      </c>
      <c r="O103" s="357">
        <v>26100</v>
      </c>
      <c r="P103" s="357">
        <v>3146632.8031665203</v>
      </c>
      <c r="Q103" s="357">
        <v>2062958.9709999999</v>
      </c>
      <c r="R103" s="357">
        <v>58304</v>
      </c>
      <c r="S103" s="357">
        <v>7131829.8977682507</v>
      </c>
      <c r="T103" s="357">
        <v>4675687.7549999999</v>
      </c>
      <c r="U103" s="357">
        <v>381153</v>
      </c>
      <c r="V103" s="357">
        <v>29990215.84410451</v>
      </c>
      <c r="W103" s="357">
        <v>19661838.125999998</v>
      </c>
      <c r="X103" s="357">
        <v>279410</v>
      </c>
      <c r="Y103" s="357">
        <v>22305819.11514866</v>
      </c>
      <c r="Z103" s="357">
        <v>14623882.902000001</v>
      </c>
      <c r="AA103" s="357">
        <v>660563</v>
      </c>
      <c r="AB103" s="357">
        <v>52296034.959253177</v>
      </c>
      <c r="AC103" s="173">
        <v>34285721.027999997</v>
      </c>
    </row>
    <row r="104" spans="2:29" hidden="1" outlineLevel="1" x14ac:dyDescent="0.25">
      <c r="B104" s="205">
        <v>41760</v>
      </c>
      <c r="C104" s="357">
        <v>350968</v>
      </c>
      <c r="D104" s="357">
        <v>26144998.059321497</v>
      </c>
      <c r="E104" s="357">
        <v>17198754.386999998</v>
      </c>
      <c r="F104" s="357">
        <v>254716</v>
      </c>
      <c r="G104" s="357">
        <v>19211309.27786326</v>
      </c>
      <c r="H104" s="357">
        <v>12637621.505000001</v>
      </c>
      <c r="I104" s="357">
        <v>605684</v>
      </c>
      <c r="J104" s="357">
        <v>45356307.337184757</v>
      </c>
      <c r="K104" s="357">
        <v>29836375.892000001</v>
      </c>
      <c r="L104" s="357">
        <v>32394</v>
      </c>
      <c r="M104" s="357">
        <v>4000920.6663060854</v>
      </c>
      <c r="N104" s="357">
        <v>2631893.554</v>
      </c>
      <c r="O104" s="357">
        <v>26240</v>
      </c>
      <c r="P104" s="357">
        <v>3152848.5068552108</v>
      </c>
      <c r="Q104" s="357">
        <v>2074013.047</v>
      </c>
      <c r="R104" s="357">
        <v>58634</v>
      </c>
      <c r="S104" s="357">
        <v>7153769.1731612962</v>
      </c>
      <c r="T104" s="357">
        <v>4705906.6009999998</v>
      </c>
      <c r="U104" s="357">
        <v>383362</v>
      </c>
      <c r="V104" s="357">
        <v>30145918.725627579</v>
      </c>
      <c r="W104" s="357">
        <v>19830647.941</v>
      </c>
      <c r="X104" s="357">
        <v>280956</v>
      </c>
      <c r="Y104" s="357">
        <v>22364157.784718473</v>
      </c>
      <c r="Z104" s="357">
        <v>14711634.551999999</v>
      </c>
      <c r="AA104" s="357">
        <v>664318</v>
      </c>
      <c r="AB104" s="357">
        <v>52510076.510346055</v>
      </c>
      <c r="AC104" s="173">
        <v>34542282.493000001</v>
      </c>
    </row>
    <row r="105" spans="2:29" hidden="1" outlineLevel="1" x14ac:dyDescent="0.25">
      <c r="B105" s="205">
        <v>41791</v>
      </c>
      <c r="C105" s="357">
        <v>353222</v>
      </c>
      <c r="D105" s="357">
        <v>26678770.339081652</v>
      </c>
      <c r="E105" s="357">
        <v>17558967.081</v>
      </c>
      <c r="F105" s="357">
        <v>256647</v>
      </c>
      <c r="G105" s="357">
        <v>19660725.722664904</v>
      </c>
      <c r="H105" s="357">
        <v>12939953.055</v>
      </c>
      <c r="I105" s="357">
        <v>609869</v>
      </c>
      <c r="J105" s="357">
        <v>46339496.06174656</v>
      </c>
      <c r="K105" s="357">
        <v>30498920.136</v>
      </c>
      <c r="L105" s="357">
        <v>32788</v>
      </c>
      <c r="M105" s="357">
        <v>4086922.6436945843</v>
      </c>
      <c r="N105" s="357">
        <v>2689859.3620000002</v>
      </c>
      <c r="O105" s="357">
        <v>26540</v>
      </c>
      <c r="P105" s="357">
        <v>3188808.6144393627</v>
      </c>
      <c r="Q105" s="357">
        <v>2098754.3569999998</v>
      </c>
      <c r="R105" s="357">
        <v>59328</v>
      </c>
      <c r="S105" s="357">
        <v>7275731.258133946</v>
      </c>
      <c r="T105" s="357">
        <v>4788613.7189999996</v>
      </c>
      <c r="U105" s="357">
        <v>386010</v>
      </c>
      <c r="V105" s="357">
        <v>30765692.982776236</v>
      </c>
      <c r="W105" s="357">
        <v>20248826.443</v>
      </c>
      <c r="X105" s="357">
        <v>283187</v>
      </c>
      <c r="Y105" s="357">
        <v>22849534.337104268</v>
      </c>
      <c r="Z105" s="357">
        <v>15038707.412</v>
      </c>
      <c r="AA105" s="357">
        <v>669197</v>
      </c>
      <c r="AB105" s="357">
        <v>53615227.3198805</v>
      </c>
      <c r="AC105" s="173">
        <v>35287533.854999997</v>
      </c>
    </row>
    <row r="106" spans="2:29" hidden="1" outlineLevel="1" x14ac:dyDescent="0.25">
      <c r="B106" s="205">
        <v>41821</v>
      </c>
      <c r="C106" s="357">
        <v>355536</v>
      </c>
      <c r="D106" s="357">
        <v>27333309.074888196</v>
      </c>
      <c r="E106" s="357">
        <v>18031541.399</v>
      </c>
      <c r="F106" s="357">
        <v>259553</v>
      </c>
      <c r="G106" s="357">
        <v>20531738.370674945</v>
      </c>
      <c r="H106" s="357">
        <v>13544605.573000001</v>
      </c>
      <c r="I106" s="357">
        <v>615089</v>
      </c>
      <c r="J106" s="357">
        <v>47865047.445563138</v>
      </c>
      <c r="K106" s="357">
        <v>31576146.971999999</v>
      </c>
      <c r="L106" s="357">
        <v>33848</v>
      </c>
      <c r="M106" s="357">
        <v>4368203.4987676647</v>
      </c>
      <c r="N106" s="357">
        <v>2881665.0780000002</v>
      </c>
      <c r="O106" s="357">
        <v>27793</v>
      </c>
      <c r="P106" s="357">
        <v>3477593.9070814797</v>
      </c>
      <c r="Q106" s="357">
        <v>2294137.835</v>
      </c>
      <c r="R106" s="357">
        <v>61641</v>
      </c>
      <c r="S106" s="357">
        <v>7845797.4058491439</v>
      </c>
      <c r="T106" s="357">
        <v>5175802.9129999997</v>
      </c>
      <c r="U106" s="357">
        <v>389384</v>
      </c>
      <c r="V106" s="357">
        <v>31701512.573655859</v>
      </c>
      <c r="W106" s="357">
        <v>20913206.477000002</v>
      </c>
      <c r="X106" s="357">
        <v>287346</v>
      </c>
      <c r="Y106" s="357">
        <v>24009332.277756423</v>
      </c>
      <c r="Z106" s="357">
        <v>15838743.408</v>
      </c>
      <c r="AA106" s="357">
        <v>676730</v>
      </c>
      <c r="AB106" s="357">
        <v>55710844.851412281</v>
      </c>
      <c r="AC106" s="173">
        <v>36751949.884999998</v>
      </c>
    </row>
    <row r="107" spans="2:29" hidden="1" outlineLevel="1" x14ac:dyDescent="0.25">
      <c r="B107" s="205">
        <v>41852</v>
      </c>
      <c r="C107" s="357">
        <v>357619</v>
      </c>
      <c r="D107" s="357">
        <v>28730673.343529545</v>
      </c>
      <c r="E107" s="357">
        <v>19014907</v>
      </c>
      <c r="F107" s="357">
        <v>261086</v>
      </c>
      <c r="G107" s="357">
        <v>21067863.251017001</v>
      </c>
      <c r="H107" s="357">
        <v>13943406.603</v>
      </c>
      <c r="I107" s="357">
        <v>618705</v>
      </c>
      <c r="J107" s="357">
        <v>49798536.594546549</v>
      </c>
      <c r="K107" s="357">
        <v>32958313.603</v>
      </c>
      <c r="L107" s="357">
        <v>34057</v>
      </c>
      <c r="M107" s="357">
        <v>4337089.1378105721</v>
      </c>
      <c r="N107" s="357">
        <v>2870428.605</v>
      </c>
      <c r="O107" s="357">
        <v>28023</v>
      </c>
      <c r="P107" s="357">
        <v>3477311.3859085999</v>
      </c>
      <c r="Q107" s="357">
        <v>2301399.338</v>
      </c>
      <c r="R107" s="357">
        <v>62080</v>
      </c>
      <c r="S107" s="357">
        <v>7814400.5237191711</v>
      </c>
      <c r="T107" s="357">
        <v>5171827.943</v>
      </c>
      <c r="U107" s="357">
        <v>391676</v>
      </c>
      <c r="V107" s="357">
        <v>33067762.481340114</v>
      </c>
      <c r="W107" s="357">
        <v>21885335.605</v>
      </c>
      <c r="X107" s="357">
        <v>289109</v>
      </c>
      <c r="Y107" s="357">
        <v>24545174.6369256</v>
      </c>
      <c r="Z107" s="357">
        <v>16244805.941</v>
      </c>
      <c r="AA107" s="357">
        <v>680785</v>
      </c>
      <c r="AB107" s="357">
        <v>57612937.118265718</v>
      </c>
      <c r="AC107" s="173">
        <v>38130141.545999996</v>
      </c>
    </row>
    <row r="108" spans="2:29" hidden="1" outlineLevel="1" x14ac:dyDescent="0.25">
      <c r="B108" s="205">
        <v>41883</v>
      </c>
      <c r="C108" s="357">
        <v>360197</v>
      </c>
      <c r="D108" s="357">
        <v>28889912.95068061</v>
      </c>
      <c r="E108" s="357">
        <v>19280307.316</v>
      </c>
      <c r="F108" s="357">
        <v>262411</v>
      </c>
      <c r="G108" s="357">
        <v>21108760.265071969</v>
      </c>
      <c r="H108" s="357">
        <v>14087387.028999999</v>
      </c>
      <c r="I108" s="357">
        <v>622608</v>
      </c>
      <c r="J108" s="357">
        <v>49998673.215752579</v>
      </c>
      <c r="K108" s="357">
        <v>33367694.344999999</v>
      </c>
      <c r="L108" s="357">
        <v>34152</v>
      </c>
      <c r="M108" s="357">
        <v>4269290.1702899644</v>
      </c>
      <c r="N108" s="357">
        <v>2849202.9950000001</v>
      </c>
      <c r="O108" s="357">
        <v>28113</v>
      </c>
      <c r="P108" s="357">
        <v>3412957.6782092694</v>
      </c>
      <c r="Q108" s="357">
        <v>2277711.0129999998</v>
      </c>
      <c r="R108" s="357">
        <v>62265</v>
      </c>
      <c r="S108" s="357">
        <v>7682247.8484992338</v>
      </c>
      <c r="T108" s="357">
        <v>5126914.0080000004</v>
      </c>
      <c r="U108" s="357">
        <v>394349</v>
      </c>
      <c r="V108" s="357">
        <v>33159203.120970577</v>
      </c>
      <c r="W108" s="357">
        <v>22129510.311000001</v>
      </c>
      <c r="X108" s="357">
        <v>290524</v>
      </c>
      <c r="Y108" s="357">
        <v>24521717.943281237</v>
      </c>
      <c r="Z108" s="357">
        <v>16365098.041999999</v>
      </c>
      <c r="AA108" s="357">
        <v>684873</v>
      </c>
      <c r="AB108" s="357">
        <v>57680921.064251818</v>
      </c>
      <c r="AC108" s="173">
        <v>38494608.353</v>
      </c>
    </row>
    <row r="109" spans="2:29" hidden="1" outlineLevel="1" x14ac:dyDescent="0.25">
      <c r="B109" s="205">
        <v>41913</v>
      </c>
      <c r="C109" s="357">
        <v>362823</v>
      </c>
      <c r="D109" s="357">
        <v>28815863.448856357</v>
      </c>
      <c r="E109" s="357">
        <v>19431069.140000001</v>
      </c>
      <c r="F109" s="357">
        <v>264197</v>
      </c>
      <c r="G109" s="357">
        <v>20985443.730313651</v>
      </c>
      <c r="H109" s="357">
        <v>14150872.445</v>
      </c>
      <c r="I109" s="357">
        <v>627020</v>
      </c>
      <c r="J109" s="357">
        <v>49801307.179170005</v>
      </c>
      <c r="K109" s="357">
        <v>33581941.585000001</v>
      </c>
      <c r="L109" s="357">
        <v>34073</v>
      </c>
      <c r="M109" s="357">
        <v>4245567.0202595852</v>
      </c>
      <c r="N109" s="357">
        <v>2862864.2850000001</v>
      </c>
      <c r="O109" s="357">
        <v>27992</v>
      </c>
      <c r="P109" s="357">
        <v>3401623.3588759545</v>
      </c>
      <c r="Q109" s="357">
        <v>2293777.4810000001</v>
      </c>
      <c r="R109" s="357">
        <v>62065</v>
      </c>
      <c r="S109" s="357">
        <v>7647190.3791355398</v>
      </c>
      <c r="T109" s="357">
        <v>5156641.7659999998</v>
      </c>
      <c r="U109" s="357">
        <v>396896</v>
      </c>
      <c r="V109" s="357">
        <v>33061430.469115943</v>
      </c>
      <c r="W109" s="357">
        <v>22293933.425000001</v>
      </c>
      <c r="X109" s="357">
        <v>292189</v>
      </c>
      <c r="Y109" s="357">
        <v>24387067.089189604</v>
      </c>
      <c r="Z109" s="357">
        <v>16444649.926000001</v>
      </c>
      <c r="AA109" s="357">
        <v>689085</v>
      </c>
      <c r="AB109" s="357">
        <v>57448497.558305547</v>
      </c>
      <c r="AC109" s="173">
        <v>38738583.351000004</v>
      </c>
    </row>
    <row r="110" spans="2:29" hidden="1" outlineLevel="1" x14ac:dyDescent="0.25">
      <c r="B110" s="205">
        <v>41944</v>
      </c>
      <c r="C110" s="357">
        <v>364650</v>
      </c>
      <c r="D110" s="357">
        <v>28888403.456672233</v>
      </c>
      <c r="E110" s="357">
        <v>19484811.820999999</v>
      </c>
      <c r="F110" s="357">
        <v>265553</v>
      </c>
      <c r="G110" s="357">
        <v>21071934.475108095</v>
      </c>
      <c r="H110" s="357">
        <v>14212716.136</v>
      </c>
      <c r="I110" s="357">
        <v>630203</v>
      </c>
      <c r="J110" s="357">
        <v>49960337.931780323</v>
      </c>
      <c r="K110" s="357">
        <v>33697527.957000002</v>
      </c>
      <c r="L110" s="357">
        <v>34283</v>
      </c>
      <c r="M110" s="357">
        <v>4264374.5350089213</v>
      </c>
      <c r="N110" s="357">
        <v>2876259.17</v>
      </c>
      <c r="O110" s="357">
        <v>28146</v>
      </c>
      <c r="P110" s="357">
        <v>3438011.533215188</v>
      </c>
      <c r="Q110" s="357">
        <v>2318889.2340000002</v>
      </c>
      <c r="R110" s="357">
        <v>62429</v>
      </c>
      <c r="S110" s="357">
        <v>7702386.0682241088</v>
      </c>
      <c r="T110" s="357">
        <v>5195148.4040000001</v>
      </c>
      <c r="U110" s="357">
        <v>398933</v>
      </c>
      <c r="V110" s="357">
        <v>33152777.991681151</v>
      </c>
      <c r="W110" s="357">
        <v>22361070.991</v>
      </c>
      <c r="X110" s="357">
        <v>293699</v>
      </c>
      <c r="Y110" s="357">
        <v>24509946.008323282</v>
      </c>
      <c r="Z110" s="357">
        <v>16531605.369999999</v>
      </c>
      <c r="AA110" s="357">
        <v>692632</v>
      </c>
      <c r="AB110" s="357">
        <v>57662724.000004433</v>
      </c>
      <c r="AC110" s="173">
        <v>38892676.361000001</v>
      </c>
    </row>
    <row r="111" spans="2:29" hidden="1" outlineLevel="1" x14ac:dyDescent="0.25">
      <c r="B111" s="205">
        <v>41974</v>
      </c>
      <c r="C111" s="357">
        <v>367802</v>
      </c>
      <c r="D111" s="357">
        <v>29538527.372640003</v>
      </c>
      <c r="E111" s="357">
        <v>19840959.570999999</v>
      </c>
      <c r="F111" s="357">
        <v>267943</v>
      </c>
      <c r="G111" s="357">
        <v>21502042.719019253</v>
      </c>
      <c r="H111" s="357">
        <v>14442871.674000001</v>
      </c>
      <c r="I111" s="357">
        <v>635745</v>
      </c>
      <c r="J111" s="357">
        <v>51040570.091659255</v>
      </c>
      <c r="K111" s="357">
        <v>34283831.244999997</v>
      </c>
      <c r="L111" s="357">
        <v>34413</v>
      </c>
      <c r="M111" s="357">
        <v>4285445.8567617759</v>
      </c>
      <c r="N111" s="357">
        <v>2878523.9330000002</v>
      </c>
      <c r="O111" s="357">
        <v>28268</v>
      </c>
      <c r="P111" s="357">
        <v>3417158.9533003252</v>
      </c>
      <c r="Q111" s="357">
        <v>2295297.656</v>
      </c>
      <c r="R111" s="357">
        <v>62681</v>
      </c>
      <c r="S111" s="357">
        <v>7702604.8100621011</v>
      </c>
      <c r="T111" s="357">
        <v>5173821.5889999997</v>
      </c>
      <c r="U111" s="357">
        <v>402215</v>
      </c>
      <c r="V111" s="357">
        <v>33823973.229401782</v>
      </c>
      <c r="W111" s="357">
        <v>22719483.504000001</v>
      </c>
      <c r="X111" s="357">
        <v>296211</v>
      </c>
      <c r="Y111" s="357">
        <v>24919201.67231958</v>
      </c>
      <c r="Z111" s="357">
        <v>16738169.33</v>
      </c>
      <c r="AA111" s="357">
        <v>698426</v>
      </c>
      <c r="AB111" s="357">
        <v>58743174.901721358</v>
      </c>
      <c r="AC111" s="173">
        <v>39457652.833999999</v>
      </c>
    </row>
    <row r="112" spans="2:29" collapsed="1" x14ac:dyDescent="0.25">
      <c r="B112" s="359" t="s">
        <v>705</v>
      </c>
      <c r="C112" s="358">
        <v>354831.83333333331</v>
      </c>
      <c r="D112" s="358">
        <v>27478030.246260878</v>
      </c>
      <c r="E112" s="358"/>
      <c r="F112" s="358">
        <v>258135.41666666666</v>
      </c>
      <c r="G112" s="358">
        <v>20166340.017580193</v>
      </c>
      <c r="H112" s="358"/>
      <c r="I112" s="358">
        <v>612967.25</v>
      </c>
      <c r="J112" s="358">
        <v>47644370.26384107</v>
      </c>
      <c r="K112" s="358"/>
      <c r="L112" s="358">
        <v>33075.25</v>
      </c>
      <c r="M112" s="358">
        <v>4158966.4938025731</v>
      </c>
      <c r="N112" s="358"/>
      <c r="O112" s="358">
        <v>26998.166666666668</v>
      </c>
      <c r="P112" s="358">
        <v>3301422.4288508468</v>
      </c>
      <c r="Q112" s="358"/>
      <c r="R112" s="358">
        <v>60073.416666666664</v>
      </c>
      <c r="S112" s="358">
        <v>7460388.922653418</v>
      </c>
      <c r="T112" s="358"/>
      <c r="U112" s="358">
        <v>387907.08333333331</v>
      </c>
      <c r="V112" s="358">
        <v>31636996.740063448</v>
      </c>
      <c r="W112" s="358"/>
      <c r="X112" s="358">
        <v>285133.58333333331</v>
      </c>
      <c r="Y112" s="358">
        <v>23467762.446431041</v>
      </c>
      <c r="Z112" s="358"/>
      <c r="AA112" s="358">
        <v>673040.66666666663</v>
      </c>
      <c r="AB112" s="358">
        <v>55104759.186494492</v>
      </c>
      <c r="AC112" s="361"/>
    </row>
    <row r="113" spans="2:29" hidden="1" outlineLevel="1" x14ac:dyDescent="0.25">
      <c r="B113" s="205">
        <v>42005</v>
      </c>
      <c r="C113" s="357">
        <v>373408</v>
      </c>
      <c r="D113" s="357">
        <v>29588310.713459682</v>
      </c>
      <c r="E113" s="357">
        <v>19889787.521000002</v>
      </c>
      <c r="F113" s="357">
        <v>270420</v>
      </c>
      <c r="G113" s="357">
        <v>21989349.937455386</v>
      </c>
      <c r="H113" s="357">
        <v>14781631.24</v>
      </c>
      <c r="I113" s="357">
        <v>643828</v>
      </c>
      <c r="J113" s="357">
        <v>51577660.650915071</v>
      </c>
      <c r="K113" s="357">
        <v>34671418.761</v>
      </c>
      <c r="L113" s="357">
        <v>34985</v>
      </c>
      <c r="M113" s="357">
        <v>4371439.9473457597</v>
      </c>
      <c r="N113" s="357">
        <v>2938559.5060000001</v>
      </c>
      <c r="O113" s="357">
        <v>28687</v>
      </c>
      <c r="P113" s="357">
        <v>3476886.0858564689</v>
      </c>
      <c r="Q113" s="357">
        <v>2337224.5260000001</v>
      </c>
      <c r="R113" s="357">
        <v>63672</v>
      </c>
      <c r="S113" s="357">
        <v>7848326.0332022281</v>
      </c>
      <c r="T113" s="357">
        <v>5275784.0319999997</v>
      </c>
      <c r="U113" s="357">
        <v>408393</v>
      </c>
      <c r="V113" s="357">
        <v>33959750.660805441</v>
      </c>
      <c r="W113" s="357">
        <v>22828347.026999999</v>
      </c>
      <c r="X113" s="357">
        <v>299107</v>
      </c>
      <c r="Y113" s="357">
        <v>25466236.023311861</v>
      </c>
      <c r="Z113" s="357">
        <v>17118855.765999999</v>
      </c>
      <c r="AA113" s="357">
        <v>707500</v>
      </c>
      <c r="AB113" s="357">
        <v>59425986.684117302</v>
      </c>
      <c r="AC113" s="173">
        <v>39947202.792999998</v>
      </c>
    </row>
    <row r="114" spans="2:29" hidden="1" outlineLevel="1" x14ac:dyDescent="0.25">
      <c r="B114" s="205">
        <v>42036</v>
      </c>
      <c r="C114" s="357">
        <v>375153</v>
      </c>
      <c r="D114" s="357">
        <v>29119545.829891767</v>
      </c>
      <c r="E114" s="357">
        <v>19643531.188999999</v>
      </c>
      <c r="F114" s="357">
        <v>271647</v>
      </c>
      <c r="G114" s="357">
        <v>21206101.524471402</v>
      </c>
      <c r="H114" s="357">
        <v>14305261.460000001</v>
      </c>
      <c r="I114" s="357">
        <v>646800</v>
      </c>
      <c r="J114" s="357">
        <v>50325647.354363166</v>
      </c>
      <c r="K114" s="357">
        <v>33948792.648999996</v>
      </c>
      <c r="L114" s="357">
        <v>35009</v>
      </c>
      <c r="M114" s="357">
        <v>4342531.9040307896</v>
      </c>
      <c r="N114" s="357">
        <v>2929395.307</v>
      </c>
      <c r="O114" s="357">
        <v>28687</v>
      </c>
      <c r="P114" s="357">
        <v>3449669.5509829544</v>
      </c>
      <c r="Q114" s="357">
        <v>2327086.1370000001</v>
      </c>
      <c r="R114" s="357">
        <v>63696</v>
      </c>
      <c r="S114" s="357">
        <v>7792201.4550137436</v>
      </c>
      <c r="T114" s="357">
        <v>5256481.4440000001</v>
      </c>
      <c r="U114" s="357">
        <v>410162</v>
      </c>
      <c r="V114" s="357">
        <v>33462077.733922556</v>
      </c>
      <c r="W114" s="357">
        <v>22572926.495999999</v>
      </c>
      <c r="X114" s="357">
        <v>300334</v>
      </c>
      <c r="Y114" s="357">
        <v>24655771.075454358</v>
      </c>
      <c r="Z114" s="357">
        <v>16632347.596999999</v>
      </c>
      <c r="AA114" s="357">
        <v>710496</v>
      </c>
      <c r="AB114" s="357">
        <v>58117848.809376918</v>
      </c>
      <c r="AC114" s="173">
        <v>39205274.093000002</v>
      </c>
    </row>
    <row r="115" spans="2:29" hidden="1" outlineLevel="1" x14ac:dyDescent="0.25">
      <c r="B115" s="205">
        <v>42064</v>
      </c>
      <c r="C115" s="357">
        <v>377612</v>
      </c>
      <c r="D115" s="357">
        <v>29215551.369489662</v>
      </c>
      <c r="E115" s="357">
        <v>19832220.368999999</v>
      </c>
      <c r="F115" s="357">
        <v>273086</v>
      </c>
      <c r="G115" s="357">
        <v>21230817.747418582</v>
      </c>
      <c r="H115" s="357">
        <v>14411990.753</v>
      </c>
      <c r="I115" s="357">
        <v>650698</v>
      </c>
      <c r="J115" s="357">
        <v>50446369.116908252</v>
      </c>
      <c r="K115" s="357">
        <v>34244211.122000001</v>
      </c>
      <c r="L115" s="357">
        <v>35086</v>
      </c>
      <c r="M115" s="357">
        <v>4327225.6204785882</v>
      </c>
      <c r="N115" s="357">
        <v>2937425.0380000002</v>
      </c>
      <c r="O115" s="357">
        <v>28777</v>
      </c>
      <c r="P115" s="357">
        <v>3464019.8122817129</v>
      </c>
      <c r="Q115" s="357">
        <v>2351460.1320000002</v>
      </c>
      <c r="R115" s="357">
        <v>63863</v>
      </c>
      <c r="S115" s="357">
        <v>7791245.432760302</v>
      </c>
      <c r="T115" s="357">
        <v>5288885.17</v>
      </c>
      <c r="U115" s="357">
        <v>412698</v>
      </c>
      <c r="V115" s="357">
        <v>33542776.989968251</v>
      </c>
      <c r="W115" s="357">
        <v>22769645.407000002</v>
      </c>
      <c r="X115" s="357">
        <v>301863</v>
      </c>
      <c r="Y115" s="357">
        <v>24694837.559700295</v>
      </c>
      <c r="Z115" s="357">
        <v>16763450.885</v>
      </c>
      <c r="AA115" s="357">
        <v>714561</v>
      </c>
      <c r="AB115" s="357">
        <v>58237614.54966855</v>
      </c>
      <c r="AC115" s="173">
        <v>39533096.292000003</v>
      </c>
    </row>
    <row r="116" spans="2:29" hidden="1" outlineLevel="1" x14ac:dyDescent="0.25">
      <c r="B116" s="205">
        <v>42095</v>
      </c>
      <c r="C116" s="357">
        <v>379874</v>
      </c>
      <c r="D116" s="357">
        <v>29220889.234941348</v>
      </c>
      <c r="E116" s="357">
        <v>19949869.048999999</v>
      </c>
      <c r="F116" s="357">
        <v>274911</v>
      </c>
      <c r="G116" s="357">
        <v>21316886.94096512</v>
      </c>
      <c r="H116" s="357">
        <v>14553598.954</v>
      </c>
      <c r="I116" s="357">
        <v>654785</v>
      </c>
      <c r="J116" s="357">
        <v>50537776.175906464</v>
      </c>
      <c r="K116" s="357">
        <v>34503468.002999999</v>
      </c>
      <c r="L116" s="357">
        <v>35272</v>
      </c>
      <c r="M116" s="357">
        <v>4284393.4155368544</v>
      </c>
      <c r="N116" s="357">
        <v>2925067.9849999999</v>
      </c>
      <c r="O116" s="357">
        <v>29023</v>
      </c>
      <c r="P116" s="357">
        <v>3437651.9956163727</v>
      </c>
      <c r="Q116" s="357">
        <v>2346975.3640000001</v>
      </c>
      <c r="R116" s="357">
        <v>64295</v>
      </c>
      <c r="S116" s="357">
        <v>7722045.4111532271</v>
      </c>
      <c r="T116" s="357">
        <v>5272043.3490000004</v>
      </c>
      <c r="U116" s="357">
        <v>415146</v>
      </c>
      <c r="V116" s="357">
        <v>33505282.650478203</v>
      </c>
      <c r="W116" s="357">
        <v>22874937.034000002</v>
      </c>
      <c r="X116" s="357">
        <v>303934</v>
      </c>
      <c r="Y116" s="357">
        <v>24754538.936581489</v>
      </c>
      <c r="Z116" s="357">
        <v>16900574.318</v>
      </c>
      <c r="AA116" s="357">
        <v>719080</v>
      </c>
      <c r="AB116" s="357">
        <v>58259821.587059692</v>
      </c>
      <c r="AC116" s="173">
        <v>39775511.351999998</v>
      </c>
    </row>
    <row r="117" spans="2:29" hidden="1" outlineLevel="1" x14ac:dyDescent="0.25">
      <c r="B117" s="205">
        <v>42125</v>
      </c>
      <c r="C117" s="357">
        <v>381450</v>
      </c>
      <c r="D117" s="357">
        <v>29280438.996020764</v>
      </c>
      <c r="E117" s="357">
        <v>20025843.295000002</v>
      </c>
      <c r="F117" s="357">
        <v>275948</v>
      </c>
      <c r="G117" s="357">
        <v>21307049.138977248</v>
      </c>
      <c r="H117" s="357">
        <v>14572582.986</v>
      </c>
      <c r="I117" s="357">
        <v>657398</v>
      </c>
      <c r="J117" s="357">
        <v>50587488.134998016</v>
      </c>
      <c r="K117" s="357">
        <v>34598426.281000003</v>
      </c>
      <c r="L117" s="357">
        <v>35349</v>
      </c>
      <c r="M117" s="357">
        <v>4279974.4685280621</v>
      </c>
      <c r="N117" s="357">
        <v>2927213.5580000002</v>
      </c>
      <c r="O117" s="357">
        <v>29091</v>
      </c>
      <c r="P117" s="357">
        <v>3437580.97094686</v>
      </c>
      <c r="Q117" s="357">
        <v>2351073.2829999998</v>
      </c>
      <c r="R117" s="357">
        <v>64440</v>
      </c>
      <c r="S117" s="357">
        <v>7717555.4394749226</v>
      </c>
      <c r="T117" s="357">
        <v>5278286.841</v>
      </c>
      <c r="U117" s="357">
        <v>416799</v>
      </c>
      <c r="V117" s="357">
        <v>33560413.464548826</v>
      </c>
      <c r="W117" s="357">
        <v>22953056.853</v>
      </c>
      <c r="X117" s="357">
        <v>305039</v>
      </c>
      <c r="Y117" s="357">
        <v>24744630.109924112</v>
      </c>
      <c r="Z117" s="357">
        <v>16923656.269000001</v>
      </c>
      <c r="AA117" s="357">
        <v>721838</v>
      </c>
      <c r="AB117" s="357">
        <v>58305043.574472941</v>
      </c>
      <c r="AC117" s="173">
        <v>39876713.122000001</v>
      </c>
    </row>
    <row r="118" spans="2:29" hidden="1" outlineLevel="1" x14ac:dyDescent="0.25">
      <c r="B118" s="205">
        <v>42156</v>
      </c>
      <c r="C118" s="357">
        <v>383881</v>
      </c>
      <c r="D118" s="357">
        <v>29428577.606137399</v>
      </c>
      <c r="E118" s="357">
        <v>20224673.155000001</v>
      </c>
      <c r="F118" s="357">
        <v>277655</v>
      </c>
      <c r="G118" s="357">
        <v>21398529.841827754</v>
      </c>
      <c r="H118" s="357">
        <v>14706054.700999999</v>
      </c>
      <c r="I118" s="357">
        <v>661536</v>
      </c>
      <c r="J118" s="357">
        <v>50827107.44796516</v>
      </c>
      <c r="K118" s="357">
        <v>34930727.855999999</v>
      </c>
      <c r="L118" s="357">
        <v>35662</v>
      </c>
      <c r="M118" s="357">
        <v>4306152.1273576431</v>
      </c>
      <c r="N118" s="357">
        <v>2959385.9580000001</v>
      </c>
      <c r="O118" s="357">
        <v>29464</v>
      </c>
      <c r="P118" s="357">
        <v>3463917.6538639055</v>
      </c>
      <c r="Q118" s="357">
        <v>2380563.659</v>
      </c>
      <c r="R118" s="357">
        <v>65126</v>
      </c>
      <c r="S118" s="357">
        <v>7770069.781221549</v>
      </c>
      <c r="T118" s="357">
        <v>5339949.6169999996</v>
      </c>
      <c r="U118" s="357">
        <v>419543</v>
      </c>
      <c r="V118" s="357">
        <v>33734729.733495042</v>
      </c>
      <c r="W118" s="357">
        <v>23184059.113000002</v>
      </c>
      <c r="X118" s="357">
        <v>307119</v>
      </c>
      <c r="Y118" s="357">
        <v>24862447.495691661</v>
      </c>
      <c r="Z118" s="357">
        <v>17086618.359999999</v>
      </c>
      <c r="AA118" s="357">
        <v>726662</v>
      </c>
      <c r="AB118" s="357">
        <v>58597177.229186706</v>
      </c>
      <c r="AC118" s="173">
        <v>40270677.472999997</v>
      </c>
    </row>
    <row r="119" spans="2:29" hidden="1" outlineLevel="1" x14ac:dyDescent="0.25">
      <c r="B119" s="205">
        <v>42186</v>
      </c>
      <c r="C119" s="357">
        <v>387145</v>
      </c>
      <c r="D119" s="357">
        <v>31741196.241506081</v>
      </c>
      <c r="E119" s="357">
        <v>21906233.717</v>
      </c>
      <c r="F119" s="357">
        <v>281099</v>
      </c>
      <c r="G119" s="357">
        <v>23243050.168152023</v>
      </c>
      <c r="H119" s="357">
        <v>16041225.585999999</v>
      </c>
      <c r="I119" s="357">
        <v>668244</v>
      </c>
      <c r="J119" s="357">
        <v>54984246.409658104</v>
      </c>
      <c r="K119" s="357">
        <v>37947459.303000003</v>
      </c>
      <c r="L119" s="357">
        <v>35854</v>
      </c>
      <c r="M119" s="357">
        <v>4519903.8826623047</v>
      </c>
      <c r="N119" s="357">
        <v>3119418.3760000002</v>
      </c>
      <c r="O119" s="357">
        <v>29626</v>
      </c>
      <c r="P119" s="357">
        <v>3659653.0710179824</v>
      </c>
      <c r="Q119" s="357">
        <v>2525715.0010000002</v>
      </c>
      <c r="R119" s="357">
        <v>65480</v>
      </c>
      <c r="S119" s="357">
        <v>8179556.9536802871</v>
      </c>
      <c r="T119" s="357">
        <v>5645133.3770000003</v>
      </c>
      <c r="U119" s="357">
        <v>422999</v>
      </c>
      <c r="V119" s="357">
        <v>36261100.124168381</v>
      </c>
      <c r="W119" s="357">
        <v>25025652.092999998</v>
      </c>
      <c r="X119" s="357">
        <v>310725</v>
      </c>
      <c r="Y119" s="357">
        <v>26902703.239170007</v>
      </c>
      <c r="Z119" s="357">
        <v>18566940.587000001</v>
      </c>
      <c r="AA119" s="357">
        <v>733724</v>
      </c>
      <c r="AB119" s="357">
        <v>63163803.363338389</v>
      </c>
      <c r="AC119" s="173">
        <v>43592592.68</v>
      </c>
    </row>
    <row r="120" spans="2:29" hidden="1" outlineLevel="1" x14ac:dyDescent="0.25">
      <c r="B120" s="205">
        <v>42217</v>
      </c>
      <c r="C120" s="357">
        <v>388790</v>
      </c>
      <c r="D120" s="357">
        <v>31557635.722154524</v>
      </c>
      <c r="E120" s="357">
        <v>21926701.458999999</v>
      </c>
      <c r="F120" s="357">
        <v>282181</v>
      </c>
      <c r="G120" s="357">
        <v>22873705.014704157</v>
      </c>
      <c r="H120" s="357">
        <v>15892980.879000001</v>
      </c>
      <c r="I120" s="357">
        <v>670971</v>
      </c>
      <c r="J120" s="357">
        <v>54431340.736858681</v>
      </c>
      <c r="K120" s="357">
        <v>37819682.338</v>
      </c>
      <c r="L120" s="357">
        <v>35902</v>
      </c>
      <c r="M120" s="357">
        <v>4450458.4636187106</v>
      </c>
      <c r="N120" s="357">
        <v>3092242.8709999998</v>
      </c>
      <c r="O120" s="357">
        <v>29711</v>
      </c>
      <c r="P120" s="357">
        <v>3585287.8776457426</v>
      </c>
      <c r="Q120" s="357">
        <v>2491109.8420000002</v>
      </c>
      <c r="R120" s="357">
        <v>65613</v>
      </c>
      <c r="S120" s="357">
        <v>8035746.3412644528</v>
      </c>
      <c r="T120" s="357">
        <v>5583352.7130000005</v>
      </c>
      <c r="U120" s="357">
        <v>424692</v>
      </c>
      <c r="V120" s="357">
        <v>36008094.185773239</v>
      </c>
      <c r="W120" s="357">
        <v>25018944.329999998</v>
      </c>
      <c r="X120" s="357">
        <v>311892</v>
      </c>
      <c r="Y120" s="357">
        <v>26458992.892349899</v>
      </c>
      <c r="Z120" s="357">
        <v>18384090.721000001</v>
      </c>
      <c r="AA120" s="357">
        <v>736584</v>
      </c>
      <c r="AB120" s="357">
        <v>62467087.07812313</v>
      </c>
      <c r="AC120" s="173">
        <v>43403035.050999999</v>
      </c>
    </row>
    <row r="121" spans="2:29" hidden="1" outlineLevel="1" x14ac:dyDescent="0.25">
      <c r="B121" s="205">
        <v>42248</v>
      </c>
      <c r="C121" s="357">
        <v>391060</v>
      </c>
      <c r="D121" s="357">
        <v>31857093.715039499</v>
      </c>
      <c r="E121" s="357">
        <v>22248031.107999999</v>
      </c>
      <c r="F121" s="357">
        <v>283655</v>
      </c>
      <c r="G121" s="357">
        <v>23060573.187895879</v>
      </c>
      <c r="H121" s="357">
        <v>16104807.119000001</v>
      </c>
      <c r="I121" s="357">
        <v>674715</v>
      </c>
      <c r="J121" s="357">
        <v>54917666.902935378</v>
      </c>
      <c r="K121" s="357">
        <v>38352838.226999998</v>
      </c>
      <c r="L121" s="357">
        <v>35845</v>
      </c>
      <c r="M121" s="357">
        <v>4440806.1610511327</v>
      </c>
      <c r="N121" s="357">
        <v>3101324.7629999998</v>
      </c>
      <c r="O121" s="357">
        <v>29687</v>
      </c>
      <c r="P121" s="357">
        <v>3596406.6079024095</v>
      </c>
      <c r="Q121" s="357">
        <v>2511621.6439999999</v>
      </c>
      <c r="R121" s="357">
        <v>65532</v>
      </c>
      <c r="S121" s="357">
        <v>8037212.7689535432</v>
      </c>
      <c r="T121" s="357">
        <v>5612946.4069999997</v>
      </c>
      <c r="U121" s="357">
        <v>426905</v>
      </c>
      <c r="V121" s="357">
        <v>36297899.876090631</v>
      </c>
      <c r="W121" s="357">
        <v>25349355.870999999</v>
      </c>
      <c r="X121" s="357">
        <v>313342</v>
      </c>
      <c r="Y121" s="357">
        <v>26656979.795798291</v>
      </c>
      <c r="Z121" s="357">
        <v>18616428.763</v>
      </c>
      <c r="AA121" s="357">
        <v>740247</v>
      </c>
      <c r="AB121" s="357">
        <v>62954879.671888918</v>
      </c>
      <c r="AC121" s="173">
        <v>43965784.634000003</v>
      </c>
    </row>
    <row r="122" spans="2:29" hidden="1" outlineLevel="1" x14ac:dyDescent="0.25">
      <c r="B122" s="205">
        <v>42278</v>
      </c>
      <c r="C122" s="357">
        <v>393767</v>
      </c>
      <c r="D122" s="357">
        <v>32028001.673716482</v>
      </c>
      <c r="E122" s="357">
        <v>22458624.022</v>
      </c>
      <c r="F122" s="357">
        <v>285404</v>
      </c>
      <c r="G122" s="357">
        <v>23156666.063421566</v>
      </c>
      <c r="H122" s="357">
        <v>16237880.278000001</v>
      </c>
      <c r="I122" s="357">
        <v>679171</v>
      </c>
      <c r="J122" s="357">
        <v>55184667.737138048</v>
      </c>
      <c r="K122" s="357">
        <v>38696504.299999997</v>
      </c>
      <c r="L122" s="357">
        <v>35726</v>
      </c>
      <c r="M122" s="357">
        <v>4402042.3354361998</v>
      </c>
      <c r="N122" s="357">
        <v>3086793.074</v>
      </c>
      <c r="O122" s="357">
        <v>29631</v>
      </c>
      <c r="P122" s="357">
        <v>3566352.6063246406</v>
      </c>
      <c r="Q122" s="357">
        <v>2500792.0610000002</v>
      </c>
      <c r="R122" s="357">
        <v>65357</v>
      </c>
      <c r="S122" s="357">
        <v>7968394.9417608418</v>
      </c>
      <c r="T122" s="357">
        <v>5587585.1349999998</v>
      </c>
      <c r="U122" s="357">
        <v>429493</v>
      </c>
      <c r="V122" s="357">
        <v>36430044.009152681</v>
      </c>
      <c r="W122" s="357">
        <v>25545417.096000001</v>
      </c>
      <c r="X122" s="357">
        <v>315035</v>
      </c>
      <c r="Y122" s="357">
        <v>26723018.669746209</v>
      </c>
      <c r="Z122" s="357">
        <v>18738672.339000002</v>
      </c>
      <c r="AA122" s="357">
        <v>744528</v>
      </c>
      <c r="AB122" s="357">
        <v>63153062.678898886</v>
      </c>
      <c r="AC122" s="173">
        <v>44284089.435000002</v>
      </c>
    </row>
    <row r="123" spans="2:29" hidden="1" outlineLevel="1" x14ac:dyDescent="0.25">
      <c r="B123" s="205">
        <v>42309</v>
      </c>
      <c r="C123" s="357">
        <v>394851</v>
      </c>
      <c r="D123" s="357">
        <v>32075351.722274669</v>
      </c>
      <c r="E123" s="357">
        <v>22486036.004000001</v>
      </c>
      <c r="F123" s="357">
        <v>286695</v>
      </c>
      <c r="G123" s="357">
        <v>23244986.502536401</v>
      </c>
      <c r="H123" s="357">
        <v>16295615.647</v>
      </c>
      <c r="I123" s="357">
        <v>681546</v>
      </c>
      <c r="J123" s="357">
        <v>55320338.224811062</v>
      </c>
      <c r="K123" s="357">
        <v>38781651.651000001</v>
      </c>
      <c r="L123" s="357">
        <v>35684</v>
      </c>
      <c r="M123" s="357">
        <v>4401768.0027477648</v>
      </c>
      <c r="N123" s="357">
        <v>3085806.031</v>
      </c>
      <c r="O123" s="357">
        <v>29591</v>
      </c>
      <c r="P123" s="357">
        <v>3564025.1295302105</v>
      </c>
      <c r="Q123" s="357">
        <v>2498516.5580000002</v>
      </c>
      <c r="R123" s="357">
        <v>65275</v>
      </c>
      <c r="S123" s="357">
        <v>7965793.1322779749</v>
      </c>
      <c r="T123" s="357">
        <v>5584322.5889999997</v>
      </c>
      <c r="U123" s="357">
        <v>430535</v>
      </c>
      <c r="V123" s="357">
        <v>36477119.725022428</v>
      </c>
      <c r="W123" s="357">
        <v>25571842.035</v>
      </c>
      <c r="X123" s="357">
        <v>316286</v>
      </c>
      <c r="Y123" s="357">
        <v>26809011.632066607</v>
      </c>
      <c r="Z123" s="357">
        <v>18794132.204999998</v>
      </c>
      <c r="AA123" s="357">
        <v>746821</v>
      </c>
      <c r="AB123" s="357">
        <v>63286131.357089043</v>
      </c>
      <c r="AC123" s="173">
        <v>44365974.240000002</v>
      </c>
    </row>
    <row r="124" spans="2:29" hidden="1" outlineLevel="1" x14ac:dyDescent="0.25">
      <c r="B124" s="205">
        <v>42339</v>
      </c>
      <c r="C124" s="357">
        <v>397672</v>
      </c>
      <c r="D124" s="357">
        <v>32396799.841958825</v>
      </c>
      <c r="E124" s="357">
        <v>22713656.138999999</v>
      </c>
      <c r="F124" s="357">
        <v>288817</v>
      </c>
      <c r="G124" s="357">
        <v>23418444.333261915</v>
      </c>
      <c r="H124" s="357">
        <v>16418859.1</v>
      </c>
      <c r="I124" s="357">
        <v>686489</v>
      </c>
      <c r="J124" s="357">
        <v>55815244.175220735</v>
      </c>
      <c r="K124" s="357">
        <v>39132515.239</v>
      </c>
      <c r="L124" s="357">
        <v>35597</v>
      </c>
      <c r="M124" s="357">
        <v>4379065.2474646391</v>
      </c>
      <c r="N124" s="357">
        <v>3070197.7579999999</v>
      </c>
      <c r="O124" s="357">
        <v>29530</v>
      </c>
      <c r="P124" s="357">
        <v>3548868.6361832833</v>
      </c>
      <c r="Q124" s="357">
        <v>2488140.2570000002</v>
      </c>
      <c r="R124" s="357">
        <v>65127</v>
      </c>
      <c r="S124" s="357">
        <v>7927933.8836479215</v>
      </c>
      <c r="T124" s="357">
        <v>5558338.0149999997</v>
      </c>
      <c r="U124" s="357">
        <v>433269</v>
      </c>
      <c r="V124" s="357">
        <v>36775865.089423463</v>
      </c>
      <c r="W124" s="357">
        <v>25783853.897</v>
      </c>
      <c r="X124" s="357">
        <v>318347</v>
      </c>
      <c r="Y124" s="357">
        <v>26967312.969445195</v>
      </c>
      <c r="Z124" s="357">
        <v>18906999.357000001</v>
      </c>
      <c r="AA124" s="357">
        <v>751616</v>
      </c>
      <c r="AB124" s="357">
        <v>63743178.058868662</v>
      </c>
      <c r="AC124" s="173">
        <v>44690853.254000001</v>
      </c>
    </row>
    <row r="125" spans="2:29" collapsed="1" x14ac:dyDescent="0.25">
      <c r="B125" s="359" t="s">
        <v>706</v>
      </c>
      <c r="C125" s="358">
        <v>385388.58333333331</v>
      </c>
      <c r="D125" s="358">
        <v>30625782.722215891</v>
      </c>
      <c r="E125" s="358"/>
      <c r="F125" s="358">
        <v>279293.16666666669</v>
      </c>
      <c r="G125" s="358">
        <v>22287180.033423949</v>
      </c>
      <c r="H125" s="358"/>
      <c r="I125" s="358">
        <v>664681.75</v>
      </c>
      <c r="J125" s="358">
        <v>52912962.755639844</v>
      </c>
      <c r="K125" s="358"/>
      <c r="L125" s="358">
        <v>35497.583333333336</v>
      </c>
      <c r="M125" s="358">
        <v>4375480.1313548712</v>
      </c>
      <c r="N125" s="358"/>
      <c r="O125" s="358">
        <v>29292.083333333332</v>
      </c>
      <c r="P125" s="358">
        <v>3520859.9998460463</v>
      </c>
      <c r="Q125" s="358"/>
      <c r="R125" s="358">
        <v>64789.666666666664</v>
      </c>
      <c r="S125" s="358">
        <v>7896340.1312009161</v>
      </c>
      <c r="T125" s="358"/>
      <c r="U125" s="358">
        <v>420886.16666666669</v>
      </c>
      <c r="V125" s="358">
        <v>35001262.853570767</v>
      </c>
      <c r="W125" s="358"/>
      <c r="X125" s="358">
        <v>308585.25</v>
      </c>
      <c r="Y125" s="358">
        <v>25808040.033269998</v>
      </c>
      <c r="Z125" s="358"/>
      <c r="AA125" s="358">
        <v>729471.41666666663</v>
      </c>
      <c r="AB125" s="358">
        <v>60809302.886840768</v>
      </c>
      <c r="AC125" s="361"/>
    </row>
    <row r="126" spans="2:29" hidden="1" outlineLevel="1" x14ac:dyDescent="0.25">
      <c r="B126" s="205">
        <v>42370</v>
      </c>
      <c r="C126" s="357">
        <v>399583</v>
      </c>
      <c r="D126" s="357">
        <v>32352832.283660181</v>
      </c>
      <c r="E126" s="357">
        <v>22789592.182999998</v>
      </c>
      <c r="F126" s="357">
        <v>290198</v>
      </c>
      <c r="G126" s="357">
        <v>23492494.776639301</v>
      </c>
      <c r="H126" s="357">
        <v>16548300.026000001</v>
      </c>
      <c r="I126" s="357">
        <v>689781</v>
      </c>
      <c r="J126" s="357">
        <v>55845327.060299486</v>
      </c>
      <c r="K126" s="357">
        <v>39337892.208999999</v>
      </c>
      <c r="L126" s="357">
        <v>35653</v>
      </c>
      <c r="M126" s="357">
        <v>4387932.2744816756</v>
      </c>
      <c r="N126" s="357">
        <v>3090894.3670000001</v>
      </c>
      <c r="O126" s="357">
        <v>29617</v>
      </c>
      <c r="P126" s="357">
        <v>3553875.6299901945</v>
      </c>
      <c r="Q126" s="357">
        <v>2503378.2379999999</v>
      </c>
      <c r="R126" s="357">
        <v>65270</v>
      </c>
      <c r="S126" s="357">
        <v>7941807.9044718696</v>
      </c>
      <c r="T126" s="357">
        <v>5594272.6050000004</v>
      </c>
      <c r="U126" s="357">
        <v>435236</v>
      </c>
      <c r="V126" s="357">
        <v>36740764.55814185</v>
      </c>
      <c r="W126" s="357">
        <v>25880486.550000001</v>
      </c>
      <c r="X126" s="357">
        <v>319815</v>
      </c>
      <c r="Y126" s="357">
        <v>27046370.406629499</v>
      </c>
      <c r="Z126" s="357">
        <v>19051678.263999999</v>
      </c>
      <c r="AA126" s="357">
        <v>755051</v>
      </c>
      <c r="AB126" s="357">
        <v>63787134.964771345</v>
      </c>
      <c r="AC126" s="173">
        <v>44932164.814000003</v>
      </c>
    </row>
    <row r="127" spans="2:29" hidden="1" outlineLevel="1" x14ac:dyDescent="0.25">
      <c r="B127" s="205">
        <v>42401</v>
      </c>
      <c r="C127" s="357">
        <v>401765</v>
      </c>
      <c r="D127" s="357">
        <v>32044550.733967375</v>
      </c>
      <c r="E127" s="357">
        <v>22635180.851</v>
      </c>
      <c r="F127" s="357">
        <v>291345</v>
      </c>
      <c r="G127" s="357">
        <v>23228448.505039431</v>
      </c>
      <c r="H127" s="357">
        <v>16407786.059</v>
      </c>
      <c r="I127" s="357">
        <v>693110</v>
      </c>
      <c r="J127" s="357">
        <v>55272999.239006802</v>
      </c>
      <c r="K127" s="357">
        <v>39042966.909999996</v>
      </c>
      <c r="L127" s="357">
        <v>35604</v>
      </c>
      <c r="M127" s="357">
        <v>4357251.4306847621</v>
      </c>
      <c r="N127" s="357">
        <v>3077814.227</v>
      </c>
      <c r="O127" s="357">
        <v>29599</v>
      </c>
      <c r="P127" s="357">
        <v>3526103.1094541517</v>
      </c>
      <c r="Q127" s="357">
        <v>2490719.3190000001</v>
      </c>
      <c r="R127" s="357">
        <v>65203</v>
      </c>
      <c r="S127" s="357">
        <v>7883354.5401389133</v>
      </c>
      <c r="T127" s="357">
        <v>5568533.5460000001</v>
      </c>
      <c r="U127" s="357">
        <v>437369</v>
      </c>
      <c r="V127" s="357">
        <v>36401802.164652139</v>
      </c>
      <c r="W127" s="357">
        <v>25712995.078000002</v>
      </c>
      <c r="X127" s="357">
        <v>320944</v>
      </c>
      <c r="Y127" s="357">
        <v>26754551.614493582</v>
      </c>
      <c r="Z127" s="357">
        <v>18898505.377999999</v>
      </c>
      <c r="AA127" s="357">
        <v>758313</v>
      </c>
      <c r="AB127" s="357">
        <v>63156353.779145725</v>
      </c>
      <c r="AC127" s="173">
        <v>44611500.456</v>
      </c>
    </row>
    <row r="128" spans="2:29" hidden="1" outlineLevel="1" x14ac:dyDescent="0.25">
      <c r="B128" s="205">
        <v>42430</v>
      </c>
      <c r="C128" s="357">
        <v>402760</v>
      </c>
      <c r="D128" s="357">
        <v>31903421.470690202</v>
      </c>
      <c r="E128" s="357">
        <v>22620982.057</v>
      </c>
      <c r="F128" s="357">
        <v>292122</v>
      </c>
      <c r="G128" s="357">
        <v>23062940.612398736</v>
      </c>
      <c r="H128" s="357">
        <v>16352677.604</v>
      </c>
      <c r="I128" s="357">
        <v>694882</v>
      </c>
      <c r="J128" s="357">
        <v>54966362.083088934</v>
      </c>
      <c r="K128" s="357">
        <v>38973659.660999998</v>
      </c>
      <c r="L128" s="357">
        <v>35532</v>
      </c>
      <c r="M128" s="357">
        <v>4311121.9358065892</v>
      </c>
      <c r="N128" s="357">
        <v>3056782.2340000002</v>
      </c>
      <c r="O128" s="357">
        <v>29505</v>
      </c>
      <c r="P128" s="357">
        <v>3492711.2593922275</v>
      </c>
      <c r="Q128" s="357">
        <v>2476491.7080000001</v>
      </c>
      <c r="R128" s="357">
        <v>65037</v>
      </c>
      <c r="S128" s="357">
        <v>7803833.1951988172</v>
      </c>
      <c r="T128" s="357">
        <v>5533273.9419999998</v>
      </c>
      <c r="U128" s="357">
        <v>438292</v>
      </c>
      <c r="V128" s="357">
        <v>36214543.406496786</v>
      </c>
      <c r="W128" s="357">
        <v>25677764.291000001</v>
      </c>
      <c r="X128" s="357">
        <v>321627</v>
      </c>
      <c r="Y128" s="357">
        <v>26555651.871790968</v>
      </c>
      <c r="Z128" s="357">
        <v>18829169.311999999</v>
      </c>
      <c r="AA128" s="357">
        <v>759919</v>
      </c>
      <c r="AB128" s="357">
        <v>62770195.278287761</v>
      </c>
      <c r="AC128" s="173">
        <v>44506933.603</v>
      </c>
    </row>
    <row r="129" spans="2:29" hidden="1" outlineLevel="1" x14ac:dyDescent="0.25">
      <c r="B129" s="205">
        <v>42461</v>
      </c>
      <c r="C129" s="357">
        <v>405007</v>
      </c>
      <c r="D129" s="357">
        <v>31973936.304279137</v>
      </c>
      <c r="E129" s="357">
        <v>22744876.348999999</v>
      </c>
      <c r="F129" s="357">
        <v>293491</v>
      </c>
      <c r="G129" s="357">
        <v>23188200.574470948</v>
      </c>
      <c r="H129" s="357">
        <v>16495083.676999999</v>
      </c>
      <c r="I129" s="357">
        <v>698498</v>
      </c>
      <c r="J129" s="357">
        <v>55162136.878750086</v>
      </c>
      <c r="K129" s="357">
        <v>39239960.026000001</v>
      </c>
      <c r="L129" s="357">
        <v>35542</v>
      </c>
      <c r="M129" s="357">
        <v>4333421.5192247182</v>
      </c>
      <c r="N129" s="357">
        <v>3082608.7749999999</v>
      </c>
      <c r="O129" s="357">
        <v>29521</v>
      </c>
      <c r="P129" s="357">
        <v>3509903.264957394</v>
      </c>
      <c r="Q129" s="357">
        <v>2496793.4819999998</v>
      </c>
      <c r="R129" s="357">
        <v>65063</v>
      </c>
      <c r="S129" s="357">
        <v>7843324.7841821127</v>
      </c>
      <c r="T129" s="357">
        <v>5579402.2570000002</v>
      </c>
      <c r="U129" s="357">
        <v>440549</v>
      </c>
      <c r="V129" s="357">
        <v>36307357.823503852</v>
      </c>
      <c r="W129" s="357">
        <v>25827485.124000002</v>
      </c>
      <c r="X129" s="357">
        <v>323012</v>
      </c>
      <c r="Y129" s="357">
        <v>26698103.839428343</v>
      </c>
      <c r="Z129" s="357">
        <v>18991877.159000002</v>
      </c>
      <c r="AA129" s="357">
        <v>763561</v>
      </c>
      <c r="AB129" s="357">
        <v>63005461.662932195</v>
      </c>
      <c r="AC129" s="173">
        <v>44819362.283</v>
      </c>
    </row>
    <row r="130" spans="2:29" hidden="1" outlineLevel="1" x14ac:dyDescent="0.25">
      <c r="B130" s="205">
        <v>42491</v>
      </c>
      <c r="C130" s="357">
        <v>407494</v>
      </c>
      <c r="D130" s="357">
        <v>32472879.935541227</v>
      </c>
      <c r="E130" s="357">
        <v>23151650.998</v>
      </c>
      <c r="F130" s="357">
        <v>295268</v>
      </c>
      <c r="G130" s="357">
        <v>23510363.017724924</v>
      </c>
      <c r="H130" s="357">
        <v>16761793.857000001</v>
      </c>
      <c r="I130" s="357">
        <v>702762</v>
      </c>
      <c r="J130" s="357">
        <v>55983242.953266151</v>
      </c>
      <c r="K130" s="357">
        <v>39913444.854999997</v>
      </c>
      <c r="L130" s="357">
        <v>35521</v>
      </c>
      <c r="M130" s="357">
        <v>4308124.9146673204</v>
      </c>
      <c r="N130" s="357">
        <v>3071492.4169999999</v>
      </c>
      <c r="O130" s="357">
        <v>29498</v>
      </c>
      <c r="P130" s="357">
        <v>3485001.6001512515</v>
      </c>
      <c r="Q130" s="357">
        <v>2484643.83</v>
      </c>
      <c r="R130" s="357">
        <v>65019</v>
      </c>
      <c r="S130" s="357">
        <v>7793126.5148185715</v>
      </c>
      <c r="T130" s="357">
        <v>5556136.2470000004</v>
      </c>
      <c r="U130" s="357">
        <v>443015</v>
      </c>
      <c r="V130" s="357">
        <v>36781004.850208551</v>
      </c>
      <c r="W130" s="357">
        <v>26223143.414999999</v>
      </c>
      <c r="X130" s="357">
        <v>324766</v>
      </c>
      <c r="Y130" s="357">
        <v>26995364.617876176</v>
      </c>
      <c r="Z130" s="357">
        <v>19246437.686999999</v>
      </c>
      <c r="AA130" s="357">
        <v>767781</v>
      </c>
      <c r="AB130" s="357">
        <v>63776369.468084723</v>
      </c>
      <c r="AC130" s="173">
        <v>45469581.101999998</v>
      </c>
    </row>
    <row r="131" spans="2:29" hidden="1" outlineLevel="1" x14ac:dyDescent="0.25">
      <c r="B131" s="205">
        <v>42522</v>
      </c>
      <c r="C131" s="357">
        <v>409023</v>
      </c>
      <c r="D131" s="357">
        <v>31963662.089273144</v>
      </c>
      <c r="E131" s="357">
        <v>22891099.245999999</v>
      </c>
      <c r="F131" s="357">
        <v>296574</v>
      </c>
      <c r="G131" s="357">
        <v>23215713.357407752</v>
      </c>
      <c r="H131" s="357">
        <v>16626167.460000001</v>
      </c>
      <c r="I131" s="357">
        <v>705597</v>
      </c>
      <c r="J131" s="357">
        <v>55179375.446680903</v>
      </c>
      <c r="K131" s="357">
        <v>39517266.706</v>
      </c>
      <c r="L131" s="357">
        <v>35515</v>
      </c>
      <c r="M131" s="357">
        <v>4278685.6091686161</v>
      </c>
      <c r="N131" s="357">
        <v>3064223.8879999998</v>
      </c>
      <c r="O131" s="357">
        <v>29478</v>
      </c>
      <c r="P131" s="357">
        <v>3461825.4281666907</v>
      </c>
      <c r="Q131" s="357">
        <v>2479221.2239999999</v>
      </c>
      <c r="R131" s="357">
        <v>64993</v>
      </c>
      <c r="S131" s="357">
        <v>7740511.0373353073</v>
      </c>
      <c r="T131" s="357">
        <v>5543445.1119999997</v>
      </c>
      <c r="U131" s="357">
        <v>444538</v>
      </c>
      <c r="V131" s="357">
        <v>36242347.698441766</v>
      </c>
      <c r="W131" s="357">
        <v>25955323.134</v>
      </c>
      <c r="X131" s="357">
        <v>326052</v>
      </c>
      <c r="Y131" s="357">
        <v>26677538.785574444</v>
      </c>
      <c r="Z131" s="357">
        <v>19105388.684</v>
      </c>
      <c r="AA131" s="357">
        <v>770590</v>
      </c>
      <c r="AB131" s="357">
        <v>62919886.484016202</v>
      </c>
      <c r="AC131" s="173">
        <v>45060711.818000004</v>
      </c>
    </row>
    <row r="132" spans="2:29" hidden="1" outlineLevel="1" x14ac:dyDescent="0.25">
      <c r="B132" s="205">
        <v>42552</v>
      </c>
      <c r="C132" s="357">
        <v>409755</v>
      </c>
      <c r="D132" s="357">
        <v>34250977.27705957</v>
      </c>
      <c r="E132" s="357">
        <v>24588525.248</v>
      </c>
      <c r="F132" s="357">
        <v>298366</v>
      </c>
      <c r="G132" s="357">
        <v>24856892.819184624</v>
      </c>
      <c r="H132" s="357">
        <v>17844580.951000001</v>
      </c>
      <c r="I132" s="357">
        <v>708121</v>
      </c>
      <c r="J132" s="357">
        <v>59107870.096244194</v>
      </c>
      <c r="K132" s="357">
        <v>42433106.199000001</v>
      </c>
      <c r="L132" s="357">
        <v>35484</v>
      </c>
      <c r="M132" s="357">
        <v>4451291.4407232925</v>
      </c>
      <c r="N132" s="357">
        <v>3195549.4610000001</v>
      </c>
      <c r="O132" s="357">
        <v>29434</v>
      </c>
      <c r="P132" s="357">
        <v>3615179.3213115046</v>
      </c>
      <c r="Q132" s="357">
        <v>2595310.7059999998</v>
      </c>
      <c r="R132" s="357">
        <v>64918</v>
      </c>
      <c r="S132" s="357">
        <v>8066470.7620347971</v>
      </c>
      <c r="T132" s="357">
        <v>5790860.1670000004</v>
      </c>
      <c r="U132" s="357">
        <v>445239</v>
      </c>
      <c r="V132" s="357">
        <v>38702268.717782862</v>
      </c>
      <c r="W132" s="357">
        <v>27784074.708999999</v>
      </c>
      <c r="X132" s="357">
        <v>327800</v>
      </c>
      <c r="Y132" s="357">
        <v>28472072.140496127</v>
      </c>
      <c r="Z132" s="357">
        <v>20439891.657000002</v>
      </c>
      <c r="AA132" s="357">
        <v>773039</v>
      </c>
      <c r="AB132" s="357">
        <v>67174340.85827899</v>
      </c>
      <c r="AC132" s="173">
        <v>48223966.365999997</v>
      </c>
    </row>
    <row r="133" spans="2:29" hidden="1" outlineLevel="1" x14ac:dyDescent="0.25">
      <c r="B133" s="205">
        <v>42583</v>
      </c>
      <c r="C133" s="357">
        <v>411971</v>
      </c>
      <c r="D133" s="357">
        <v>34623260.953862257</v>
      </c>
      <c r="E133" s="357">
        <v>24867925.234999999</v>
      </c>
      <c r="F133" s="357">
        <v>299699</v>
      </c>
      <c r="G133" s="357">
        <v>25026641.600113194</v>
      </c>
      <c r="H133" s="357">
        <v>17975217.673</v>
      </c>
      <c r="I133" s="357">
        <v>711670</v>
      </c>
      <c r="J133" s="357">
        <v>59649902.553975448</v>
      </c>
      <c r="K133" s="357">
        <v>42843142.908</v>
      </c>
      <c r="L133" s="357">
        <v>35469</v>
      </c>
      <c r="M133" s="357">
        <v>4445106.4076112555</v>
      </c>
      <c r="N133" s="357">
        <v>3192667.8990000002</v>
      </c>
      <c r="O133" s="357">
        <v>29404</v>
      </c>
      <c r="P133" s="357">
        <v>3600817.6168206115</v>
      </c>
      <c r="Q133" s="357">
        <v>2586263.1310000001</v>
      </c>
      <c r="R133" s="357">
        <v>64873</v>
      </c>
      <c r="S133" s="357">
        <v>8045924.0244318675</v>
      </c>
      <c r="T133" s="357">
        <v>5778931.0300000003</v>
      </c>
      <c r="U133" s="357">
        <v>447440</v>
      </c>
      <c r="V133" s="357">
        <v>39068367.361473508</v>
      </c>
      <c r="W133" s="357">
        <v>28060593.134</v>
      </c>
      <c r="X133" s="357">
        <v>329103</v>
      </c>
      <c r="Y133" s="357">
        <v>28627459.216933809</v>
      </c>
      <c r="Z133" s="357">
        <v>20561480.804000001</v>
      </c>
      <c r="AA133" s="357">
        <v>776543</v>
      </c>
      <c r="AB133" s="357">
        <v>67695826.578407317</v>
      </c>
      <c r="AC133" s="173">
        <v>48622073.938000001</v>
      </c>
    </row>
    <row r="134" spans="2:29" hidden="1" outlineLevel="1" x14ac:dyDescent="0.25">
      <c r="B134" s="205">
        <v>42614</v>
      </c>
      <c r="C134" s="357">
        <v>413826</v>
      </c>
      <c r="D134" s="357">
        <v>34769844.869459376</v>
      </c>
      <c r="E134" s="357">
        <v>25033986.456</v>
      </c>
      <c r="F134" s="357">
        <v>300890</v>
      </c>
      <c r="G134" s="357">
        <v>25040848.009659693</v>
      </c>
      <c r="H134" s="357">
        <v>18029193.177999999</v>
      </c>
      <c r="I134" s="357">
        <v>714716</v>
      </c>
      <c r="J134" s="357">
        <v>59810692.879119061</v>
      </c>
      <c r="K134" s="357">
        <v>43063179.634000003</v>
      </c>
      <c r="L134" s="357">
        <v>35378</v>
      </c>
      <c r="M134" s="357">
        <v>4409817.7337151766</v>
      </c>
      <c r="N134" s="357">
        <v>3175030.4849999999</v>
      </c>
      <c r="O134" s="357">
        <v>29305</v>
      </c>
      <c r="P134" s="357">
        <v>3574256.8923043879</v>
      </c>
      <c r="Q134" s="357">
        <v>2573433.9330000002</v>
      </c>
      <c r="R134" s="357">
        <v>64683</v>
      </c>
      <c r="S134" s="357">
        <v>7984074.6260195654</v>
      </c>
      <c r="T134" s="357">
        <v>5748464.4179999996</v>
      </c>
      <c r="U134" s="357">
        <v>449204</v>
      </c>
      <c r="V134" s="357">
        <v>39179662.603174552</v>
      </c>
      <c r="W134" s="357">
        <v>28209016.941</v>
      </c>
      <c r="X134" s="357">
        <v>330195</v>
      </c>
      <c r="Y134" s="357">
        <v>28615104.901964076</v>
      </c>
      <c r="Z134" s="357">
        <v>20602627.111000001</v>
      </c>
      <c r="AA134" s="357">
        <v>779399</v>
      </c>
      <c r="AB134" s="357">
        <v>67794767.505138621</v>
      </c>
      <c r="AC134" s="173">
        <v>48811644.052000001</v>
      </c>
    </row>
    <row r="135" spans="2:29" hidden="1" outlineLevel="1" x14ac:dyDescent="0.25">
      <c r="B135" s="205">
        <v>42644</v>
      </c>
      <c r="C135" s="357">
        <v>415563</v>
      </c>
      <c r="D135" s="357">
        <v>34798816.880545475</v>
      </c>
      <c r="E135" s="357">
        <v>25096386.039999999</v>
      </c>
      <c r="F135" s="357">
        <v>302315</v>
      </c>
      <c r="G135" s="357">
        <v>25054284.547888853</v>
      </c>
      <c r="H135" s="357">
        <v>18068775.129000001</v>
      </c>
      <c r="I135" s="357">
        <v>717878</v>
      </c>
      <c r="J135" s="357">
        <v>59853101.428434327</v>
      </c>
      <c r="K135" s="357">
        <v>43165161.169</v>
      </c>
      <c r="L135" s="357">
        <v>35331</v>
      </c>
      <c r="M135" s="357">
        <v>4401445.0953499023</v>
      </c>
      <c r="N135" s="357">
        <v>3174256.344</v>
      </c>
      <c r="O135" s="357">
        <v>29264</v>
      </c>
      <c r="P135" s="357">
        <v>3560301.6122396435</v>
      </c>
      <c r="Q135" s="357">
        <v>2567636.25</v>
      </c>
      <c r="R135" s="357">
        <v>64595</v>
      </c>
      <c r="S135" s="357">
        <v>7961746.7075895462</v>
      </c>
      <c r="T135" s="357">
        <v>5741892.5939999996</v>
      </c>
      <c r="U135" s="357">
        <v>450894</v>
      </c>
      <c r="V135" s="357">
        <v>39200261.975895375</v>
      </c>
      <c r="W135" s="357">
        <v>28270642.384</v>
      </c>
      <c r="X135" s="357">
        <v>331579</v>
      </c>
      <c r="Y135" s="357">
        <v>28614586.160128493</v>
      </c>
      <c r="Z135" s="357">
        <v>20636411.379000001</v>
      </c>
      <c r="AA135" s="357">
        <v>782473</v>
      </c>
      <c r="AB135" s="357">
        <v>67814848.136023879</v>
      </c>
      <c r="AC135" s="173">
        <v>48907053.762999997</v>
      </c>
    </row>
    <row r="136" spans="2:29" hidden="1" outlineLevel="1" x14ac:dyDescent="0.25">
      <c r="B136" s="205">
        <v>42675</v>
      </c>
      <c r="C136" s="357">
        <v>418973</v>
      </c>
      <c r="D136" s="357">
        <v>35449181.462878503</v>
      </c>
      <c r="E136" s="357">
        <v>25579163.465</v>
      </c>
      <c r="F136" s="357">
        <v>304146</v>
      </c>
      <c r="G136" s="357">
        <v>25370541.889424633</v>
      </c>
      <c r="H136" s="357">
        <v>18306691.760000002</v>
      </c>
      <c r="I136" s="357">
        <v>723119</v>
      </c>
      <c r="J136" s="357">
        <v>60819723.35230314</v>
      </c>
      <c r="K136" s="357">
        <v>43885855.225000001</v>
      </c>
      <c r="L136" s="357">
        <v>35297</v>
      </c>
      <c r="M136" s="357">
        <v>4398926.0405880157</v>
      </c>
      <c r="N136" s="357">
        <v>3174145.1740000001</v>
      </c>
      <c r="O136" s="357">
        <v>29235</v>
      </c>
      <c r="P136" s="357">
        <v>3554386.5893106731</v>
      </c>
      <c r="Q136" s="357">
        <v>2564748.517</v>
      </c>
      <c r="R136" s="357">
        <v>64532</v>
      </c>
      <c r="S136" s="357">
        <v>7953312.6298986888</v>
      </c>
      <c r="T136" s="357">
        <v>5738893.6909999996</v>
      </c>
      <c r="U136" s="357">
        <v>454270</v>
      </c>
      <c r="V136" s="357">
        <v>39848107.503466524</v>
      </c>
      <c r="W136" s="357">
        <v>28753308.638999999</v>
      </c>
      <c r="X136" s="357">
        <v>333381</v>
      </c>
      <c r="Y136" s="357">
        <v>28924928.478735309</v>
      </c>
      <c r="Z136" s="357">
        <v>20871440.276999999</v>
      </c>
      <c r="AA136" s="357">
        <v>787651</v>
      </c>
      <c r="AB136" s="357">
        <v>68773035.98220183</v>
      </c>
      <c r="AC136" s="173">
        <v>49624748.916000001</v>
      </c>
    </row>
    <row r="137" spans="2:29" hidden="1" outlineLevel="1" x14ac:dyDescent="0.25">
      <c r="B137" s="205">
        <v>42705</v>
      </c>
      <c r="C137" s="357">
        <v>420635</v>
      </c>
      <c r="D137" s="357">
        <v>35360999.349618264</v>
      </c>
      <c r="E137" s="357">
        <v>25463423.947000001</v>
      </c>
      <c r="F137" s="357">
        <v>305119</v>
      </c>
      <c r="G137" s="357">
        <v>25287882.610476792</v>
      </c>
      <c r="H137" s="357">
        <v>18209781.609000001</v>
      </c>
      <c r="I137" s="357">
        <v>725754</v>
      </c>
      <c r="J137" s="357">
        <v>60648881.960095055</v>
      </c>
      <c r="K137" s="357">
        <v>43673205.556000002</v>
      </c>
      <c r="L137" s="357">
        <v>35407</v>
      </c>
      <c r="M137" s="357">
        <v>4410463.0383629221</v>
      </c>
      <c r="N137" s="357">
        <v>3175970.4819999998</v>
      </c>
      <c r="O137" s="357">
        <v>29476</v>
      </c>
      <c r="P137" s="357">
        <v>3588647.6260943376</v>
      </c>
      <c r="Q137" s="357">
        <v>2584181.94</v>
      </c>
      <c r="R137" s="357">
        <v>64883</v>
      </c>
      <c r="S137" s="357">
        <v>7999110.6644572588</v>
      </c>
      <c r="T137" s="357">
        <v>5760152.4220000003</v>
      </c>
      <c r="U137" s="357">
        <v>456042</v>
      </c>
      <c r="V137" s="357">
        <v>39771462.387981184</v>
      </c>
      <c r="W137" s="357">
        <v>28639394.429000001</v>
      </c>
      <c r="X137" s="357">
        <v>334595</v>
      </c>
      <c r="Y137" s="357">
        <v>28876530.236571129</v>
      </c>
      <c r="Z137" s="357">
        <v>20793963.548999999</v>
      </c>
      <c r="AA137" s="357">
        <v>790637</v>
      </c>
      <c r="AB137" s="357">
        <v>68647992.62455231</v>
      </c>
      <c r="AC137" s="173">
        <v>49433357.978</v>
      </c>
    </row>
    <row r="138" spans="2:29" collapsed="1" x14ac:dyDescent="0.25">
      <c r="B138" s="359" t="s">
        <v>707</v>
      </c>
      <c r="C138" s="358">
        <v>409696.25</v>
      </c>
      <c r="D138" s="358">
        <v>33497030.300902899</v>
      </c>
      <c r="E138" s="358"/>
      <c r="F138" s="358">
        <v>297461.08333333331</v>
      </c>
      <c r="G138" s="358">
        <v>24194604.360035736</v>
      </c>
      <c r="H138" s="358"/>
      <c r="I138" s="358">
        <v>707157.33333333337</v>
      </c>
      <c r="J138" s="358">
        <v>57691634.660938628</v>
      </c>
      <c r="K138" s="358"/>
      <c r="L138" s="358">
        <v>35477.75</v>
      </c>
      <c r="M138" s="358">
        <v>4374465.6200320199</v>
      </c>
      <c r="N138" s="358"/>
      <c r="O138" s="358">
        <v>29444.666666666668</v>
      </c>
      <c r="P138" s="358">
        <v>3543584.1625160887</v>
      </c>
      <c r="Q138" s="358"/>
      <c r="R138" s="358">
        <v>64922.416666666664</v>
      </c>
      <c r="S138" s="358">
        <v>7918049.78254811</v>
      </c>
      <c r="T138" s="358"/>
      <c r="U138" s="358">
        <v>445174</v>
      </c>
      <c r="V138" s="358">
        <v>37871495.920934923</v>
      </c>
      <c r="W138" s="358"/>
      <c r="X138" s="358">
        <v>326905.75</v>
      </c>
      <c r="Y138" s="358">
        <v>27738188.522551831</v>
      </c>
      <c r="Z138" s="358"/>
      <c r="AA138" s="358">
        <v>772079.75</v>
      </c>
      <c r="AB138" s="358">
        <v>65609684.443486728</v>
      </c>
      <c r="AC138" s="361"/>
    </row>
    <row r="139" spans="2:29" hidden="1" outlineLevel="1" x14ac:dyDescent="0.25">
      <c r="B139" s="205">
        <v>42736</v>
      </c>
      <c r="C139" s="357">
        <v>422492</v>
      </c>
      <c r="D139" s="357">
        <v>38802903.809898682</v>
      </c>
      <c r="E139" s="357">
        <v>28092849.912999999</v>
      </c>
      <c r="F139" s="357">
        <v>306164</v>
      </c>
      <c r="G139" s="357">
        <v>27711279.523514722</v>
      </c>
      <c r="H139" s="357">
        <v>20062643.259</v>
      </c>
      <c r="I139" s="357">
        <v>728656</v>
      </c>
      <c r="J139" s="357">
        <v>66514183.333413407</v>
      </c>
      <c r="K139" s="357">
        <v>48155493.171999998</v>
      </c>
      <c r="L139" s="357">
        <v>35386</v>
      </c>
      <c r="M139" s="357">
        <v>4848309.9485253347</v>
      </c>
      <c r="N139" s="357">
        <v>3510119.8709999998</v>
      </c>
      <c r="O139" s="357">
        <v>29465</v>
      </c>
      <c r="P139" s="357">
        <v>3955784.4389560856</v>
      </c>
      <c r="Q139" s="357">
        <v>2863941.8089999999</v>
      </c>
      <c r="R139" s="357">
        <v>64851</v>
      </c>
      <c r="S139" s="357">
        <v>8804094.3874814212</v>
      </c>
      <c r="T139" s="357">
        <v>6374061.6799999997</v>
      </c>
      <c r="U139" s="357">
        <v>457878</v>
      </c>
      <c r="V139" s="357">
        <v>43651213.758424021</v>
      </c>
      <c r="W139" s="357">
        <v>31602969.784000002</v>
      </c>
      <c r="X139" s="357">
        <v>335629</v>
      </c>
      <c r="Y139" s="357">
        <v>31667063.962470807</v>
      </c>
      <c r="Z139" s="357">
        <v>22926585.068</v>
      </c>
      <c r="AA139" s="357">
        <v>793507</v>
      </c>
      <c r="AB139" s="357">
        <v>75318277.720894828</v>
      </c>
      <c r="AC139" s="173">
        <v>54529554.851999998</v>
      </c>
    </row>
    <row r="140" spans="2:29" hidden="1" outlineLevel="1" x14ac:dyDescent="0.25">
      <c r="B140" s="205">
        <v>42767</v>
      </c>
      <c r="C140" s="357">
        <v>424127</v>
      </c>
      <c r="D140" s="357">
        <v>38553234.059962466</v>
      </c>
      <c r="E140" s="357">
        <v>27978911.712000001</v>
      </c>
      <c r="F140" s="357">
        <v>306699</v>
      </c>
      <c r="G140" s="357">
        <v>27591557.169534978</v>
      </c>
      <c r="H140" s="357">
        <v>20023786.872000001</v>
      </c>
      <c r="I140" s="357">
        <v>730826</v>
      </c>
      <c r="J140" s="357">
        <v>66144791.229497448</v>
      </c>
      <c r="K140" s="357">
        <v>48002698.583999999</v>
      </c>
      <c r="L140" s="357">
        <v>35320</v>
      </c>
      <c r="M140" s="357">
        <v>4829467.1940280013</v>
      </c>
      <c r="N140" s="357">
        <v>3504848.284</v>
      </c>
      <c r="O140" s="357">
        <v>29378</v>
      </c>
      <c r="P140" s="357">
        <v>3929697.6751072644</v>
      </c>
      <c r="Q140" s="357">
        <v>2851866.179</v>
      </c>
      <c r="R140" s="357">
        <v>64698</v>
      </c>
      <c r="S140" s="357">
        <v>8759164.8691352662</v>
      </c>
      <c r="T140" s="357">
        <v>6356714.4630000005</v>
      </c>
      <c r="U140" s="357">
        <v>459447</v>
      </c>
      <c r="V140" s="357">
        <v>43382701.253990471</v>
      </c>
      <c r="W140" s="357">
        <v>31483759.995999999</v>
      </c>
      <c r="X140" s="357">
        <v>336077</v>
      </c>
      <c r="Y140" s="357">
        <v>31521254.844642237</v>
      </c>
      <c r="Z140" s="357">
        <v>22875653.050999999</v>
      </c>
      <c r="AA140" s="357">
        <v>795524</v>
      </c>
      <c r="AB140" s="357">
        <v>74903956.098632708</v>
      </c>
      <c r="AC140" s="173">
        <v>54359413.046999998</v>
      </c>
    </row>
    <row r="141" spans="2:29" hidden="1" outlineLevel="1" x14ac:dyDescent="0.25">
      <c r="B141" s="205">
        <v>42795</v>
      </c>
      <c r="C141" s="357">
        <v>424388</v>
      </c>
      <c r="D141" s="357">
        <v>38270574.402638979</v>
      </c>
      <c r="E141" s="357">
        <v>27879944.388999999</v>
      </c>
      <c r="F141" s="357">
        <v>308300</v>
      </c>
      <c r="G141" s="357">
        <v>27528839.250306882</v>
      </c>
      <c r="H141" s="357">
        <v>20054637.783</v>
      </c>
      <c r="I141" s="357">
        <v>732688</v>
      </c>
      <c r="J141" s="357">
        <v>65799413.652945854</v>
      </c>
      <c r="K141" s="357">
        <v>47934582.171999998</v>
      </c>
      <c r="L141" s="357">
        <v>35219</v>
      </c>
      <c r="M141" s="357">
        <v>4789468.0149044842</v>
      </c>
      <c r="N141" s="357">
        <v>3489106.2910000002</v>
      </c>
      <c r="O141" s="357">
        <v>29336</v>
      </c>
      <c r="P141" s="357">
        <v>3905199.1043641716</v>
      </c>
      <c r="Q141" s="357">
        <v>2844920.2960000001</v>
      </c>
      <c r="R141" s="357">
        <v>64555</v>
      </c>
      <c r="S141" s="357">
        <v>8694667.1192686539</v>
      </c>
      <c r="T141" s="357">
        <v>6334026.5870000003</v>
      </c>
      <c r="U141" s="357">
        <v>459607</v>
      </c>
      <c r="V141" s="357">
        <v>43060042.417543456</v>
      </c>
      <c r="W141" s="357">
        <v>31369050.68</v>
      </c>
      <c r="X141" s="357">
        <v>337636</v>
      </c>
      <c r="Y141" s="357">
        <v>31434038.35467105</v>
      </c>
      <c r="Z141" s="357">
        <v>22899558.079</v>
      </c>
      <c r="AA141" s="357">
        <v>797243</v>
      </c>
      <c r="AB141" s="357">
        <v>74494080.772214502</v>
      </c>
      <c r="AC141" s="173">
        <v>54268608.759000003</v>
      </c>
    </row>
    <row r="142" spans="2:29" hidden="1" outlineLevel="1" x14ac:dyDescent="0.25">
      <c r="B142" s="205">
        <v>42826</v>
      </c>
      <c r="C142" s="357">
        <v>427169</v>
      </c>
      <c r="D142" s="357">
        <v>38613156.642482467</v>
      </c>
      <c r="E142" s="357">
        <v>28196861.346000001</v>
      </c>
      <c r="F142" s="357">
        <v>310215</v>
      </c>
      <c r="G142" s="357">
        <v>27735920.25551492</v>
      </c>
      <c r="H142" s="357">
        <v>20253871.109000001</v>
      </c>
      <c r="I142" s="357">
        <v>737384</v>
      </c>
      <c r="J142" s="357">
        <v>66349076.897997394</v>
      </c>
      <c r="K142" s="357">
        <v>48450732.454999998</v>
      </c>
      <c r="L142" s="357">
        <v>35233</v>
      </c>
      <c r="M142" s="357">
        <v>4783763.7554669781</v>
      </c>
      <c r="N142" s="357">
        <v>3493294.3859999999</v>
      </c>
      <c r="O142" s="357">
        <v>29366</v>
      </c>
      <c r="P142" s="357">
        <v>3893975.6267182459</v>
      </c>
      <c r="Q142" s="357">
        <v>2843535.7370000002</v>
      </c>
      <c r="R142" s="357">
        <v>64599</v>
      </c>
      <c r="S142" s="357">
        <v>8677739.3821852226</v>
      </c>
      <c r="T142" s="357">
        <v>6336830.1229999997</v>
      </c>
      <c r="U142" s="357">
        <v>462402</v>
      </c>
      <c r="V142" s="357">
        <v>43396920.39794945</v>
      </c>
      <c r="W142" s="357">
        <v>31690155.732000001</v>
      </c>
      <c r="X142" s="357">
        <v>339581</v>
      </c>
      <c r="Y142" s="357">
        <v>31629895.882233165</v>
      </c>
      <c r="Z142" s="357">
        <v>23097406.846000001</v>
      </c>
      <c r="AA142" s="357">
        <v>801983</v>
      </c>
      <c r="AB142" s="357">
        <v>75026816.280182615</v>
      </c>
      <c r="AC142" s="173">
        <v>54787562.578000002</v>
      </c>
    </row>
    <row r="143" spans="2:29" hidden="1" outlineLevel="1" x14ac:dyDescent="0.25">
      <c r="B143" s="205">
        <v>42856</v>
      </c>
      <c r="C143" s="357">
        <v>429990</v>
      </c>
      <c r="D143" s="357">
        <v>38840531.395511806</v>
      </c>
      <c r="E143" s="357">
        <v>28398884.397</v>
      </c>
      <c r="F143" s="357">
        <v>312104</v>
      </c>
      <c r="G143" s="357">
        <v>27930591.00676984</v>
      </c>
      <c r="H143" s="357">
        <v>20421904.557999998</v>
      </c>
      <c r="I143" s="357">
        <v>742094</v>
      </c>
      <c r="J143" s="357">
        <v>66771122.402281649</v>
      </c>
      <c r="K143" s="357">
        <v>48820788.954999998</v>
      </c>
      <c r="L143" s="357">
        <v>35231</v>
      </c>
      <c r="M143" s="357">
        <v>4772293.1900654733</v>
      </c>
      <c r="N143" s="357">
        <v>3489339.557</v>
      </c>
      <c r="O143" s="357">
        <v>29372</v>
      </c>
      <c r="P143" s="357">
        <v>3890365.7729774327</v>
      </c>
      <c r="Q143" s="357">
        <v>2844504.0240000002</v>
      </c>
      <c r="R143" s="357">
        <v>64603</v>
      </c>
      <c r="S143" s="357">
        <v>8662658.9630429074</v>
      </c>
      <c r="T143" s="357">
        <v>6333843.5810000002</v>
      </c>
      <c r="U143" s="357">
        <v>465221</v>
      </c>
      <c r="V143" s="357">
        <v>43612824.585577279</v>
      </c>
      <c r="W143" s="357">
        <v>31888223.954</v>
      </c>
      <c r="X143" s="357">
        <v>341476</v>
      </c>
      <c r="Y143" s="357">
        <v>31820956.779747277</v>
      </c>
      <c r="Z143" s="357">
        <v>23266408.581999999</v>
      </c>
      <c r="AA143" s="357">
        <v>806697</v>
      </c>
      <c r="AB143" s="357">
        <v>75433781.365324557</v>
      </c>
      <c r="AC143" s="173">
        <v>55154632.535999998</v>
      </c>
    </row>
    <row r="144" spans="2:29" hidden="1" outlineLevel="1" x14ac:dyDescent="0.25">
      <c r="B144" s="205">
        <v>42887</v>
      </c>
      <c r="C144" s="357">
        <v>432504</v>
      </c>
      <c r="D144" s="357">
        <v>39140980.8187268</v>
      </c>
      <c r="E144" s="357">
        <v>28506998.822999999</v>
      </c>
      <c r="F144" s="357">
        <v>313616</v>
      </c>
      <c r="G144" s="357">
        <v>28024357.5497883</v>
      </c>
      <c r="H144" s="357">
        <v>20410585.298999999</v>
      </c>
      <c r="I144" s="357">
        <v>746120</v>
      </c>
      <c r="J144" s="357">
        <v>67165338.368515104</v>
      </c>
      <c r="K144" s="357">
        <v>48917584.122000001</v>
      </c>
      <c r="L144" s="357">
        <v>35330</v>
      </c>
      <c r="M144" s="357">
        <v>4797456.0523485262</v>
      </c>
      <c r="N144" s="357">
        <v>3494063.5410000002</v>
      </c>
      <c r="O144" s="357">
        <v>29496</v>
      </c>
      <c r="P144" s="357">
        <v>3913410.4485293119</v>
      </c>
      <c r="Q144" s="357">
        <v>2850199.068</v>
      </c>
      <c r="R144" s="357">
        <v>64826</v>
      </c>
      <c r="S144" s="357">
        <v>8710866.5008778386</v>
      </c>
      <c r="T144" s="357">
        <v>6344262.6090000002</v>
      </c>
      <c r="U144" s="357">
        <v>467834</v>
      </c>
      <c r="V144" s="357">
        <v>43938436.871075325</v>
      </c>
      <c r="W144" s="357">
        <v>32001062.364</v>
      </c>
      <c r="X144" s="357">
        <v>343112</v>
      </c>
      <c r="Y144" s="357">
        <v>31937767.99831761</v>
      </c>
      <c r="Z144" s="357">
        <v>23260784.366999999</v>
      </c>
      <c r="AA144" s="357">
        <v>810946</v>
      </c>
      <c r="AB144" s="357">
        <v>75876204.869392946</v>
      </c>
      <c r="AC144" s="173">
        <v>55261846.730999999</v>
      </c>
    </row>
    <row r="145" spans="2:29" hidden="1" outlineLevel="1" x14ac:dyDescent="0.25">
      <c r="B145" s="205">
        <v>42917</v>
      </c>
      <c r="C145" s="357">
        <v>434836</v>
      </c>
      <c r="D145" s="357">
        <v>40846589.558253869</v>
      </c>
      <c r="E145" s="357">
        <v>29820947.833000001</v>
      </c>
      <c r="F145" s="357">
        <v>316011</v>
      </c>
      <c r="G145" s="357">
        <v>29415393.264995709</v>
      </c>
      <c r="H145" s="357">
        <v>21475352.471999999</v>
      </c>
      <c r="I145" s="357">
        <v>750847</v>
      </c>
      <c r="J145" s="357">
        <v>70261982.823249578</v>
      </c>
      <c r="K145" s="357">
        <v>51296300.305</v>
      </c>
      <c r="L145" s="357">
        <v>35288</v>
      </c>
      <c r="M145" s="357">
        <v>4889512.5410126494</v>
      </c>
      <c r="N145" s="357">
        <v>3569695.781</v>
      </c>
      <c r="O145" s="357">
        <v>29485</v>
      </c>
      <c r="P145" s="357">
        <v>3993681.6520892652</v>
      </c>
      <c r="Q145" s="357">
        <v>2915674.8089999999</v>
      </c>
      <c r="R145" s="357">
        <v>64773</v>
      </c>
      <c r="S145" s="357">
        <v>8883194.1931019146</v>
      </c>
      <c r="T145" s="357">
        <v>6485370.5899999999</v>
      </c>
      <c r="U145" s="357">
        <v>470124</v>
      </c>
      <c r="V145" s="357">
        <v>45736102.099266514</v>
      </c>
      <c r="W145" s="357">
        <v>33390643.614</v>
      </c>
      <c r="X145" s="357">
        <v>345496</v>
      </c>
      <c r="Y145" s="357">
        <v>33409074.917084977</v>
      </c>
      <c r="Z145" s="357">
        <v>24391027.280999999</v>
      </c>
      <c r="AA145" s="357">
        <v>815620</v>
      </c>
      <c r="AB145" s="357">
        <v>79145177.016351491</v>
      </c>
      <c r="AC145" s="173">
        <v>57781670.895000003</v>
      </c>
    </row>
    <row r="146" spans="2:29" hidden="1" outlineLevel="1" x14ac:dyDescent="0.25">
      <c r="B146" s="205">
        <v>42948</v>
      </c>
      <c r="C146" s="357">
        <v>436895</v>
      </c>
      <c r="D146" s="357">
        <v>40659661.501982383</v>
      </c>
      <c r="E146" s="357">
        <v>29744478.147999998</v>
      </c>
      <c r="F146" s="357">
        <v>317865</v>
      </c>
      <c r="G146" s="357">
        <v>29257429.67016501</v>
      </c>
      <c r="H146" s="357">
        <v>21403202.715999998</v>
      </c>
      <c r="I146" s="357">
        <v>754760</v>
      </c>
      <c r="J146" s="357">
        <v>69917091.172147378</v>
      </c>
      <c r="K146" s="357">
        <v>51147680.864</v>
      </c>
      <c r="L146" s="357">
        <v>35290</v>
      </c>
      <c r="M146" s="357">
        <v>4853061.5452790838</v>
      </c>
      <c r="N146" s="357">
        <v>3550245.5690000001</v>
      </c>
      <c r="O146" s="357">
        <v>29535</v>
      </c>
      <c r="P146" s="357">
        <v>3986554.765213802</v>
      </c>
      <c r="Q146" s="357">
        <v>2916354.6060000001</v>
      </c>
      <c r="R146" s="357">
        <v>64825</v>
      </c>
      <c r="S146" s="357">
        <v>8839616.3104928862</v>
      </c>
      <c r="T146" s="357">
        <v>6466600.1749999998</v>
      </c>
      <c r="U146" s="357">
        <v>472185</v>
      </c>
      <c r="V146" s="357">
        <v>45512723.047261469</v>
      </c>
      <c r="W146" s="357">
        <v>33294723.717</v>
      </c>
      <c r="X146" s="357">
        <v>347400</v>
      </c>
      <c r="Y146" s="357">
        <v>33243984.435378812</v>
      </c>
      <c r="Z146" s="357">
        <v>24319557.322000001</v>
      </c>
      <c r="AA146" s="357">
        <v>819585</v>
      </c>
      <c r="AB146" s="357">
        <v>78756707.482640281</v>
      </c>
      <c r="AC146" s="173">
        <v>57614281.038999997</v>
      </c>
    </row>
    <row r="147" spans="2:29" hidden="1" outlineLevel="1" x14ac:dyDescent="0.25">
      <c r="B147" s="205">
        <v>42979</v>
      </c>
      <c r="C147" s="357">
        <v>439139</v>
      </c>
      <c r="D147" s="357">
        <v>41038417.003139272</v>
      </c>
      <c r="E147" s="357">
        <v>29976170.539999999</v>
      </c>
      <c r="F147" s="357">
        <v>319533</v>
      </c>
      <c r="G147" s="357">
        <v>29405450.683749311</v>
      </c>
      <c r="H147" s="357">
        <v>21478966.999000002</v>
      </c>
      <c r="I147" s="357">
        <v>758672</v>
      </c>
      <c r="J147" s="357">
        <v>70443867.686888576</v>
      </c>
      <c r="K147" s="357">
        <v>51455137.538999997</v>
      </c>
      <c r="L147" s="357">
        <v>35214</v>
      </c>
      <c r="M147" s="357">
        <v>4840312.9145260965</v>
      </c>
      <c r="N147" s="357">
        <v>3535566.33</v>
      </c>
      <c r="O147" s="357">
        <v>29509</v>
      </c>
      <c r="P147" s="357">
        <v>3972932.3358485503</v>
      </c>
      <c r="Q147" s="357">
        <v>2901995.3969999999</v>
      </c>
      <c r="R147" s="357">
        <v>64723</v>
      </c>
      <c r="S147" s="357">
        <v>8813245.2503746469</v>
      </c>
      <c r="T147" s="357">
        <v>6437561.727</v>
      </c>
      <c r="U147" s="357">
        <v>474353</v>
      </c>
      <c r="V147" s="357">
        <v>45878729.91766537</v>
      </c>
      <c r="W147" s="357">
        <v>33511736.870000001</v>
      </c>
      <c r="X147" s="357">
        <v>349042</v>
      </c>
      <c r="Y147" s="357">
        <v>33378383.019597858</v>
      </c>
      <c r="Z147" s="357">
        <v>24380962.396000002</v>
      </c>
      <c r="AA147" s="357">
        <v>823395</v>
      </c>
      <c r="AB147" s="357">
        <v>79257112.937263235</v>
      </c>
      <c r="AC147" s="173">
        <v>57892699.266000003</v>
      </c>
    </row>
    <row r="148" spans="2:29" hidden="1" outlineLevel="1" x14ac:dyDescent="0.25">
      <c r="B148" s="205">
        <v>43009</v>
      </c>
      <c r="C148" s="357">
        <v>442652</v>
      </c>
      <c r="D148" s="357">
        <v>41297087.62707068</v>
      </c>
      <c r="E148" s="357">
        <v>30342106.068</v>
      </c>
      <c r="F148" s="357">
        <v>321666</v>
      </c>
      <c r="G148" s="357">
        <v>29561750.537699051</v>
      </c>
      <c r="H148" s="357">
        <v>21719831.153000001</v>
      </c>
      <c r="I148" s="357">
        <v>764318</v>
      </c>
      <c r="J148" s="357">
        <v>70858838.164769724</v>
      </c>
      <c r="K148" s="357">
        <v>52061937.221000001</v>
      </c>
      <c r="L148" s="357">
        <v>35178</v>
      </c>
      <c r="M148" s="357">
        <v>4827520.7027773345</v>
      </c>
      <c r="N148" s="357">
        <v>3546912.2310000001</v>
      </c>
      <c r="O148" s="357">
        <v>29486</v>
      </c>
      <c r="P148" s="357">
        <v>3949755.7729473077</v>
      </c>
      <c r="Q148" s="357">
        <v>2901994.196</v>
      </c>
      <c r="R148" s="357">
        <v>64664</v>
      </c>
      <c r="S148" s="357">
        <v>8777276.4757246412</v>
      </c>
      <c r="T148" s="357">
        <v>6448906.4270000001</v>
      </c>
      <c r="U148" s="357">
        <v>477830</v>
      </c>
      <c r="V148" s="357">
        <v>46124608.329848014</v>
      </c>
      <c r="W148" s="357">
        <v>33889018.299000002</v>
      </c>
      <c r="X148" s="357">
        <v>351152</v>
      </c>
      <c r="Y148" s="357">
        <v>33511506.310646359</v>
      </c>
      <c r="Z148" s="357">
        <v>24621825.348999999</v>
      </c>
      <c r="AA148" s="357">
        <v>828982</v>
      </c>
      <c r="AB148" s="357">
        <v>79636114.640494376</v>
      </c>
      <c r="AC148" s="173">
        <v>58510843.648000002</v>
      </c>
    </row>
    <row r="149" spans="2:29" hidden="1" outlineLevel="1" x14ac:dyDescent="0.25">
      <c r="B149" s="205">
        <v>43040</v>
      </c>
      <c r="C149" s="357">
        <v>445509</v>
      </c>
      <c r="D149" s="357">
        <v>41531729.204885595</v>
      </c>
      <c r="E149" s="357">
        <v>30540621.129999999</v>
      </c>
      <c r="F149" s="357">
        <v>323597</v>
      </c>
      <c r="G149" s="357">
        <v>29634990.349368405</v>
      </c>
      <c r="H149" s="357">
        <v>21792278.572999999</v>
      </c>
      <c r="I149" s="357">
        <v>769106</v>
      </c>
      <c r="J149" s="357">
        <v>71166719.554253995</v>
      </c>
      <c r="K149" s="357">
        <v>52332899.703000002</v>
      </c>
      <c r="L149" s="357">
        <v>35101</v>
      </c>
      <c r="M149" s="357">
        <v>4808497.0524556767</v>
      </c>
      <c r="N149" s="357">
        <v>3535958.88</v>
      </c>
      <c r="O149" s="357">
        <v>29463</v>
      </c>
      <c r="P149" s="357">
        <v>3946470.1737942221</v>
      </c>
      <c r="Q149" s="357">
        <v>2902061.9339999999</v>
      </c>
      <c r="R149" s="357">
        <v>64564</v>
      </c>
      <c r="S149" s="357">
        <v>8754967.2262498997</v>
      </c>
      <c r="T149" s="357">
        <v>6438020.8140000002</v>
      </c>
      <c r="U149" s="357">
        <v>480610</v>
      </c>
      <c r="V149" s="357">
        <v>46340226.257341281</v>
      </c>
      <c r="W149" s="357">
        <v>34076580.009999998</v>
      </c>
      <c r="X149" s="357">
        <v>353060</v>
      </c>
      <c r="Y149" s="357">
        <v>33581460.523162626</v>
      </c>
      <c r="Z149" s="357">
        <v>24694340.506999999</v>
      </c>
      <c r="AA149" s="357">
        <v>833670</v>
      </c>
      <c r="AB149" s="357">
        <v>79921686.780503899</v>
      </c>
      <c r="AC149" s="173">
        <v>58770920.516999997</v>
      </c>
    </row>
    <row r="150" spans="2:29" hidden="1" outlineLevel="1" x14ac:dyDescent="0.25">
      <c r="B150" s="205">
        <v>43070</v>
      </c>
      <c r="C150" s="357">
        <v>448472</v>
      </c>
      <c r="D150" s="357">
        <v>41837520.376928054</v>
      </c>
      <c r="E150" s="357">
        <v>30810925.061000001</v>
      </c>
      <c r="F150" s="357">
        <v>325611</v>
      </c>
      <c r="G150" s="357">
        <v>29808625.045914281</v>
      </c>
      <c r="H150" s="357">
        <v>21952336.184999999</v>
      </c>
      <c r="I150" s="357">
        <v>774083</v>
      </c>
      <c r="J150" s="357">
        <v>71646145.422842354</v>
      </c>
      <c r="K150" s="357">
        <v>52763261.245999999</v>
      </c>
      <c r="L150" s="357">
        <v>35047</v>
      </c>
      <c r="M150" s="357">
        <v>4790084.3473375505</v>
      </c>
      <c r="N150" s="357">
        <v>3527621.344</v>
      </c>
      <c r="O150" s="357">
        <v>29394</v>
      </c>
      <c r="P150" s="357">
        <v>3924339.5608946928</v>
      </c>
      <c r="Q150" s="357">
        <v>2890050.1519999998</v>
      </c>
      <c r="R150" s="357">
        <v>64441</v>
      </c>
      <c r="S150" s="357">
        <v>8714423.9082322419</v>
      </c>
      <c r="T150" s="357">
        <v>6417671.4960000003</v>
      </c>
      <c r="U150" s="357">
        <v>483519</v>
      </c>
      <c r="V150" s="357">
        <v>46627604.724265613</v>
      </c>
      <c r="W150" s="357">
        <v>34338546.405000001</v>
      </c>
      <c r="X150" s="357">
        <v>355005</v>
      </c>
      <c r="Y150" s="357">
        <v>33732964.606808975</v>
      </c>
      <c r="Z150" s="357">
        <v>24842386.337000001</v>
      </c>
      <c r="AA150" s="357">
        <v>838524</v>
      </c>
      <c r="AB150" s="357">
        <v>80360569.331074581</v>
      </c>
      <c r="AC150" s="173">
        <v>59180932.741999999</v>
      </c>
    </row>
    <row r="151" spans="2:29" collapsed="1" x14ac:dyDescent="0.25">
      <c r="B151" s="359" t="s">
        <v>708</v>
      </c>
      <c r="C151" s="358">
        <v>434014.41666666669</v>
      </c>
      <c r="D151" s="358">
        <v>39952698.866790086</v>
      </c>
      <c r="E151" s="358"/>
      <c r="F151" s="358">
        <v>315115.08333333331</v>
      </c>
      <c r="G151" s="358">
        <v>28633848.69227678</v>
      </c>
      <c r="H151" s="358"/>
      <c r="I151" s="358">
        <v>749129.5</v>
      </c>
      <c r="J151" s="358">
        <v>68586547.559066877</v>
      </c>
      <c r="K151" s="358"/>
      <c r="L151" s="358">
        <v>35236.416666666664</v>
      </c>
      <c r="M151" s="358">
        <v>4819145.6048939331</v>
      </c>
      <c r="N151" s="358"/>
      <c r="O151" s="358">
        <v>29440.416666666668</v>
      </c>
      <c r="P151" s="358">
        <v>3938513.9439533618</v>
      </c>
      <c r="Q151" s="358"/>
      <c r="R151" s="358">
        <v>64676.833333333336</v>
      </c>
      <c r="S151" s="358">
        <v>8757659.5488472953</v>
      </c>
      <c r="T151" s="358"/>
      <c r="U151" s="358">
        <v>469250.83333333331</v>
      </c>
      <c r="V151" s="358">
        <v>44771844.471684016</v>
      </c>
      <c r="W151" s="358"/>
      <c r="X151" s="358">
        <v>344555.5</v>
      </c>
      <c r="Y151" s="358">
        <v>32572362.636230141</v>
      </c>
      <c r="Z151" s="358"/>
      <c r="AA151" s="358">
        <v>813806.33333333337</v>
      </c>
      <c r="AB151" s="358">
        <v>77344207.107914165</v>
      </c>
      <c r="AC151" s="361"/>
    </row>
    <row r="152" spans="2:29" hidden="1" outlineLevel="1" x14ac:dyDescent="0.25">
      <c r="B152" s="205">
        <v>43101</v>
      </c>
      <c r="C152" s="357">
        <v>451178</v>
      </c>
      <c r="D152" s="357">
        <v>41922930.036820553</v>
      </c>
      <c r="E152" s="357">
        <v>31016005.504000001</v>
      </c>
      <c r="F152" s="357">
        <v>327550</v>
      </c>
      <c r="G152" s="357">
        <v>29844139.211751219</v>
      </c>
      <c r="H152" s="357">
        <v>22079706.386</v>
      </c>
      <c r="I152" s="357">
        <v>778728</v>
      </c>
      <c r="J152" s="357">
        <v>71767069.248571783</v>
      </c>
      <c r="K152" s="357">
        <v>53095711.890000001</v>
      </c>
      <c r="L152" s="357">
        <v>35049</v>
      </c>
      <c r="M152" s="357">
        <v>4767449.7832422927</v>
      </c>
      <c r="N152" s="357">
        <v>3527121.0430000001</v>
      </c>
      <c r="O152" s="357">
        <v>29405</v>
      </c>
      <c r="P152" s="357">
        <v>3915712.510487657</v>
      </c>
      <c r="Q152" s="357">
        <v>2896976.9210000001</v>
      </c>
      <c r="R152" s="357">
        <v>64454</v>
      </c>
      <c r="S152" s="357">
        <v>8683162.2937299497</v>
      </c>
      <c r="T152" s="357">
        <v>6424097.9639999997</v>
      </c>
      <c r="U152" s="357">
        <v>486227</v>
      </c>
      <c r="V152" s="357">
        <v>46690379.820062853</v>
      </c>
      <c r="W152" s="357">
        <v>34543126.546999998</v>
      </c>
      <c r="X152" s="357">
        <v>356955</v>
      </c>
      <c r="Y152" s="357">
        <v>33759851.722238876</v>
      </c>
      <c r="Z152" s="357">
        <v>24976683.307</v>
      </c>
      <c r="AA152" s="357">
        <v>843182</v>
      </c>
      <c r="AB152" s="357">
        <v>80450231.542301729</v>
      </c>
      <c r="AC152" s="173">
        <v>59519809.854000002</v>
      </c>
    </row>
    <row r="153" spans="2:29" hidden="1" outlineLevel="1" x14ac:dyDescent="0.25">
      <c r="B153" s="205">
        <v>43132</v>
      </c>
      <c r="C153" s="357">
        <v>453700</v>
      </c>
      <c r="D153" s="357">
        <v>41848450.775995724</v>
      </c>
      <c r="E153" s="357">
        <v>30974827.267000001</v>
      </c>
      <c r="F153" s="357">
        <v>329547</v>
      </c>
      <c r="G153" s="357">
        <v>29913715.487313367</v>
      </c>
      <c r="H153" s="357">
        <v>22141134.329999998</v>
      </c>
      <c r="I153" s="357">
        <v>783247</v>
      </c>
      <c r="J153" s="357">
        <v>71762166.263309091</v>
      </c>
      <c r="K153" s="357">
        <v>53115961.597000003</v>
      </c>
      <c r="L153" s="357">
        <v>35033</v>
      </c>
      <c r="M153" s="357">
        <v>4757354.803766666</v>
      </c>
      <c r="N153" s="357">
        <v>3521235.3280000002</v>
      </c>
      <c r="O153" s="357">
        <v>29490</v>
      </c>
      <c r="P153" s="357">
        <v>3926226.5599014419</v>
      </c>
      <c r="Q153" s="357">
        <v>2906061.9270000001</v>
      </c>
      <c r="R153" s="357">
        <v>64523</v>
      </c>
      <c r="S153" s="357">
        <v>8683581.3636681084</v>
      </c>
      <c r="T153" s="357">
        <v>6427297.2549999999</v>
      </c>
      <c r="U153" s="357">
        <v>488733</v>
      </c>
      <c r="V153" s="357">
        <v>46605805.579762399</v>
      </c>
      <c r="W153" s="357">
        <v>34496062.594999999</v>
      </c>
      <c r="X153" s="357">
        <v>359037</v>
      </c>
      <c r="Y153" s="357">
        <v>33839942.047214806</v>
      </c>
      <c r="Z153" s="357">
        <v>25047196.256999999</v>
      </c>
      <c r="AA153" s="357">
        <v>847770</v>
      </c>
      <c r="AB153" s="357">
        <v>80445747.626977205</v>
      </c>
      <c r="AC153" s="173">
        <v>59543258.851999998</v>
      </c>
    </row>
    <row r="154" spans="2:29" hidden="1" outlineLevel="1" x14ac:dyDescent="0.25">
      <c r="B154" s="205">
        <v>43160</v>
      </c>
      <c r="C154" s="357">
        <v>458631</v>
      </c>
      <c r="D154" s="357">
        <v>42764463.535972297</v>
      </c>
      <c r="E154" s="357">
        <v>31717601.550999999</v>
      </c>
      <c r="F154" s="357">
        <v>332732</v>
      </c>
      <c r="G154" s="357">
        <v>30428677.397405848</v>
      </c>
      <c r="H154" s="357">
        <v>22568380.043000001</v>
      </c>
      <c r="I154" s="357">
        <v>791363</v>
      </c>
      <c r="J154" s="357">
        <v>73193140.933378145</v>
      </c>
      <c r="K154" s="357">
        <v>54285981.593999997</v>
      </c>
      <c r="L154" s="357">
        <v>35283</v>
      </c>
      <c r="M154" s="357">
        <v>4824702.7223531231</v>
      </c>
      <c r="N154" s="357">
        <v>3578391.6340000001</v>
      </c>
      <c r="O154" s="357">
        <v>29743</v>
      </c>
      <c r="P154" s="357">
        <v>3980894.7123647146</v>
      </c>
      <c r="Q154" s="357">
        <v>2952555.0389999999</v>
      </c>
      <c r="R154" s="357">
        <v>65026</v>
      </c>
      <c r="S154" s="357">
        <v>8805597.4347178359</v>
      </c>
      <c r="T154" s="357">
        <v>6530946.6730000004</v>
      </c>
      <c r="U154" s="357">
        <v>493914</v>
      </c>
      <c r="V154" s="357">
        <v>47589166.258325413</v>
      </c>
      <c r="W154" s="357">
        <v>35295993.185000002</v>
      </c>
      <c r="X154" s="357">
        <v>362475</v>
      </c>
      <c r="Y154" s="357">
        <v>34409572.109770559</v>
      </c>
      <c r="Z154" s="357">
        <v>25520935.081999999</v>
      </c>
      <c r="AA154" s="357">
        <v>856389</v>
      </c>
      <c r="AB154" s="357">
        <v>81998738.368095979</v>
      </c>
      <c r="AC154" s="173">
        <v>60816928.266999997</v>
      </c>
    </row>
    <row r="155" spans="2:29" hidden="1" outlineLevel="1" x14ac:dyDescent="0.25">
      <c r="B155" s="205">
        <v>43191</v>
      </c>
      <c r="C155" s="357">
        <v>464449</v>
      </c>
      <c r="D155" s="357">
        <v>43256103.544235148</v>
      </c>
      <c r="E155" s="357">
        <v>32183666.956</v>
      </c>
      <c r="F155" s="357">
        <v>336427</v>
      </c>
      <c r="G155" s="357">
        <v>30647674.182068475</v>
      </c>
      <c r="H155" s="357">
        <v>22802667.324000001</v>
      </c>
      <c r="I155" s="357">
        <v>800876</v>
      </c>
      <c r="J155" s="357">
        <v>73903777.726303622</v>
      </c>
      <c r="K155" s="357">
        <v>54986334.280000001</v>
      </c>
      <c r="L155" s="357">
        <v>35549</v>
      </c>
      <c r="M155" s="357">
        <v>4821140.9688929319</v>
      </c>
      <c r="N155" s="357">
        <v>3587054.3709999998</v>
      </c>
      <c r="O155" s="357">
        <v>29988</v>
      </c>
      <c r="P155" s="357">
        <v>3972073.4104207032</v>
      </c>
      <c r="Q155" s="357">
        <v>2955326.0070000002</v>
      </c>
      <c r="R155" s="357">
        <v>65537</v>
      </c>
      <c r="S155" s="357">
        <v>8793214.3793136347</v>
      </c>
      <c r="T155" s="357">
        <v>6542380.3779999996</v>
      </c>
      <c r="U155" s="357">
        <v>499998</v>
      </c>
      <c r="V155" s="357">
        <v>48077244.513128079</v>
      </c>
      <c r="W155" s="357">
        <v>35770721.327</v>
      </c>
      <c r="X155" s="357">
        <v>366415</v>
      </c>
      <c r="Y155" s="357">
        <v>34619747.592489175</v>
      </c>
      <c r="Z155" s="357">
        <v>25757993.331</v>
      </c>
      <c r="AA155" s="357">
        <v>866413</v>
      </c>
      <c r="AB155" s="357">
        <v>82696992.10561727</v>
      </c>
      <c r="AC155" s="173">
        <v>61528714.658</v>
      </c>
    </row>
    <row r="156" spans="2:29" hidden="1" outlineLevel="1" x14ac:dyDescent="0.25">
      <c r="B156" s="205">
        <v>43221</v>
      </c>
      <c r="C156" s="357">
        <v>468409</v>
      </c>
      <c r="D156" s="357">
        <v>43290941.780373156</v>
      </c>
      <c r="E156" s="357">
        <v>32299686.548999999</v>
      </c>
      <c r="F156" s="357">
        <v>339383</v>
      </c>
      <c r="G156" s="357">
        <v>30787942.64949511</v>
      </c>
      <c r="H156" s="357">
        <v>22971107.954</v>
      </c>
      <c r="I156" s="357">
        <v>807792</v>
      </c>
      <c r="J156" s="357">
        <v>74078884.429868266</v>
      </c>
      <c r="K156" s="357">
        <v>55270794.502999999</v>
      </c>
      <c r="L156" s="357">
        <v>35884</v>
      </c>
      <c r="M156" s="357">
        <v>4863174.828541318</v>
      </c>
      <c r="N156" s="357">
        <v>3628450.1129999999</v>
      </c>
      <c r="O156" s="357">
        <v>30386</v>
      </c>
      <c r="P156" s="357">
        <v>4019336.8535385109</v>
      </c>
      <c r="Q156" s="357">
        <v>2998856.4619999998</v>
      </c>
      <c r="R156" s="357">
        <v>66270</v>
      </c>
      <c r="S156" s="357">
        <v>8882511.6820798274</v>
      </c>
      <c r="T156" s="357">
        <v>6627306.5750000002</v>
      </c>
      <c r="U156" s="357">
        <v>504293</v>
      </c>
      <c r="V156" s="357">
        <v>48154116.608914472</v>
      </c>
      <c r="W156" s="357">
        <v>35928136.662</v>
      </c>
      <c r="X156" s="357">
        <v>369769</v>
      </c>
      <c r="Y156" s="357">
        <v>34807279.503033623</v>
      </c>
      <c r="Z156" s="357">
        <v>25969964.416000001</v>
      </c>
      <c r="AA156" s="357">
        <v>874062</v>
      </c>
      <c r="AB156" s="357">
        <v>82961396.111948088</v>
      </c>
      <c r="AC156" s="173">
        <v>61898101.078000002</v>
      </c>
    </row>
    <row r="157" spans="2:29" hidden="1" outlineLevel="1" x14ac:dyDescent="0.25">
      <c r="B157" s="205">
        <v>43252</v>
      </c>
      <c r="C157" s="357">
        <v>471975</v>
      </c>
      <c r="D157" s="357">
        <v>43567460.559863463</v>
      </c>
      <c r="E157" s="357">
        <v>32539504.044</v>
      </c>
      <c r="F157" s="357">
        <v>342712</v>
      </c>
      <c r="G157" s="357">
        <v>31061101.686653428</v>
      </c>
      <c r="H157" s="357">
        <v>23198800.916000001</v>
      </c>
      <c r="I157" s="357">
        <v>814687</v>
      </c>
      <c r="J157" s="357">
        <v>74628562.246516898</v>
      </c>
      <c r="K157" s="357">
        <v>55738304.960000001</v>
      </c>
      <c r="L157" s="357">
        <v>36044</v>
      </c>
      <c r="M157" s="357">
        <v>4852918.6794528812</v>
      </c>
      <c r="N157" s="357">
        <v>3624529.9810000001</v>
      </c>
      <c r="O157" s="357">
        <v>30563</v>
      </c>
      <c r="P157" s="357">
        <v>4004346.4096618653</v>
      </c>
      <c r="Q157" s="357">
        <v>2990751.4580000001</v>
      </c>
      <c r="R157" s="357">
        <v>66607</v>
      </c>
      <c r="S157" s="357">
        <v>8857265.0891147461</v>
      </c>
      <c r="T157" s="357">
        <v>6615281.4390000002</v>
      </c>
      <c r="U157" s="357">
        <v>508019</v>
      </c>
      <c r="V157" s="357">
        <v>48420379.239316344</v>
      </c>
      <c r="W157" s="357">
        <v>36164034.024999999</v>
      </c>
      <c r="X157" s="357">
        <v>373275</v>
      </c>
      <c r="Y157" s="357">
        <v>35065448.096315295</v>
      </c>
      <c r="Z157" s="357">
        <v>26189552.374000002</v>
      </c>
      <c r="AA157" s="357">
        <v>881294</v>
      </c>
      <c r="AB157" s="357">
        <v>83485827.335631639</v>
      </c>
      <c r="AC157" s="173">
        <v>62353586.398999996</v>
      </c>
    </row>
    <row r="158" spans="2:29" hidden="1" outlineLevel="1" x14ac:dyDescent="0.25">
      <c r="B158" s="205">
        <v>43282</v>
      </c>
      <c r="C158" s="357">
        <v>475671</v>
      </c>
      <c r="D158" s="357">
        <v>45487482.395537958</v>
      </c>
      <c r="E158" s="357">
        <v>34093858.626000002</v>
      </c>
      <c r="F158" s="357">
        <v>346201</v>
      </c>
      <c r="G158" s="357">
        <v>32431526.436337706</v>
      </c>
      <c r="H158" s="357">
        <v>24308135.318</v>
      </c>
      <c r="I158" s="357">
        <v>821872</v>
      </c>
      <c r="J158" s="357">
        <v>77919008.831875652</v>
      </c>
      <c r="K158" s="357">
        <v>58401993.943999998</v>
      </c>
      <c r="L158" s="357">
        <v>36149</v>
      </c>
      <c r="M158" s="357">
        <v>4956337.6997501319</v>
      </c>
      <c r="N158" s="357">
        <v>3714883.0389999999</v>
      </c>
      <c r="O158" s="357">
        <v>30697</v>
      </c>
      <c r="P158" s="357">
        <v>4109361.6402501292</v>
      </c>
      <c r="Q158" s="357">
        <v>3080056.0380000002</v>
      </c>
      <c r="R158" s="357">
        <v>66846</v>
      </c>
      <c r="S158" s="357">
        <v>9065699.3400002606</v>
      </c>
      <c r="T158" s="357">
        <v>6794939.0769999996</v>
      </c>
      <c r="U158" s="357">
        <v>511820</v>
      </c>
      <c r="V158" s="357">
        <v>50443820.095288083</v>
      </c>
      <c r="W158" s="357">
        <v>37808741.664999999</v>
      </c>
      <c r="X158" s="357">
        <v>376898</v>
      </c>
      <c r="Y158" s="357">
        <v>36540888.076587841</v>
      </c>
      <c r="Z158" s="357">
        <v>27388191.355999999</v>
      </c>
      <c r="AA158" s="357">
        <v>888718</v>
      </c>
      <c r="AB158" s="357">
        <v>86984708.171875924</v>
      </c>
      <c r="AC158" s="173">
        <v>65196933.020999998</v>
      </c>
    </row>
    <row r="159" spans="2:29" hidden="1" outlineLevel="1" x14ac:dyDescent="0.25">
      <c r="B159" s="205">
        <v>43313</v>
      </c>
      <c r="C159" s="357">
        <v>478874</v>
      </c>
      <c r="D159" s="357">
        <v>45733043.30127649</v>
      </c>
      <c r="E159" s="357">
        <v>34336824.353</v>
      </c>
      <c r="F159" s="357">
        <v>349112</v>
      </c>
      <c r="G159" s="357">
        <v>32600556.059286792</v>
      </c>
      <c r="H159" s="357">
        <v>24476822.149</v>
      </c>
      <c r="I159" s="357">
        <v>827986</v>
      </c>
      <c r="J159" s="357">
        <v>78333599.360563278</v>
      </c>
      <c r="K159" s="357">
        <v>58813646.501999997</v>
      </c>
      <c r="L159" s="357">
        <v>36176</v>
      </c>
      <c r="M159" s="357">
        <v>4930985.361901884</v>
      </c>
      <c r="N159" s="357">
        <v>3702232.9160000002</v>
      </c>
      <c r="O159" s="357">
        <v>30737</v>
      </c>
      <c r="P159" s="357">
        <v>4091583.3219002038</v>
      </c>
      <c r="Q159" s="357">
        <v>3072001.5049999999</v>
      </c>
      <c r="R159" s="357">
        <v>66913</v>
      </c>
      <c r="S159" s="357">
        <v>9022568.6838020869</v>
      </c>
      <c r="T159" s="357">
        <v>6774234.4210000001</v>
      </c>
      <c r="U159" s="357">
        <v>515050</v>
      </c>
      <c r="V159" s="357">
        <v>50664028.663178377</v>
      </c>
      <c r="W159" s="357">
        <v>38039057.269000001</v>
      </c>
      <c r="X159" s="357">
        <v>379849</v>
      </c>
      <c r="Y159" s="357">
        <v>36692139.381186999</v>
      </c>
      <c r="Z159" s="357">
        <v>27548823.653999999</v>
      </c>
      <c r="AA159" s="357">
        <v>894899</v>
      </c>
      <c r="AB159" s="357">
        <v>87356168.044365376</v>
      </c>
      <c r="AC159" s="173">
        <v>65587880.923</v>
      </c>
    </row>
    <row r="160" spans="2:29" hidden="1" outlineLevel="1" x14ac:dyDescent="0.25">
      <c r="B160" s="205">
        <v>43344</v>
      </c>
      <c r="C160" s="357">
        <v>481641</v>
      </c>
      <c r="D160" s="357">
        <v>45921163.522349305</v>
      </c>
      <c r="E160" s="357">
        <v>34595251.151000001</v>
      </c>
      <c r="F160" s="357">
        <v>351534</v>
      </c>
      <c r="G160" s="357">
        <v>32655039.421381526</v>
      </c>
      <c r="H160" s="357">
        <v>24601059.805</v>
      </c>
      <c r="I160" s="357">
        <v>833175</v>
      </c>
      <c r="J160" s="357">
        <v>78576202.943730831</v>
      </c>
      <c r="K160" s="357">
        <v>59196310.956</v>
      </c>
      <c r="L160" s="357">
        <v>36125</v>
      </c>
      <c r="M160" s="357">
        <v>4891613.2580544073</v>
      </c>
      <c r="N160" s="357">
        <v>3685154.648</v>
      </c>
      <c r="O160" s="357">
        <v>30718</v>
      </c>
      <c r="P160" s="357">
        <v>4065821.0455185645</v>
      </c>
      <c r="Q160" s="357">
        <v>3063034.327</v>
      </c>
      <c r="R160" s="357">
        <v>66843</v>
      </c>
      <c r="S160" s="357">
        <v>8957434.3035729714</v>
      </c>
      <c r="T160" s="357">
        <v>6748188.9749999996</v>
      </c>
      <c r="U160" s="357">
        <v>517766</v>
      </c>
      <c r="V160" s="357">
        <v>50812776.780403711</v>
      </c>
      <c r="W160" s="357">
        <v>38280405.799000002</v>
      </c>
      <c r="X160" s="357">
        <v>382252</v>
      </c>
      <c r="Y160" s="357">
        <v>36720860.466900095</v>
      </c>
      <c r="Z160" s="357">
        <v>27664094.131999999</v>
      </c>
      <c r="AA160" s="357">
        <v>900018</v>
      </c>
      <c r="AB160" s="357">
        <v>87533637.247303799</v>
      </c>
      <c r="AC160" s="173">
        <v>65944499.931000002</v>
      </c>
    </row>
    <row r="161" spans="2:29" hidden="1" outlineLevel="1" x14ac:dyDescent="0.25">
      <c r="B161" s="205">
        <v>43374</v>
      </c>
      <c r="C161" s="357">
        <v>485731</v>
      </c>
      <c r="D161" s="357">
        <v>46315487.519708</v>
      </c>
      <c r="E161" s="357">
        <v>35020226.123000003</v>
      </c>
      <c r="F161" s="357">
        <v>354434</v>
      </c>
      <c r="G161" s="357">
        <v>32875158.481138065</v>
      </c>
      <c r="H161" s="357">
        <v>24857678.186999999</v>
      </c>
      <c r="I161" s="357">
        <v>840165</v>
      </c>
      <c r="J161" s="357">
        <v>79190646.000846058</v>
      </c>
      <c r="K161" s="357">
        <v>59877904.310000002</v>
      </c>
      <c r="L161" s="357">
        <v>36113</v>
      </c>
      <c r="M161" s="357">
        <v>4886073.3672147533</v>
      </c>
      <c r="N161" s="357">
        <v>3694474.642</v>
      </c>
      <c r="O161" s="357">
        <v>30790</v>
      </c>
      <c r="P161" s="357">
        <v>4070909.7777724583</v>
      </c>
      <c r="Q161" s="357">
        <v>3078110.338</v>
      </c>
      <c r="R161" s="357">
        <v>66903</v>
      </c>
      <c r="S161" s="357">
        <v>8956983.1449872106</v>
      </c>
      <c r="T161" s="357">
        <v>6772584.9800000004</v>
      </c>
      <c r="U161" s="357">
        <v>521844</v>
      </c>
      <c r="V161" s="357">
        <v>51201560.886922754</v>
      </c>
      <c r="W161" s="357">
        <v>38714700.765000001</v>
      </c>
      <c r="X161" s="357">
        <v>385224</v>
      </c>
      <c r="Y161" s="357">
        <v>36946068.258910522</v>
      </c>
      <c r="Z161" s="357">
        <v>27935788.524999999</v>
      </c>
      <c r="AA161" s="357">
        <v>907068</v>
      </c>
      <c r="AB161" s="357">
        <v>88147629.145833269</v>
      </c>
      <c r="AC161" s="173">
        <v>66650489.289999999</v>
      </c>
    </row>
    <row r="162" spans="2:29" hidden="1" outlineLevel="1" x14ac:dyDescent="0.25">
      <c r="B162" s="205">
        <v>43405</v>
      </c>
      <c r="C162" s="357">
        <v>489744</v>
      </c>
      <c r="D162" s="357">
        <v>46775238.05692599</v>
      </c>
      <c r="E162" s="357">
        <v>35365985.254000001</v>
      </c>
      <c r="F162" s="357">
        <v>357070</v>
      </c>
      <c r="G162" s="357">
        <v>33019055.49617891</v>
      </c>
      <c r="H162" s="357">
        <v>24965162.728999998</v>
      </c>
      <c r="I162" s="357">
        <v>846814</v>
      </c>
      <c r="J162" s="357">
        <v>79794293.553104892</v>
      </c>
      <c r="K162" s="357">
        <v>60331147.983000003</v>
      </c>
      <c r="L162" s="357">
        <v>36146</v>
      </c>
      <c r="M162" s="357">
        <v>4896848.2860009996</v>
      </c>
      <c r="N162" s="357">
        <v>3702426.1439999999</v>
      </c>
      <c r="O162" s="357">
        <v>30850</v>
      </c>
      <c r="P162" s="357">
        <v>4071930.9350394215</v>
      </c>
      <c r="Q162" s="357">
        <v>3078719.7540000002</v>
      </c>
      <c r="R162" s="357">
        <v>66996</v>
      </c>
      <c r="S162" s="357">
        <v>8968779.2210404202</v>
      </c>
      <c r="T162" s="357">
        <v>6781145.898</v>
      </c>
      <c r="U162" s="357">
        <v>525890</v>
      </c>
      <c r="V162" s="357">
        <v>51672086.342926987</v>
      </c>
      <c r="W162" s="357">
        <v>39068411.398000002</v>
      </c>
      <c r="X162" s="357">
        <v>387920</v>
      </c>
      <c r="Y162" s="357">
        <v>37090986.431218334</v>
      </c>
      <c r="Z162" s="357">
        <v>28043882.482999999</v>
      </c>
      <c r="AA162" s="357">
        <v>913810</v>
      </c>
      <c r="AB162" s="357">
        <v>88763072.774145305</v>
      </c>
      <c r="AC162" s="173">
        <v>67112293.880999997</v>
      </c>
    </row>
    <row r="163" spans="2:29" hidden="1" outlineLevel="1" x14ac:dyDescent="0.25">
      <c r="B163" s="205">
        <v>43435</v>
      </c>
      <c r="C163" s="357">
        <v>493400</v>
      </c>
      <c r="D163" s="357">
        <v>47229516.36699523</v>
      </c>
      <c r="E163" s="357">
        <v>35673355.038999997</v>
      </c>
      <c r="F163" s="357">
        <v>360031</v>
      </c>
      <c r="G163" s="357">
        <v>33494677.559037063</v>
      </c>
      <c r="H163" s="357">
        <v>25299169.171999998</v>
      </c>
      <c r="I163" s="357">
        <v>853431</v>
      </c>
      <c r="J163" s="357">
        <v>80724193.92603229</v>
      </c>
      <c r="K163" s="357">
        <v>60972524.211000003</v>
      </c>
      <c r="L163" s="357">
        <v>36075</v>
      </c>
      <c r="M163" s="357">
        <v>4887975.8148835078</v>
      </c>
      <c r="N163" s="357">
        <v>3691981.415</v>
      </c>
      <c r="O163" s="357">
        <v>30827</v>
      </c>
      <c r="P163" s="357">
        <v>4080762.8118839832</v>
      </c>
      <c r="Q163" s="357">
        <v>3082278.0290000001</v>
      </c>
      <c r="R163" s="357">
        <v>66902</v>
      </c>
      <c r="S163" s="357">
        <v>8968738.6267674901</v>
      </c>
      <c r="T163" s="357">
        <v>6774259.4440000001</v>
      </c>
      <c r="U163" s="357">
        <v>529475</v>
      </c>
      <c r="V163" s="357">
        <v>52117492.181878738</v>
      </c>
      <c r="W163" s="357">
        <v>39365336.454000004</v>
      </c>
      <c r="X163" s="357">
        <v>390858</v>
      </c>
      <c r="Y163" s="357">
        <v>37575440.370921053</v>
      </c>
      <c r="Z163" s="357">
        <v>28381447.201000001</v>
      </c>
      <c r="AA163" s="357">
        <v>920333</v>
      </c>
      <c r="AB163" s="357">
        <v>89692932.552799791</v>
      </c>
      <c r="AC163" s="173">
        <v>67746783.655000001</v>
      </c>
    </row>
    <row r="164" spans="2:29" collapsed="1" x14ac:dyDescent="0.25">
      <c r="B164" s="359" t="s">
        <v>709</v>
      </c>
      <c r="C164" s="358">
        <v>472783.58333333331</v>
      </c>
      <c r="D164" s="358">
        <v>44509356.78300444</v>
      </c>
      <c r="E164" s="358"/>
      <c r="F164" s="358">
        <v>343894.41666666669</v>
      </c>
      <c r="G164" s="358">
        <v>31646605.339003962</v>
      </c>
      <c r="H164" s="358"/>
      <c r="I164" s="358">
        <v>816678</v>
      </c>
      <c r="J164" s="358">
        <v>76155962.122008398</v>
      </c>
      <c r="K164" s="358"/>
      <c r="L164" s="358">
        <v>35802.166666666664</v>
      </c>
      <c r="M164" s="358">
        <v>4861381.2978379084</v>
      </c>
      <c r="N164" s="358"/>
      <c r="O164" s="358">
        <v>30349.5</v>
      </c>
      <c r="P164" s="358">
        <v>4025746.6657283045</v>
      </c>
      <c r="Q164" s="358"/>
      <c r="R164" s="358">
        <v>66151.666666666672</v>
      </c>
      <c r="S164" s="358">
        <v>8887127.963566212</v>
      </c>
      <c r="T164" s="358"/>
      <c r="U164" s="358">
        <v>508585.75</v>
      </c>
      <c r="V164" s="358">
        <v>49370738.080842353</v>
      </c>
      <c r="W164" s="358"/>
      <c r="X164" s="358">
        <v>374243.91666666669</v>
      </c>
      <c r="Y164" s="358">
        <v>35672352.004732274</v>
      </c>
      <c r="Z164" s="358"/>
      <c r="AA164" s="358">
        <v>882829.66666666663</v>
      </c>
      <c r="AB164" s="358">
        <v>85043090.085574612</v>
      </c>
      <c r="AC164" s="361"/>
    </row>
    <row r="165" spans="2:29" hidden="1" outlineLevel="1" x14ac:dyDescent="0.25">
      <c r="B165" s="205">
        <v>43466</v>
      </c>
      <c r="C165" s="357">
        <v>496897</v>
      </c>
      <c r="D165" s="357">
        <v>47686133.005699389</v>
      </c>
      <c r="E165" s="357">
        <v>36058491.905000001</v>
      </c>
      <c r="F165" s="357">
        <v>362514</v>
      </c>
      <c r="G165" s="357">
        <v>33631967.774975851</v>
      </c>
      <c r="H165" s="357">
        <v>25431251.421</v>
      </c>
      <c r="I165" s="357">
        <v>859411</v>
      </c>
      <c r="J165" s="357">
        <v>81318100.780675232</v>
      </c>
      <c r="K165" s="357">
        <v>61489743.325999998</v>
      </c>
      <c r="L165" s="357">
        <v>36096</v>
      </c>
      <c r="M165" s="357">
        <v>4901839.5407841662</v>
      </c>
      <c r="N165" s="357">
        <v>3706589.9509999999</v>
      </c>
      <c r="O165" s="357">
        <v>30910</v>
      </c>
      <c r="P165" s="357">
        <v>4101674.8344548121</v>
      </c>
      <c r="Q165" s="357">
        <v>3101534.9640000002</v>
      </c>
      <c r="R165" s="357">
        <v>67006</v>
      </c>
      <c r="S165" s="357">
        <v>9003514.3752389774</v>
      </c>
      <c r="T165" s="357">
        <v>6808124.915</v>
      </c>
      <c r="U165" s="357">
        <v>532993</v>
      </c>
      <c r="V165" s="357">
        <v>52587972.546483554</v>
      </c>
      <c r="W165" s="357">
        <v>39765081.855999999</v>
      </c>
      <c r="X165" s="357">
        <v>393424</v>
      </c>
      <c r="Y165" s="357">
        <v>37733642.609430663</v>
      </c>
      <c r="Z165" s="357">
        <v>28532786.385000002</v>
      </c>
      <c r="AA165" s="357">
        <v>926417</v>
      </c>
      <c r="AB165" s="357">
        <v>90321615.155914217</v>
      </c>
      <c r="AC165" s="173">
        <v>68297868.240999997</v>
      </c>
    </row>
    <row r="166" spans="2:29" hidden="1" outlineLevel="1" x14ac:dyDescent="0.25">
      <c r="B166" s="205">
        <v>43497</v>
      </c>
      <c r="C166" s="357">
        <v>499418</v>
      </c>
      <c r="D166" s="357">
        <v>47320621.670878008</v>
      </c>
      <c r="E166" s="357">
        <v>35798638.281999998</v>
      </c>
      <c r="F166" s="357">
        <v>365127</v>
      </c>
      <c r="G166" s="357">
        <v>33732342.170248672</v>
      </c>
      <c r="H166" s="357">
        <v>25518935.997000001</v>
      </c>
      <c r="I166" s="357">
        <v>864545</v>
      </c>
      <c r="J166" s="357">
        <v>81052963.84112668</v>
      </c>
      <c r="K166" s="357">
        <v>61317574.278999999</v>
      </c>
      <c r="L166" s="357">
        <v>36240</v>
      </c>
      <c r="M166" s="357">
        <v>4918667.4996897457</v>
      </c>
      <c r="N166" s="357">
        <v>3721033.0809999998</v>
      </c>
      <c r="O166" s="357">
        <v>30991</v>
      </c>
      <c r="P166" s="357">
        <v>4103375.9061697363</v>
      </c>
      <c r="Q166" s="357">
        <v>3104254.86</v>
      </c>
      <c r="R166" s="357">
        <v>67231</v>
      </c>
      <c r="S166" s="357">
        <v>9022043.4058594815</v>
      </c>
      <c r="T166" s="357">
        <v>6825287.9409999996</v>
      </c>
      <c r="U166" s="357">
        <v>535658</v>
      </c>
      <c r="V166" s="357">
        <v>52239289.170567751</v>
      </c>
      <c r="W166" s="357">
        <v>39519671.362999998</v>
      </c>
      <c r="X166" s="357">
        <v>396118</v>
      </c>
      <c r="Y166" s="357">
        <v>37835718.076418407</v>
      </c>
      <c r="Z166" s="357">
        <v>28623190.857000001</v>
      </c>
      <c r="AA166" s="357">
        <v>931776</v>
      </c>
      <c r="AB166" s="357">
        <v>90075007.246986166</v>
      </c>
      <c r="AC166" s="173">
        <v>68142862.219999999</v>
      </c>
    </row>
    <row r="167" spans="2:29" hidden="1" outlineLevel="1" x14ac:dyDescent="0.25">
      <c r="B167" s="205">
        <v>43525</v>
      </c>
      <c r="C167" s="357">
        <v>503074</v>
      </c>
      <c r="D167" s="357">
        <v>47683442.869576983</v>
      </c>
      <c r="E167" s="357">
        <v>36244202.855999999</v>
      </c>
      <c r="F167" s="357">
        <v>368185</v>
      </c>
      <c r="G167" s="357">
        <v>33912764.77763135</v>
      </c>
      <c r="H167" s="357">
        <v>25777105.260000002</v>
      </c>
      <c r="I167" s="357">
        <v>871259</v>
      </c>
      <c r="J167" s="357">
        <v>81596207.647208333</v>
      </c>
      <c r="K167" s="357">
        <v>62021308.115999997</v>
      </c>
      <c r="L167" s="357">
        <v>36473</v>
      </c>
      <c r="M167" s="357">
        <v>4924602.2788546849</v>
      </c>
      <c r="N167" s="357">
        <v>3743192.0440000002</v>
      </c>
      <c r="O167" s="357">
        <v>31236</v>
      </c>
      <c r="P167" s="357">
        <v>4119338.0515303346</v>
      </c>
      <c r="Q167" s="357">
        <v>3131110.4019999998</v>
      </c>
      <c r="R167" s="357">
        <v>67709</v>
      </c>
      <c r="S167" s="357">
        <v>9043940.33038502</v>
      </c>
      <c r="T167" s="357">
        <v>6874302.4460000005</v>
      </c>
      <c r="U167" s="357">
        <v>539547</v>
      </c>
      <c r="V167" s="357">
        <v>52608045.148431666</v>
      </c>
      <c r="W167" s="357">
        <v>39987394.899999999</v>
      </c>
      <c r="X167" s="357">
        <v>399421</v>
      </c>
      <c r="Y167" s="357">
        <v>38032102.829161681</v>
      </c>
      <c r="Z167" s="357">
        <v>28908215.662</v>
      </c>
      <c r="AA167" s="357">
        <v>938968</v>
      </c>
      <c r="AB167" s="357">
        <v>90640147.977593347</v>
      </c>
      <c r="AC167" s="173">
        <v>68895610.562000006</v>
      </c>
    </row>
    <row r="168" spans="2:29" hidden="1" outlineLevel="1" x14ac:dyDescent="0.25">
      <c r="B168" s="205">
        <v>43556</v>
      </c>
      <c r="C168" s="357">
        <v>506604</v>
      </c>
      <c r="D168" s="357">
        <v>47889403.102810547</v>
      </c>
      <c r="E168" s="357">
        <v>36495616.799999997</v>
      </c>
      <c r="F168" s="357">
        <v>370802</v>
      </c>
      <c r="G168" s="357">
        <v>34027014.612014845</v>
      </c>
      <c r="H168" s="357">
        <v>25931350.271000002</v>
      </c>
      <c r="I168" s="357">
        <v>877406</v>
      </c>
      <c r="J168" s="357">
        <v>81916417.714825392</v>
      </c>
      <c r="K168" s="357">
        <v>62426967.071000002</v>
      </c>
      <c r="L168" s="357">
        <v>36631</v>
      </c>
      <c r="M168" s="357">
        <v>4913304.0738372691</v>
      </c>
      <c r="N168" s="357">
        <v>3744336.9739999999</v>
      </c>
      <c r="O168" s="357">
        <v>31411</v>
      </c>
      <c r="P168" s="357">
        <v>4118242.8114334964</v>
      </c>
      <c r="Q168" s="357">
        <v>3138435.6830000002</v>
      </c>
      <c r="R168" s="357">
        <v>68042</v>
      </c>
      <c r="S168" s="357">
        <v>9031546.8852707651</v>
      </c>
      <c r="T168" s="357">
        <v>6882772.6569999997</v>
      </c>
      <c r="U168" s="357">
        <v>543235</v>
      </c>
      <c r="V168" s="357">
        <v>52802707.176647812</v>
      </c>
      <c r="W168" s="357">
        <v>40239953.773999996</v>
      </c>
      <c r="X168" s="357">
        <v>402213</v>
      </c>
      <c r="Y168" s="357">
        <v>38145257.423448339</v>
      </c>
      <c r="Z168" s="357">
        <v>29069785.954</v>
      </c>
      <c r="AA168" s="357">
        <v>945448</v>
      </c>
      <c r="AB168" s="357">
        <v>90947964.600096166</v>
      </c>
      <c r="AC168" s="173">
        <v>69309739.728</v>
      </c>
    </row>
    <row r="169" spans="2:29" hidden="1" outlineLevel="1" x14ac:dyDescent="0.25">
      <c r="B169" s="205">
        <v>43586</v>
      </c>
      <c r="C169" s="357">
        <v>510020</v>
      </c>
      <c r="D169" s="357">
        <v>47925538.446153611</v>
      </c>
      <c r="E169" s="357">
        <v>36743915.141000003</v>
      </c>
      <c r="F169" s="357">
        <v>373627</v>
      </c>
      <c r="G169" s="357">
        <v>34052125.890462309</v>
      </c>
      <c r="H169" s="357">
        <v>26107342.028000001</v>
      </c>
      <c r="I169" s="357">
        <v>883647</v>
      </c>
      <c r="J169" s="357">
        <v>81977664.33661592</v>
      </c>
      <c r="K169" s="357">
        <v>62851257.169</v>
      </c>
      <c r="L169" s="357">
        <v>36814</v>
      </c>
      <c r="M169" s="357">
        <v>4908692.4362695962</v>
      </c>
      <c r="N169" s="357">
        <v>3763433.53</v>
      </c>
      <c r="O169" s="357">
        <v>31638</v>
      </c>
      <c r="P169" s="357">
        <v>4120317.3980495026</v>
      </c>
      <c r="Q169" s="357">
        <v>3158996.179</v>
      </c>
      <c r="R169" s="357">
        <v>68452</v>
      </c>
      <c r="S169" s="357">
        <v>9029009.8343190998</v>
      </c>
      <c r="T169" s="357">
        <v>6922429.7089999998</v>
      </c>
      <c r="U169" s="357">
        <v>546834</v>
      </c>
      <c r="V169" s="357">
        <v>52834230.882423207</v>
      </c>
      <c r="W169" s="357">
        <v>40507348.670999996</v>
      </c>
      <c r="X169" s="357">
        <v>405265</v>
      </c>
      <c r="Y169" s="357">
        <v>38172443.288511813</v>
      </c>
      <c r="Z169" s="357">
        <v>29266338.206999999</v>
      </c>
      <c r="AA169" s="357">
        <v>952099</v>
      </c>
      <c r="AB169" s="357">
        <v>91006674.17093502</v>
      </c>
      <c r="AC169" s="173">
        <v>69773686.878000006</v>
      </c>
    </row>
    <row r="170" spans="2:29" hidden="1" outlineLevel="1" x14ac:dyDescent="0.25">
      <c r="B170" s="205">
        <v>43617</v>
      </c>
      <c r="C170" s="357">
        <v>512725</v>
      </c>
      <c r="D170" s="357">
        <v>48232628.731244169</v>
      </c>
      <c r="E170" s="357">
        <v>36997395.980999999</v>
      </c>
      <c r="F170" s="357">
        <v>375576</v>
      </c>
      <c r="G170" s="357">
        <v>34248616.673045501</v>
      </c>
      <c r="H170" s="357">
        <v>26270797.719000001</v>
      </c>
      <c r="I170" s="357">
        <v>888301</v>
      </c>
      <c r="J170" s="357">
        <v>82481245.404289678</v>
      </c>
      <c r="K170" s="357">
        <v>63268193.700000003</v>
      </c>
      <c r="L170" s="357">
        <v>36850</v>
      </c>
      <c r="M170" s="357">
        <v>4895474.9327227045</v>
      </c>
      <c r="N170" s="357">
        <v>3755130.6940000001</v>
      </c>
      <c r="O170" s="357">
        <v>31723</v>
      </c>
      <c r="P170" s="357">
        <v>4117559.728323679</v>
      </c>
      <c r="Q170" s="357">
        <v>3158421.835</v>
      </c>
      <c r="R170" s="357">
        <v>68573</v>
      </c>
      <c r="S170" s="357">
        <v>9013034.6610463839</v>
      </c>
      <c r="T170" s="357">
        <v>6913552.5290000001</v>
      </c>
      <c r="U170" s="357">
        <v>549575</v>
      </c>
      <c r="V170" s="357">
        <v>53128103.663966872</v>
      </c>
      <c r="W170" s="357">
        <v>40752526.674999997</v>
      </c>
      <c r="X170" s="357">
        <v>407299</v>
      </c>
      <c r="Y170" s="357">
        <v>38366176.401369177</v>
      </c>
      <c r="Z170" s="357">
        <v>29429219.554000001</v>
      </c>
      <c r="AA170" s="357">
        <v>956874</v>
      </c>
      <c r="AB170" s="357">
        <v>91494280.065336064</v>
      </c>
      <c r="AC170" s="173">
        <v>70181746.229000002</v>
      </c>
    </row>
    <row r="171" spans="2:29" hidden="1" outlineLevel="1" x14ac:dyDescent="0.25">
      <c r="B171" s="205">
        <v>43647</v>
      </c>
      <c r="C171" s="357">
        <v>517325</v>
      </c>
      <c r="D171" s="357">
        <v>50454915.329562448</v>
      </c>
      <c r="E171" s="357">
        <v>38788561.956</v>
      </c>
      <c r="F171" s="357">
        <v>379973</v>
      </c>
      <c r="G171" s="357">
        <v>35657523.158493109</v>
      </c>
      <c r="H171" s="357">
        <v>27412672.030000001</v>
      </c>
      <c r="I171" s="357">
        <v>897298</v>
      </c>
      <c r="J171" s="357">
        <v>86112438.488055557</v>
      </c>
      <c r="K171" s="357">
        <v>66201233.986000001</v>
      </c>
      <c r="L171" s="357">
        <v>37208</v>
      </c>
      <c r="M171" s="357">
        <v>5031597.8171715382</v>
      </c>
      <c r="N171" s="357">
        <v>3868175.031</v>
      </c>
      <c r="O171" s="357">
        <v>32159</v>
      </c>
      <c r="P171" s="357">
        <v>4240764.7766313255</v>
      </c>
      <c r="Q171" s="357">
        <v>3260201.037</v>
      </c>
      <c r="R171" s="357">
        <v>69367</v>
      </c>
      <c r="S171" s="357">
        <v>9272362.5938028637</v>
      </c>
      <c r="T171" s="357">
        <v>7128376.068</v>
      </c>
      <c r="U171" s="357">
        <v>554533</v>
      </c>
      <c r="V171" s="357">
        <v>55486513.146733984</v>
      </c>
      <c r="W171" s="357">
        <v>42656736.987000003</v>
      </c>
      <c r="X171" s="357">
        <v>412132</v>
      </c>
      <c r="Y171" s="357">
        <v>39898287.935124435</v>
      </c>
      <c r="Z171" s="357">
        <v>30672873.067000002</v>
      </c>
      <c r="AA171" s="357">
        <v>966665</v>
      </c>
      <c r="AB171" s="357">
        <v>95384801.081858411</v>
      </c>
      <c r="AC171" s="173">
        <v>73329610.054000005</v>
      </c>
    </row>
    <row r="172" spans="2:29" hidden="1" outlineLevel="1" x14ac:dyDescent="0.25">
      <c r="B172" s="205">
        <v>43678</v>
      </c>
      <c r="C172" s="357">
        <v>518553</v>
      </c>
      <c r="D172" s="357">
        <v>50563635.742782153</v>
      </c>
      <c r="E172" s="357">
        <v>38944915.399999999</v>
      </c>
      <c r="F172" s="357">
        <v>380060</v>
      </c>
      <c r="G172" s="357">
        <v>35668929.395030327</v>
      </c>
      <c r="H172" s="357">
        <v>27472775.984000001</v>
      </c>
      <c r="I172" s="357">
        <v>898613</v>
      </c>
      <c r="J172" s="357">
        <v>86232565.137812465</v>
      </c>
      <c r="K172" s="357">
        <v>66417691.384000003</v>
      </c>
      <c r="L172" s="357">
        <v>36864</v>
      </c>
      <c r="M172" s="357">
        <v>4989811.3412389969</v>
      </c>
      <c r="N172" s="357">
        <v>3843231.9530000002</v>
      </c>
      <c r="O172" s="357">
        <v>31821</v>
      </c>
      <c r="P172" s="357">
        <v>4204817.6938875197</v>
      </c>
      <c r="Q172" s="357">
        <v>3238617.3769999999</v>
      </c>
      <c r="R172" s="357">
        <v>68685</v>
      </c>
      <c r="S172" s="357">
        <v>9194629.0351265166</v>
      </c>
      <c r="T172" s="357">
        <v>7081849.3300000001</v>
      </c>
      <c r="U172" s="357">
        <v>555417</v>
      </c>
      <c r="V172" s="357">
        <v>55553447.084021144</v>
      </c>
      <c r="W172" s="357">
        <v>42788147.353</v>
      </c>
      <c r="X172" s="357">
        <v>411881</v>
      </c>
      <c r="Y172" s="357">
        <v>39873747.088917844</v>
      </c>
      <c r="Z172" s="357">
        <v>30711393.361000001</v>
      </c>
      <c r="AA172" s="357">
        <v>967298</v>
      </c>
      <c r="AB172" s="357">
        <v>95427194.172939003</v>
      </c>
      <c r="AC172" s="173">
        <v>73499540.714000002</v>
      </c>
    </row>
    <row r="173" spans="2:29" hidden="1" outlineLevel="1" x14ac:dyDescent="0.25">
      <c r="B173" s="205">
        <v>43709</v>
      </c>
      <c r="C173" s="357">
        <v>522483</v>
      </c>
      <c r="D173" s="357">
        <v>51235067.389463536</v>
      </c>
      <c r="E173" s="357">
        <v>39466839.700000003</v>
      </c>
      <c r="F173" s="357">
        <v>383041</v>
      </c>
      <c r="G173" s="357">
        <v>36040079.937848181</v>
      </c>
      <c r="H173" s="357">
        <v>27762002.280000001</v>
      </c>
      <c r="I173" s="357">
        <v>905524</v>
      </c>
      <c r="J173" s="357">
        <v>87275147.327311724</v>
      </c>
      <c r="K173" s="357">
        <v>67228841.980000004</v>
      </c>
      <c r="L173" s="357">
        <v>37036</v>
      </c>
      <c r="M173" s="357">
        <v>5057020.2692468194</v>
      </c>
      <c r="N173" s="357">
        <v>3895468.8360000001</v>
      </c>
      <c r="O173" s="357">
        <v>32069</v>
      </c>
      <c r="P173" s="357">
        <v>4289459.4897388909</v>
      </c>
      <c r="Q173" s="357">
        <v>3304209.767</v>
      </c>
      <c r="R173" s="357">
        <v>69105</v>
      </c>
      <c r="S173" s="357">
        <v>9346479.7589857094</v>
      </c>
      <c r="T173" s="357">
        <v>7199678.6030000001</v>
      </c>
      <c r="U173" s="357">
        <v>559519</v>
      </c>
      <c r="V173" s="357">
        <v>56292087.658710361</v>
      </c>
      <c r="W173" s="357">
        <v>43362308.535999998</v>
      </c>
      <c r="X173" s="357">
        <v>415110</v>
      </c>
      <c r="Y173" s="357">
        <v>40329539.427587077</v>
      </c>
      <c r="Z173" s="357">
        <v>31066212.046999998</v>
      </c>
      <c r="AA173" s="357">
        <v>974629</v>
      </c>
      <c r="AB173" s="357">
        <v>96621627.086297438</v>
      </c>
      <c r="AC173" s="173">
        <v>74428520.583000004</v>
      </c>
    </row>
    <row r="174" spans="2:29" hidden="1" outlineLevel="1" x14ac:dyDescent="0.25">
      <c r="B174" s="205">
        <v>43739</v>
      </c>
      <c r="C174" s="357">
        <v>525564</v>
      </c>
      <c r="D174" s="357">
        <v>51102916.376147278</v>
      </c>
      <c r="E174" s="357">
        <v>39684366.445</v>
      </c>
      <c r="F174" s="357">
        <v>385533</v>
      </c>
      <c r="G174" s="357">
        <v>35929216.764678463</v>
      </c>
      <c r="H174" s="357">
        <v>27901112.212000001</v>
      </c>
      <c r="I174" s="357">
        <v>911097</v>
      </c>
      <c r="J174" s="357">
        <v>87032133.140825748</v>
      </c>
      <c r="K174" s="357">
        <v>67585478.657000005</v>
      </c>
      <c r="L174" s="357">
        <v>37173</v>
      </c>
      <c r="M174" s="357">
        <v>4993738.3472296409</v>
      </c>
      <c r="N174" s="357">
        <v>3877926.2820000001</v>
      </c>
      <c r="O174" s="357">
        <v>32232</v>
      </c>
      <c r="P174" s="357">
        <v>4209089.7509409226</v>
      </c>
      <c r="Q174" s="357">
        <v>3268601.3229999999</v>
      </c>
      <c r="R174" s="357">
        <v>69405</v>
      </c>
      <c r="S174" s="357">
        <v>9202828.0981705654</v>
      </c>
      <c r="T174" s="357">
        <v>7146527.6050000004</v>
      </c>
      <c r="U174" s="357">
        <v>562737</v>
      </c>
      <c r="V174" s="357">
        <v>56096654.723376922</v>
      </c>
      <c r="W174" s="357">
        <v>43562292.726999998</v>
      </c>
      <c r="X174" s="357">
        <v>417765</v>
      </c>
      <c r="Y174" s="357">
        <v>40138306.51561939</v>
      </c>
      <c r="Z174" s="357">
        <v>31169713.535</v>
      </c>
      <c r="AA174" s="357">
        <v>980502</v>
      </c>
      <c r="AB174" s="357">
        <v>96234961.238996312</v>
      </c>
      <c r="AC174" s="173">
        <v>74732006.261999995</v>
      </c>
    </row>
    <row r="175" spans="2:29" hidden="1" outlineLevel="1" x14ac:dyDescent="0.25">
      <c r="B175" s="205">
        <v>43770</v>
      </c>
      <c r="C175" s="357">
        <v>528588</v>
      </c>
      <c r="D175" s="357">
        <v>51476877.512188099</v>
      </c>
      <c r="E175" s="357">
        <v>40008684.035999998</v>
      </c>
      <c r="F175" s="357">
        <v>386948</v>
      </c>
      <c r="G175" s="357">
        <v>35967517.006528474</v>
      </c>
      <c r="H175" s="357">
        <v>27954551.5</v>
      </c>
      <c r="I175" s="357">
        <v>915536</v>
      </c>
      <c r="J175" s="357">
        <v>87444394.518716574</v>
      </c>
      <c r="K175" s="357">
        <v>67963235.535999998</v>
      </c>
      <c r="L175" s="357">
        <v>36934</v>
      </c>
      <c r="M175" s="357">
        <v>4953950.4656209629</v>
      </c>
      <c r="N175" s="357">
        <v>3850292.568</v>
      </c>
      <c r="O175" s="357">
        <v>31887</v>
      </c>
      <c r="P175" s="357">
        <v>4174558.099072231</v>
      </c>
      <c r="Q175" s="357">
        <v>3244535.878</v>
      </c>
      <c r="R175" s="357">
        <v>68821</v>
      </c>
      <c r="S175" s="357">
        <v>9128508.5646931939</v>
      </c>
      <c r="T175" s="357">
        <v>7094828.4460000005</v>
      </c>
      <c r="U175" s="357">
        <v>565522</v>
      </c>
      <c r="V175" s="357">
        <v>56430827.977809064</v>
      </c>
      <c r="W175" s="357">
        <v>43858976.604000002</v>
      </c>
      <c r="X175" s="357">
        <v>418835</v>
      </c>
      <c r="Y175" s="357">
        <v>40142075.1056007</v>
      </c>
      <c r="Z175" s="357">
        <v>31199087.377999999</v>
      </c>
      <c r="AA175" s="357">
        <v>984357</v>
      </c>
      <c r="AB175" s="357">
        <v>96572903.083409756</v>
      </c>
      <c r="AC175" s="173">
        <v>75058063.981999993</v>
      </c>
    </row>
    <row r="176" spans="2:29" hidden="1" outlineLevel="1" x14ac:dyDescent="0.25">
      <c r="B176" s="205">
        <v>43800</v>
      </c>
      <c r="C176" s="357">
        <v>525915</v>
      </c>
      <c r="D176" s="357">
        <v>75341522.034410506</v>
      </c>
      <c r="E176" s="357">
        <v>58614815.199000001</v>
      </c>
      <c r="F176" s="357">
        <v>388114</v>
      </c>
      <c r="G176" s="357">
        <v>52886493.632550344</v>
      </c>
      <c r="H176" s="357">
        <v>41145068.045999996</v>
      </c>
      <c r="I176" s="357">
        <v>914029</v>
      </c>
      <c r="J176" s="357">
        <v>128228015.66696087</v>
      </c>
      <c r="K176" s="357">
        <v>99759883.245000005</v>
      </c>
      <c r="L176" s="357">
        <v>36702</v>
      </c>
      <c r="M176" s="357">
        <v>6187448.1038680654</v>
      </c>
      <c r="N176" s="357">
        <v>4813761.62</v>
      </c>
      <c r="O176" s="357">
        <v>31630</v>
      </c>
      <c r="P176" s="357">
        <v>5225174.671058692</v>
      </c>
      <c r="Q176" s="357">
        <v>4065124.2429999998</v>
      </c>
      <c r="R176" s="357">
        <v>68332</v>
      </c>
      <c r="S176" s="357">
        <v>11412622.774926757</v>
      </c>
      <c r="T176" s="357">
        <v>8878885.8629999999</v>
      </c>
      <c r="U176" s="357">
        <v>562617</v>
      </c>
      <c r="V176" s="357">
        <v>81528970.138278574</v>
      </c>
      <c r="W176" s="357">
        <v>63428576.818999998</v>
      </c>
      <c r="X176" s="357">
        <v>419744</v>
      </c>
      <c r="Y176" s="357">
        <v>58111668.303609036</v>
      </c>
      <c r="Z176" s="357">
        <v>45210192.288999997</v>
      </c>
      <c r="AA176" s="357">
        <v>982361</v>
      </c>
      <c r="AB176" s="357">
        <v>139640638.44188762</v>
      </c>
      <c r="AC176" s="173">
        <v>108638769.108</v>
      </c>
    </row>
    <row r="177" spans="2:29" collapsed="1" x14ac:dyDescent="0.25">
      <c r="B177" s="359" t="s">
        <v>710</v>
      </c>
      <c r="C177" s="358">
        <v>513930.5</v>
      </c>
      <c r="D177" s="358">
        <v>51409391.850909732</v>
      </c>
      <c r="E177" s="358"/>
      <c r="F177" s="358">
        <v>376625</v>
      </c>
      <c r="G177" s="358">
        <v>36312882.649458952</v>
      </c>
      <c r="H177" s="358"/>
      <c r="I177" s="358">
        <v>890555.5</v>
      </c>
      <c r="J177" s="358">
        <v>87722274.500368685</v>
      </c>
      <c r="K177" s="358"/>
      <c r="L177" s="358">
        <v>36751.75</v>
      </c>
      <c r="M177" s="358">
        <v>5056345.5922111822</v>
      </c>
      <c r="N177" s="358"/>
      <c r="O177" s="358">
        <v>31642.25</v>
      </c>
      <c r="P177" s="358">
        <v>4252031.1009409288</v>
      </c>
      <c r="Q177" s="358"/>
      <c r="R177" s="358">
        <v>68394</v>
      </c>
      <c r="S177" s="358">
        <v>9308376.693152111</v>
      </c>
      <c r="T177" s="358"/>
      <c r="U177" s="358">
        <v>550682.25</v>
      </c>
      <c r="V177" s="358">
        <v>56465737.443120919</v>
      </c>
      <c r="W177" s="358"/>
      <c r="X177" s="358">
        <v>408267.25</v>
      </c>
      <c r="Y177" s="358">
        <v>40564913.75039988</v>
      </c>
      <c r="Z177" s="358"/>
      <c r="AA177" s="358">
        <v>958949.5</v>
      </c>
      <c r="AB177" s="358">
        <v>97030651.193520784</v>
      </c>
      <c r="AC177" s="361"/>
    </row>
    <row r="178" spans="2:29" hidden="1" outlineLevel="1" x14ac:dyDescent="0.25">
      <c r="B178" s="205">
        <v>43831</v>
      </c>
      <c r="C178" s="357">
        <v>540610</v>
      </c>
      <c r="D178" s="357">
        <v>77712815.505878255</v>
      </c>
      <c r="E178" s="357">
        <v>60801972.766999997</v>
      </c>
      <c r="F178" s="357">
        <v>392610</v>
      </c>
      <c r="G178" s="357">
        <v>53496139.41412317</v>
      </c>
      <c r="H178" s="357">
        <v>41855011.822999999</v>
      </c>
      <c r="I178" s="357">
        <v>933220</v>
      </c>
      <c r="J178" s="357">
        <v>131208954.92000142</v>
      </c>
      <c r="K178" s="357">
        <v>102656984.59</v>
      </c>
      <c r="L178" s="357">
        <v>37278</v>
      </c>
      <c r="M178" s="357">
        <v>6295306.1755791903</v>
      </c>
      <c r="N178" s="357">
        <v>4925404.2869999995</v>
      </c>
      <c r="O178" s="357">
        <v>32309</v>
      </c>
      <c r="P178" s="357">
        <v>5333278.5048504323</v>
      </c>
      <c r="Q178" s="357">
        <v>4172720.449</v>
      </c>
      <c r="R178" s="357">
        <v>69587</v>
      </c>
      <c r="S178" s="357">
        <v>11628584.680429623</v>
      </c>
      <c r="T178" s="357">
        <v>9098124.7359999996</v>
      </c>
      <c r="U178" s="357">
        <v>577888</v>
      </c>
      <c r="V178" s="357">
        <v>84008121.681457445</v>
      </c>
      <c r="W178" s="357">
        <v>65727377.053999998</v>
      </c>
      <c r="X178" s="357">
        <v>424919</v>
      </c>
      <c r="Y178" s="357">
        <v>58829417.918973595</v>
      </c>
      <c r="Z178" s="357">
        <v>46027732.272</v>
      </c>
      <c r="AA178" s="357">
        <v>1002807</v>
      </c>
      <c r="AB178" s="357">
        <v>142837539.60043103</v>
      </c>
      <c r="AC178" s="173">
        <v>111755109.32600001</v>
      </c>
    </row>
    <row r="179" spans="2:29" hidden="1" outlineLevel="1" x14ac:dyDescent="0.25">
      <c r="B179" s="205">
        <v>43862</v>
      </c>
      <c r="C179" s="357">
        <v>546952</v>
      </c>
      <c r="D179" s="357">
        <v>76623907.276629031</v>
      </c>
      <c r="E179" s="357">
        <v>60218816.060000002</v>
      </c>
      <c r="F179" s="357">
        <v>398903</v>
      </c>
      <c r="G179" s="357">
        <v>53049753.270261258</v>
      </c>
      <c r="H179" s="357">
        <v>41691861.557999998</v>
      </c>
      <c r="I179" s="357">
        <v>945855</v>
      </c>
      <c r="J179" s="357">
        <v>129673660.54689029</v>
      </c>
      <c r="K179" s="357">
        <v>101910677.618</v>
      </c>
      <c r="L179" s="357">
        <v>37310</v>
      </c>
      <c r="M179" s="357">
        <v>6190381.6905168416</v>
      </c>
      <c r="N179" s="357">
        <v>4865028.0259999996</v>
      </c>
      <c r="O179" s="357">
        <v>32349</v>
      </c>
      <c r="P179" s="357">
        <v>5252255.1098067807</v>
      </c>
      <c r="Q179" s="357">
        <v>4127753.2769999998</v>
      </c>
      <c r="R179" s="357">
        <v>69659</v>
      </c>
      <c r="S179" s="357">
        <v>11442636.800323624</v>
      </c>
      <c r="T179" s="357">
        <v>8992781.3029999994</v>
      </c>
      <c r="U179" s="357">
        <v>584262</v>
      </c>
      <c r="V179" s="357">
        <v>82814288.967145875</v>
      </c>
      <c r="W179" s="357">
        <v>65083844.086000003</v>
      </c>
      <c r="X179" s="357">
        <v>431252</v>
      </c>
      <c r="Y179" s="357">
        <v>58302008.380068041</v>
      </c>
      <c r="Z179" s="357">
        <v>45819614.835000001</v>
      </c>
      <c r="AA179" s="357">
        <v>1015514</v>
      </c>
      <c r="AB179" s="357">
        <v>141116297.34721392</v>
      </c>
      <c r="AC179" s="173">
        <v>110903458.921</v>
      </c>
    </row>
    <row r="180" spans="2:29" hidden="1" outlineLevel="1" x14ac:dyDescent="0.25">
      <c r="B180" s="205">
        <v>43891</v>
      </c>
      <c r="C180" s="357">
        <v>555640</v>
      </c>
      <c r="D180" s="357">
        <v>77456941.640924886</v>
      </c>
      <c r="E180" s="357">
        <v>61074740.947999999</v>
      </c>
      <c r="F180" s="357">
        <v>408322</v>
      </c>
      <c r="G180" s="357">
        <v>53787473.100732237</v>
      </c>
      <c r="H180" s="357">
        <v>42411382.586000003</v>
      </c>
      <c r="I180" s="357">
        <v>963962</v>
      </c>
      <c r="J180" s="357">
        <v>131244414.74165712</v>
      </c>
      <c r="K180" s="357">
        <v>103486123.53399999</v>
      </c>
      <c r="L180" s="357">
        <v>37607</v>
      </c>
      <c r="M180" s="357">
        <v>6199337.258003789</v>
      </c>
      <c r="N180" s="357">
        <v>4888172.8229999999</v>
      </c>
      <c r="O180" s="357">
        <v>32685</v>
      </c>
      <c r="P180" s="357">
        <v>5258845.8304738086</v>
      </c>
      <c r="Q180" s="357">
        <v>4146596.031</v>
      </c>
      <c r="R180" s="357">
        <v>70292</v>
      </c>
      <c r="S180" s="357">
        <v>11458183.088477597</v>
      </c>
      <c r="T180" s="357">
        <v>9034768.8540000003</v>
      </c>
      <c r="U180" s="357">
        <v>593247</v>
      </c>
      <c r="V180" s="357">
        <v>83656278.898928687</v>
      </c>
      <c r="W180" s="357">
        <v>65962913.770999998</v>
      </c>
      <c r="X180" s="357">
        <v>441007</v>
      </c>
      <c r="Y180" s="357">
        <v>59046318.931206048</v>
      </c>
      <c r="Z180" s="357">
        <v>46557978.616999999</v>
      </c>
      <c r="AA180" s="357">
        <v>1034254</v>
      </c>
      <c r="AB180" s="357">
        <v>142702597.83013475</v>
      </c>
      <c r="AC180" s="173">
        <v>112520892.388</v>
      </c>
    </row>
    <row r="181" spans="2:29" hidden="1" outlineLevel="1" x14ac:dyDescent="0.25">
      <c r="B181" s="205">
        <v>43922</v>
      </c>
      <c r="C181" s="357">
        <v>565082</v>
      </c>
      <c r="D181" s="357">
        <v>78458803.77511476</v>
      </c>
      <c r="E181" s="357">
        <v>61839544.07</v>
      </c>
      <c r="F181" s="357">
        <v>415744</v>
      </c>
      <c r="G181" s="357">
        <v>54475040.709829979</v>
      </c>
      <c r="H181" s="357">
        <v>42936057.123000003</v>
      </c>
      <c r="I181" s="357">
        <v>980826</v>
      </c>
      <c r="J181" s="357">
        <v>132933844.48494473</v>
      </c>
      <c r="K181" s="357">
        <v>104775601.193</v>
      </c>
      <c r="L181" s="357">
        <v>37780</v>
      </c>
      <c r="M181" s="357">
        <v>6209717.8071171269</v>
      </c>
      <c r="N181" s="357">
        <v>4894366.2089999998</v>
      </c>
      <c r="O181" s="357">
        <v>32913</v>
      </c>
      <c r="P181" s="357">
        <v>5269562.5434983782</v>
      </c>
      <c r="Q181" s="357">
        <v>4153356.0219999999</v>
      </c>
      <c r="R181" s="357">
        <v>70693</v>
      </c>
      <c r="S181" s="357">
        <v>11479280.350615503</v>
      </c>
      <c r="T181" s="357">
        <v>9047722.2310000006</v>
      </c>
      <c r="U181" s="357">
        <v>602862</v>
      </c>
      <c r="V181" s="357">
        <v>84668521.582231894</v>
      </c>
      <c r="W181" s="357">
        <v>66733910.278999999</v>
      </c>
      <c r="X181" s="357">
        <v>448657</v>
      </c>
      <c r="Y181" s="357">
        <v>59744603.253328353</v>
      </c>
      <c r="Z181" s="357">
        <v>47089413.145000003</v>
      </c>
      <c r="AA181" s="357">
        <v>1051519</v>
      </c>
      <c r="AB181" s="357">
        <v>144413124.83556023</v>
      </c>
      <c r="AC181" s="173">
        <v>113823323.42399999</v>
      </c>
    </row>
    <row r="182" spans="2:29" hidden="1" outlineLevel="1" x14ac:dyDescent="0.25">
      <c r="B182" s="205">
        <v>43952</v>
      </c>
      <c r="C182" s="357">
        <v>566670</v>
      </c>
      <c r="D182" s="357">
        <v>78796341.162869647</v>
      </c>
      <c r="E182" s="357">
        <v>62074697.443000004</v>
      </c>
      <c r="F182" s="357">
        <v>417174</v>
      </c>
      <c r="G182" s="357">
        <v>54669726.685583234</v>
      </c>
      <c r="H182" s="357">
        <v>43068075.156999998</v>
      </c>
      <c r="I182" s="357">
        <v>983844</v>
      </c>
      <c r="J182" s="357">
        <v>133466067.84845288</v>
      </c>
      <c r="K182" s="357">
        <v>105142772.59999999</v>
      </c>
      <c r="L182" s="357">
        <v>37953</v>
      </c>
      <c r="M182" s="357">
        <v>6233523.1984674521</v>
      </c>
      <c r="N182" s="357">
        <v>4910685.71</v>
      </c>
      <c r="O182" s="357">
        <v>33101</v>
      </c>
      <c r="P182" s="357">
        <v>5296249.0780362217</v>
      </c>
      <c r="Q182" s="357">
        <v>4172313.7680000002</v>
      </c>
      <c r="R182" s="357">
        <v>71054</v>
      </c>
      <c r="S182" s="357">
        <v>11529772.276503673</v>
      </c>
      <c r="T182" s="357">
        <v>9082999.4780000001</v>
      </c>
      <c r="U182" s="357">
        <v>604623</v>
      </c>
      <c r="V182" s="357">
        <v>85029864.361337095</v>
      </c>
      <c r="W182" s="357">
        <v>66985383.152999997</v>
      </c>
      <c r="X182" s="357">
        <v>450275</v>
      </c>
      <c r="Y182" s="357">
        <v>59965975.763619453</v>
      </c>
      <c r="Z182" s="357">
        <v>47240388.924999997</v>
      </c>
      <c r="AA182" s="357">
        <v>1054898</v>
      </c>
      <c r="AB182" s="357">
        <v>144995840.12495655</v>
      </c>
      <c r="AC182" s="173">
        <v>114225772.07799999</v>
      </c>
    </row>
    <row r="183" spans="2:29" hidden="1" outlineLevel="1" x14ac:dyDescent="0.25">
      <c r="B183" s="205">
        <v>43983</v>
      </c>
      <c r="C183" s="357">
        <v>570289</v>
      </c>
      <c r="D183" s="357">
        <v>79450162.129298389</v>
      </c>
      <c r="E183" s="357">
        <v>62544771.733000003</v>
      </c>
      <c r="F183" s="357">
        <v>421409</v>
      </c>
      <c r="G183" s="357">
        <v>55255222.286406718</v>
      </c>
      <c r="H183" s="357">
        <v>43498026.590999998</v>
      </c>
      <c r="I183" s="357">
        <v>991698</v>
      </c>
      <c r="J183" s="357">
        <v>134705384.41570508</v>
      </c>
      <c r="K183" s="357">
        <v>106042798.324</v>
      </c>
      <c r="L183" s="357">
        <v>38176</v>
      </c>
      <c r="M183" s="357">
        <v>6266173.9246339705</v>
      </c>
      <c r="N183" s="357">
        <v>4932858.6279999996</v>
      </c>
      <c r="O183" s="357">
        <v>33326</v>
      </c>
      <c r="P183" s="357">
        <v>5321514.8694233177</v>
      </c>
      <c r="Q183" s="357">
        <v>4189203.9470000002</v>
      </c>
      <c r="R183" s="357">
        <v>71502</v>
      </c>
      <c r="S183" s="357">
        <v>11587688.794057287</v>
      </c>
      <c r="T183" s="357">
        <v>9122062.5749999993</v>
      </c>
      <c r="U183" s="357">
        <v>608465</v>
      </c>
      <c r="V183" s="357">
        <v>85716336.053932354</v>
      </c>
      <c r="W183" s="357">
        <v>67477630.361000001</v>
      </c>
      <c r="X183" s="357">
        <v>454735</v>
      </c>
      <c r="Y183" s="357">
        <v>60576737.155830033</v>
      </c>
      <c r="Z183" s="357">
        <v>47687230.538000003</v>
      </c>
      <c r="AA183" s="357">
        <v>1063200</v>
      </c>
      <c r="AB183" s="357">
        <v>146293073.20976239</v>
      </c>
      <c r="AC183" s="173">
        <v>115164860.899</v>
      </c>
    </row>
    <row r="184" spans="2:29" hidden="1" outlineLevel="1" x14ac:dyDescent="0.25">
      <c r="B184" s="205">
        <v>44013</v>
      </c>
      <c r="C184" s="357">
        <v>572080</v>
      </c>
      <c r="D184" s="357">
        <v>82408550.715819478</v>
      </c>
      <c r="E184" s="357">
        <v>64938763.322999999</v>
      </c>
      <c r="F184" s="357">
        <v>422356</v>
      </c>
      <c r="G184" s="357">
        <v>57183040.288032956</v>
      </c>
      <c r="H184" s="357">
        <v>45060808.461000003</v>
      </c>
      <c r="I184" s="357">
        <v>994436</v>
      </c>
      <c r="J184" s="357">
        <v>139591591.00385243</v>
      </c>
      <c r="K184" s="357">
        <v>109999571.78399999</v>
      </c>
      <c r="L184" s="357">
        <v>38270</v>
      </c>
      <c r="M184" s="357">
        <v>6437432.3758897427</v>
      </c>
      <c r="N184" s="357">
        <v>5072761.1859999998</v>
      </c>
      <c r="O184" s="357">
        <v>33396</v>
      </c>
      <c r="P184" s="357">
        <v>5468996.1364573315</v>
      </c>
      <c r="Q184" s="357">
        <v>4309623.7300000004</v>
      </c>
      <c r="R184" s="357">
        <v>71666</v>
      </c>
      <c r="S184" s="357">
        <v>11906428.512347074</v>
      </c>
      <c r="T184" s="357">
        <v>9382384.9159999993</v>
      </c>
      <c r="U184" s="357">
        <v>610350</v>
      </c>
      <c r="V184" s="357">
        <v>88845983.091709211</v>
      </c>
      <c r="W184" s="357">
        <v>70011524.509000003</v>
      </c>
      <c r="X184" s="357">
        <v>455752</v>
      </c>
      <c r="Y184" s="357">
        <v>62652036.424490288</v>
      </c>
      <c r="Z184" s="357">
        <v>49370432.191</v>
      </c>
      <c r="AA184" s="357">
        <v>1066102</v>
      </c>
      <c r="AB184" s="357">
        <v>151498019.5161995</v>
      </c>
      <c r="AC184" s="173">
        <v>119381956.7</v>
      </c>
    </row>
    <row r="185" spans="2:29" hidden="1" outlineLevel="1" x14ac:dyDescent="0.25">
      <c r="B185" s="205">
        <v>44044</v>
      </c>
      <c r="C185" s="357">
        <v>574464</v>
      </c>
      <c r="D185" s="357">
        <v>82773321.950812027</v>
      </c>
      <c r="E185" s="357">
        <v>65312368.181999996</v>
      </c>
      <c r="F185" s="357">
        <v>424814</v>
      </c>
      <c r="G185" s="357">
        <v>57412658.321594849</v>
      </c>
      <c r="H185" s="357">
        <v>45301512.494999997</v>
      </c>
      <c r="I185" s="357">
        <v>999278</v>
      </c>
      <c r="J185" s="357">
        <v>140185980.27240688</v>
      </c>
      <c r="K185" s="357">
        <v>110613880.677</v>
      </c>
      <c r="L185" s="357">
        <v>38301</v>
      </c>
      <c r="M185" s="357">
        <v>6427733.0756803462</v>
      </c>
      <c r="N185" s="357">
        <v>5071808.8789999997</v>
      </c>
      <c r="O185" s="357">
        <v>33472</v>
      </c>
      <c r="P185" s="357">
        <v>5467364.2508275509</v>
      </c>
      <c r="Q185" s="357">
        <v>4314028.9469999997</v>
      </c>
      <c r="R185" s="357">
        <v>71773</v>
      </c>
      <c r="S185" s="357">
        <v>11895097.326507898</v>
      </c>
      <c r="T185" s="357">
        <v>9385837.8259999994</v>
      </c>
      <c r="U185" s="357">
        <v>612765</v>
      </c>
      <c r="V185" s="357">
        <v>89201055.026492372</v>
      </c>
      <c r="W185" s="357">
        <v>70384177.061000004</v>
      </c>
      <c r="X185" s="357">
        <v>458286</v>
      </c>
      <c r="Y185" s="357">
        <v>62880022.5724224</v>
      </c>
      <c r="Z185" s="357">
        <v>49615541.442000002</v>
      </c>
      <c r="AA185" s="357">
        <v>1071051</v>
      </c>
      <c r="AB185" s="357">
        <v>152081077.59891477</v>
      </c>
      <c r="AC185" s="173">
        <v>119999718.50300001</v>
      </c>
    </row>
    <row r="186" spans="2:29" hidden="1" outlineLevel="1" x14ac:dyDescent="0.25">
      <c r="B186" s="205">
        <v>44075</v>
      </c>
      <c r="C186" s="357">
        <v>578357</v>
      </c>
      <c r="D186" s="357">
        <v>82825667.531990752</v>
      </c>
      <c r="E186" s="357">
        <v>65768817.581</v>
      </c>
      <c r="F186" s="357">
        <v>428184</v>
      </c>
      <c r="G186" s="357">
        <v>57362262.871837921</v>
      </c>
      <c r="H186" s="357">
        <v>45549264.078000002</v>
      </c>
      <c r="I186" s="357">
        <v>1006541</v>
      </c>
      <c r="J186" s="357">
        <v>140187930.40382868</v>
      </c>
      <c r="K186" s="357">
        <v>111318081.65899999</v>
      </c>
      <c r="L186" s="357">
        <v>38339</v>
      </c>
      <c r="M186" s="357">
        <v>6384524.7788997954</v>
      </c>
      <c r="N186" s="357">
        <v>5069716.4060000004</v>
      </c>
      <c r="O186" s="357">
        <v>33532</v>
      </c>
      <c r="P186" s="357">
        <v>5433407.9448772203</v>
      </c>
      <c r="Q186" s="357">
        <v>4314469.4950000001</v>
      </c>
      <c r="R186" s="357">
        <v>71871</v>
      </c>
      <c r="S186" s="357">
        <v>11817932.723777015</v>
      </c>
      <c r="T186" s="357">
        <v>9384185.9010000005</v>
      </c>
      <c r="U186" s="357">
        <v>616696</v>
      </c>
      <c r="V186" s="357">
        <v>89210192.310890555</v>
      </c>
      <c r="W186" s="357">
        <v>70838533.987000003</v>
      </c>
      <c r="X186" s="357">
        <v>461716</v>
      </c>
      <c r="Y186" s="357">
        <v>62795670.816715144</v>
      </c>
      <c r="Z186" s="357">
        <v>49863733.572999999</v>
      </c>
      <c r="AA186" s="357">
        <v>1078412</v>
      </c>
      <c r="AB186" s="357">
        <v>152005863.12760568</v>
      </c>
      <c r="AC186" s="173">
        <v>120702267.56</v>
      </c>
    </row>
    <row r="187" spans="2:29" hidden="1" outlineLevel="1" x14ac:dyDescent="0.25">
      <c r="B187" s="205">
        <v>44105</v>
      </c>
      <c r="C187" s="357">
        <v>583043</v>
      </c>
      <c r="D187" s="357">
        <v>82894470.886087999</v>
      </c>
      <c r="E187" s="357">
        <v>66275487.600000001</v>
      </c>
      <c r="F187" s="357">
        <v>432062</v>
      </c>
      <c r="G187" s="357">
        <v>57271899.257735886</v>
      </c>
      <c r="H187" s="357">
        <v>45789821.788000003</v>
      </c>
      <c r="I187" s="357">
        <v>1015105</v>
      </c>
      <c r="J187" s="357">
        <v>140166370.14382389</v>
      </c>
      <c r="K187" s="357">
        <v>112065309.388</v>
      </c>
      <c r="L187" s="357">
        <v>38500</v>
      </c>
      <c r="M187" s="357">
        <v>6348162.8829996185</v>
      </c>
      <c r="N187" s="357">
        <v>5075460.2319999998</v>
      </c>
      <c r="O187" s="357">
        <v>33724</v>
      </c>
      <c r="P187" s="357">
        <v>5402004.8700731099</v>
      </c>
      <c r="Q187" s="357">
        <v>4318991.3990000002</v>
      </c>
      <c r="R187" s="357">
        <v>72224</v>
      </c>
      <c r="S187" s="357">
        <v>11750167.753072727</v>
      </c>
      <c r="T187" s="357">
        <v>9394451.6309999991</v>
      </c>
      <c r="U187" s="357">
        <v>621543</v>
      </c>
      <c r="V187" s="357">
        <v>89242633.769087613</v>
      </c>
      <c r="W187" s="357">
        <v>71350947.832000002</v>
      </c>
      <c r="X187" s="357">
        <v>465786</v>
      </c>
      <c r="Y187" s="357">
        <v>62673904.127808996</v>
      </c>
      <c r="Z187" s="357">
        <v>50108813.186999999</v>
      </c>
      <c r="AA187" s="357">
        <v>1087329</v>
      </c>
      <c r="AB187" s="357">
        <v>151916537.8968966</v>
      </c>
      <c r="AC187" s="173">
        <v>121459761.01899999</v>
      </c>
    </row>
    <row r="188" spans="2:29" hidden="1" outlineLevel="1" x14ac:dyDescent="0.25">
      <c r="B188" s="205">
        <v>44136</v>
      </c>
      <c r="C188" s="357">
        <v>589403</v>
      </c>
      <c r="D188" s="357">
        <v>83987980.608690113</v>
      </c>
      <c r="E188" s="357">
        <v>67057614.181000002</v>
      </c>
      <c r="F188" s="357">
        <v>436187</v>
      </c>
      <c r="G188" s="357">
        <v>57777663.95887962</v>
      </c>
      <c r="H188" s="357">
        <v>46130794.787</v>
      </c>
      <c r="I188" s="357">
        <v>1025590</v>
      </c>
      <c r="J188" s="357">
        <v>141765644.56756973</v>
      </c>
      <c r="K188" s="357">
        <v>113188408.96799999</v>
      </c>
      <c r="L188" s="357">
        <v>38626</v>
      </c>
      <c r="M188" s="357">
        <v>6355892.7119860016</v>
      </c>
      <c r="N188" s="357">
        <v>5074666.6150000002</v>
      </c>
      <c r="O188" s="357">
        <v>34000</v>
      </c>
      <c r="P188" s="357">
        <v>5424917.6823944096</v>
      </c>
      <c r="Q188" s="357">
        <v>4331358.3</v>
      </c>
      <c r="R188" s="357">
        <v>72626</v>
      </c>
      <c r="S188" s="357">
        <v>11780810.394380411</v>
      </c>
      <c r="T188" s="357">
        <v>9406024.9149999991</v>
      </c>
      <c r="U188" s="357">
        <v>628029</v>
      </c>
      <c r="V188" s="357">
        <v>90343873.320676118</v>
      </c>
      <c r="W188" s="357">
        <v>72132280.796000004</v>
      </c>
      <c r="X188" s="357">
        <v>470187</v>
      </c>
      <c r="Y188" s="357">
        <v>63202581.641274035</v>
      </c>
      <c r="Z188" s="357">
        <v>50462153.086999997</v>
      </c>
      <c r="AA188" s="357">
        <v>1098216</v>
      </c>
      <c r="AB188" s="357">
        <v>153546454.96195015</v>
      </c>
      <c r="AC188" s="173">
        <v>122594433.883</v>
      </c>
    </row>
    <row r="189" spans="2:29" hidden="1" outlineLevel="1" x14ac:dyDescent="0.25">
      <c r="B189" s="205">
        <v>44166</v>
      </c>
      <c r="C189" s="357">
        <v>595180</v>
      </c>
      <c r="D189" s="357">
        <v>84590943.23230876</v>
      </c>
      <c r="E189" s="357">
        <v>67767224.564999998</v>
      </c>
      <c r="F189" s="357">
        <v>439776</v>
      </c>
      <c r="G189" s="357">
        <v>57942010.288064614</v>
      </c>
      <c r="H189" s="357">
        <v>46418317.055</v>
      </c>
      <c r="I189" s="357">
        <v>1034956</v>
      </c>
      <c r="J189" s="357">
        <v>142532953.52037337</v>
      </c>
      <c r="K189" s="357">
        <v>114185541.62</v>
      </c>
      <c r="L189" s="357">
        <v>38619</v>
      </c>
      <c r="M189" s="357">
        <v>6321115.5073058624</v>
      </c>
      <c r="N189" s="357">
        <v>5063951.7390000001</v>
      </c>
      <c r="O189" s="357">
        <v>34075</v>
      </c>
      <c r="P189" s="357">
        <v>5401109.7267485596</v>
      </c>
      <c r="Q189" s="357">
        <v>4326919.665</v>
      </c>
      <c r="R189" s="357">
        <v>72694</v>
      </c>
      <c r="S189" s="357">
        <v>11722225.234054422</v>
      </c>
      <c r="T189" s="357">
        <v>9390871.4039999992</v>
      </c>
      <c r="U189" s="357">
        <v>633799</v>
      </c>
      <c r="V189" s="357">
        <v>90912058.739614621</v>
      </c>
      <c r="W189" s="357">
        <v>72831176.304000005</v>
      </c>
      <c r="X189" s="357">
        <v>473851</v>
      </c>
      <c r="Y189" s="357">
        <v>63343120.01481317</v>
      </c>
      <c r="Z189" s="357">
        <v>50745236.719999999</v>
      </c>
      <c r="AA189" s="357">
        <v>1107650</v>
      </c>
      <c r="AB189" s="357">
        <v>154255178.75442779</v>
      </c>
      <c r="AC189" s="173">
        <v>123576413.024</v>
      </c>
    </row>
    <row r="190" spans="2:29" collapsed="1" x14ac:dyDescent="0.25">
      <c r="B190" s="359" t="s">
        <v>711</v>
      </c>
      <c r="C190" s="358">
        <v>569814.16666666663</v>
      </c>
      <c r="D190" s="358">
        <v>80664992.201368675</v>
      </c>
      <c r="E190" s="358"/>
      <c r="F190" s="358">
        <v>419795.08333333331</v>
      </c>
      <c r="G190" s="358">
        <v>55806907.53775686</v>
      </c>
      <c r="H190" s="358"/>
      <c r="I190" s="358">
        <v>989609.25</v>
      </c>
      <c r="J190" s="358">
        <v>136471899.73912552</v>
      </c>
      <c r="K190" s="358"/>
      <c r="L190" s="358">
        <v>38063.25</v>
      </c>
      <c r="M190" s="358">
        <v>6305775.1155899772</v>
      </c>
      <c r="N190" s="358"/>
      <c r="O190" s="358">
        <v>33240.166666666664</v>
      </c>
      <c r="P190" s="358">
        <v>5360792.2122889273</v>
      </c>
      <c r="Q190" s="358"/>
      <c r="R190" s="358">
        <v>71303.416666666672</v>
      </c>
      <c r="S190" s="358">
        <v>11666567.327878902</v>
      </c>
      <c r="T190" s="358"/>
      <c r="U190" s="358">
        <v>607877.41666666663</v>
      </c>
      <c r="V190" s="358">
        <v>86970767.316958651</v>
      </c>
      <c r="W190" s="358"/>
      <c r="X190" s="358">
        <v>453035.25</v>
      </c>
      <c r="Y190" s="358">
        <v>61167699.750045799</v>
      </c>
      <c r="Z190" s="358"/>
      <c r="AA190" s="358">
        <v>1060912.6666666667</v>
      </c>
      <c r="AB190" s="358">
        <v>148138467.06700444</v>
      </c>
      <c r="AC190" s="361"/>
    </row>
    <row r="191" spans="2:29" hidden="1" outlineLevel="1" x14ac:dyDescent="0.25">
      <c r="B191" s="205">
        <v>44197</v>
      </c>
      <c r="C191" s="357">
        <v>600842</v>
      </c>
      <c r="D191" s="357">
        <v>94768379.938161224</v>
      </c>
      <c r="E191" s="357">
        <v>76453709.691</v>
      </c>
      <c r="F191" s="357">
        <v>443662</v>
      </c>
      <c r="G191" s="357">
        <v>65923610.440447718</v>
      </c>
      <c r="H191" s="357">
        <v>53183399.122000001</v>
      </c>
      <c r="I191" s="357">
        <v>1044504</v>
      </c>
      <c r="J191" s="357">
        <v>160691990.37860894</v>
      </c>
      <c r="K191" s="357">
        <v>129637108.81299999</v>
      </c>
      <c r="L191" s="357">
        <v>38683</v>
      </c>
      <c r="M191" s="357">
        <v>7086427.6547873858</v>
      </c>
      <c r="N191" s="357">
        <v>5716924.6009999998</v>
      </c>
      <c r="O191" s="357">
        <v>34228</v>
      </c>
      <c r="P191" s="357">
        <v>6087187.8039981956</v>
      </c>
      <c r="Q191" s="357">
        <v>4910795.03</v>
      </c>
      <c r="R191" s="357">
        <v>72911</v>
      </c>
      <c r="S191" s="357">
        <v>13173615.458785582</v>
      </c>
      <c r="T191" s="357">
        <v>10627719.630999999</v>
      </c>
      <c r="U191" s="357">
        <v>639525</v>
      </c>
      <c r="V191" s="357">
        <v>101854807.59294862</v>
      </c>
      <c r="W191" s="357">
        <v>82170634.291999996</v>
      </c>
      <c r="X191" s="357">
        <v>477890</v>
      </c>
      <c r="Y191" s="357">
        <v>72010798.244445905</v>
      </c>
      <c r="Z191" s="357">
        <v>58094194.152000003</v>
      </c>
      <c r="AA191" s="357">
        <v>1117415</v>
      </c>
      <c r="AB191" s="357">
        <v>173865605.83739454</v>
      </c>
      <c r="AC191" s="173">
        <v>140264828.44400001</v>
      </c>
    </row>
    <row r="192" spans="2:29" hidden="1" outlineLevel="1" x14ac:dyDescent="0.25">
      <c r="B192" s="205">
        <v>44228</v>
      </c>
      <c r="C192" s="357">
        <v>605436</v>
      </c>
      <c r="D192" s="357">
        <v>94860676.574025884</v>
      </c>
      <c r="E192" s="357">
        <v>76669977.292999998</v>
      </c>
      <c r="F192" s="357">
        <v>447257</v>
      </c>
      <c r="G192" s="357">
        <v>65993472.366848417</v>
      </c>
      <c r="H192" s="357">
        <v>53338413.877999999</v>
      </c>
      <c r="I192" s="357">
        <v>1052693</v>
      </c>
      <c r="J192" s="357">
        <v>160854148.94087431</v>
      </c>
      <c r="K192" s="357">
        <v>130008391.171</v>
      </c>
      <c r="L192" s="357">
        <v>38750</v>
      </c>
      <c r="M192" s="357">
        <v>7071121.446261866</v>
      </c>
      <c r="N192" s="357">
        <v>5715147.1009999998</v>
      </c>
      <c r="O192" s="357">
        <v>34279</v>
      </c>
      <c r="P192" s="357">
        <v>6076245.324392572</v>
      </c>
      <c r="Q192" s="357">
        <v>4911050.6890000002</v>
      </c>
      <c r="R192" s="357">
        <v>73029</v>
      </c>
      <c r="S192" s="357">
        <v>13147366.770654438</v>
      </c>
      <c r="T192" s="357">
        <v>10626197.789999999</v>
      </c>
      <c r="U192" s="357">
        <v>644186</v>
      </c>
      <c r="V192" s="357">
        <v>101931798.02028774</v>
      </c>
      <c r="W192" s="357">
        <v>82385124.393999994</v>
      </c>
      <c r="X192" s="357">
        <v>481536</v>
      </c>
      <c r="Y192" s="357">
        <v>72069717.691240996</v>
      </c>
      <c r="Z192" s="357">
        <v>58249464.567000002</v>
      </c>
      <c r="AA192" s="357">
        <v>1125722</v>
      </c>
      <c r="AB192" s="357">
        <v>174001515.71152872</v>
      </c>
      <c r="AC192" s="173">
        <v>140634588.961</v>
      </c>
    </row>
    <row r="193" spans="2:29" hidden="1" outlineLevel="1" x14ac:dyDescent="0.25">
      <c r="B193" s="205">
        <v>44256</v>
      </c>
      <c r="C193" s="357">
        <v>610095</v>
      </c>
      <c r="D193" s="357">
        <v>95425390.536624134</v>
      </c>
      <c r="E193" s="357">
        <v>77415895.508000001</v>
      </c>
      <c r="F193" s="357">
        <v>450099</v>
      </c>
      <c r="G193" s="357">
        <v>66162956.504081719</v>
      </c>
      <c r="H193" s="357">
        <v>53676118.048</v>
      </c>
      <c r="I193" s="357">
        <v>1060194</v>
      </c>
      <c r="J193" s="357">
        <v>161588347.04070583</v>
      </c>
      <c r="K193" s="357">
        <v>131092013.55599999</v>
      </c>
      <c r="L193" s="357">
        <v>38777</v>
      </c>
      <c r="M193" s="357">
        <v>7047932.5342952227</v>
      </c>
      <c r="N193" s="357">
        <v>5717786.4879999999</v>
      </c>
      <c r="O193" s="357">
        <v>34317</v>
      </c>
      <c r="P193" s="357">
        <v>6062898.0354060708</v>
      </c>
      <c r="Q193" s="357">
        <v>4918656.1160000004</v>
      </c>
      <c r="R193" s="357">
        <v>73094</v>
      </c>
      <c r="S193" s="357">
        <v>13110830.569701292</v>
      </c>
      <c r="T193" s="357">
        <v>10636442.604</v>
      </c>
      <c r="U193" s="357">
        <v>648872</v>
      </c>
      <c r="V193" s="357">
        <v>102473323.07091936</v>
      </c>
      <c r="W193" s="357">
        <v>83133681.996000007</v>
      </c>
      <c r="X193" s="357">
        <v>484416</v>
      </c>
      <c r="Y193" s="357">
        <v>72225854.539487794</v>
      </c>
      <c r="Z193" s="357">
        <v>58594774.163999997</v>
      </c>
      <c r="AA193" s="357">
        <v>1133288</v>
      </c>
      <c r="AB193" s="357">
        <v>174699177.61040714</v>
      </c>
      <c r="AC193" s="173">
        <v>141728456.16</v>
      </c>
    </row>
    <row r="194" spans="2:29" hidden="1" outlineLevel="1" x14ac:dyDescent="0.25">
      <c r="B194" s="205">
        <v>44287</v>
      </c>
      <c r="C194" s="357">
        <v>615165</v>
      </c>
      <c r="D194" s="357">
        <v>95977869.585398257</v>
      </c>
      <c r="E194" s="357">
        <v>78157630.570999995</v>
      </c>
      <c r="F194" s="357">
        <v>453554</v>
      </c>
      <c r="G194" s="357">
        <v>66346815.659285299</v>
      </c>
      <c r="H194" s="357">
        <v>54028183.061999999</v>
      </c>
      <c r="I194" s="357">
        <v>1068719</v>
      </c>
      <c r="J194" s="357">
        <v>162324685.24468356</v>
      </c>
      <c r="K194" s="357">
        <v>132185813.633</v>
      </c>
      <c r="L194" s="357">
        <v>39434</v>
      </c>
      <c r="M194" s="357">
        <v>7087734.8193051731</v>
      </c>
      <c r="N194" s="357">
        <v>5771753.0300000003</v>
      </c>
      <c r="O194" s="357">
        <v>35231</v>
      </c>
      <c r="P194" s="357">
        <v>6141041.2050803397</v>
      </c>
      <c r="Q194" s="357">
        <v>5000832.2949999999</v>
      </c>
      <c r="R194" s="357">
        <v>74665</v>
      </c>
      <c r="S194" s="357">
        <v>13228776.024385514</v>
      </c>
      <c r="T194" s="357">
        <v>10772585.324999999</v>
      </c>
      <c r="U194" s="357">
        <v>654599</v>
      </c>
      <c r="V194" s="357">
        <v>103065604.40470341</v>
      </c>
      <c r="W194" s="357">
        <v>83929383.600999996</v>
      </c>
      <c r="X194" s="357">
        <v>488785</v>
      </c>
      <c r="Y194" s="357">
        <v>72487856.864365652</v>
      </c>
      <c r="Z194" s="357">
        <v>59029015.357000001</v>
      </c>
      <c r="AA194" s="357">
        <v>1143384</v>
      </c>
      <c r="AB194" s="357">
        <v>175553461.26906908</v>
      </c>
      <c r="AC194" s="173">
        <v>142958398.958</v>
      </c>
    </row>
    <row r="195" spans="2:29" hidden="1" outlineLevel="1" x14ac:dyDescent="0.25">
      <c r="B195" s="205">
        <v>44317</v>
      </c>
      <c r="C195" s="357">
        <v>619925</v>
      </c>
      <c r="D195" s="357">
        <v>96566472.604613766</v>
      </c>
      <c r="E195" s="357">
        <v>78848211.272</v>
      </c>
      <c r="F195" s="357">
        <v>456843</v>
      </c>
      <c r="G195" s="357">
        <v>66620582.678818114</v>
      </c>
      <c r="H195" s="357">
        <v>54396869.186999999</v>
      </c>
      <c r="I195" s="357">
        <v>1076768</v>
      </c>
      <c r="J195" s="357">
        <v>163187055.28343189</v>
      </c>
      <c r="K195" s="357">
        <v>133245080.45900001</v>
      </c>
      <c r="L195" s="357">
        <v>40665</v>
      </c>
      <c r="M195" s="357">
        <v>7177948.0156467864</v>
      </c>
      <c r="N195" s="357">
        <v>5860919.9069999997</v>
      </c>
      <c r="O195" s="357">
        <v>36858</v>
      </c>
      <c r="P195" s="357">
        <v>6270510.2386179511</v>
      </c>
      <c r="Q195" s="357">
        <v>5119981.1150000002</v>
      </c>
      <c r="R195" s="357">
        <v>77523</v>
      </c>
      <c r="S195" s="357">
        <v>13448458.254264738</v>
      </c>
      <c r="T195" s="357">
        <v>10980901.022</v>
      </c>
      <c r="U195" s="357">
        <v>660590</v>
      </c>
      <c r="V195" s="357">
        <v>103744420.62026057</v>
      </c>
      <c r="W195" s="357">
        <v>84709131.179000005</v>
      </c>
      <c r="X195" s="357">
        <v>493701</v>
      </c>
      <c r="Y195" s="357">
        <v>72891092.917436063</v>
      </c>
      <c r="Z195" s="357">
        <v>59516850.302000001</v>
      </c>
      <c r="AA195" s="357">
        <v>1154291</v>
      </c>
      <c r="AB195" s="357">
        <v>176635513.53769663</v>
      </c>
      <c r="AC195" s="173">
        <v>144225981.48100001</v>
      </c>
    </row>
    <row r="196" spans="2:29" hidden="1" outlineLevel="1" x14ac:dyDescent="0.25">
      <c r="B196" s="205">
        <v>44348</v>
      </c>
      <c r="C196" s="357">
        <v>624280</v>
      </c>
      <c r="D196" s="357">
        <v>97386077.829346463</v>
      </c>
      <c r="E196" s="357">
        <v>79580831.511999995</v>
      </c>
      <c r="F196" s="357">
        <v>459648</v>
      </c>
      <c r="G196" s="357">
        <v>67056903.769049838</v>
      </c>
      <c r="H196" s="357">
        <v>54796786.968999997</v>
      </c>
      <c r="I196" s="357">
        <v>1083928</v>
      </c>
      <c r="J196" s="357">
        <v>164442981.5983963</v>
      </c>
      <c r="K196" s="357">
        <v>134377618.48100001</v>
      </c>
      <c r="L196" s="357">
        <v>41406</v>
      </c>
      <c r="M196" s="357">
        <v>7245676.4143260922</v>
      </c>
      <c r="N196" s="357">
        <v>5920938.2570000002</v>
      </c>
      <c r="O196" s="357">
        <v>37901</v>
      </c>
      <c r="P196" s="357">
        <v>6378809.1803342896</v>
      </c>
      <c r="Q196" s="357">
        <v>5212561.6919999998</v>
      </c>
      <c r="R196" s="357">
        <v>79307</v>
      </c>
      <c r="S196" s="357">
        <v>13624485.594660381</v>
      </c>
      <c r="T196" s="357">
        <v>11133499.948999999</v>
      </c>
      <c r="U196" s="357">
        <v>665686</v>
      </c>
      <c r="V196" s="357">
        <v>104631754.24367256</v>
      </c>
      <c r="W196" s="357">
        <v>85501769.768999994</v>
      </c>
      <c r="X196" s="357">
        <v>497549</v>
      </c>
      <c r="Y196" s="357">
        <v>73435712.949384123</v>
      </c>
      <c r="Z196" s="357">
        <v>60009348.660999998</v>
      </c>
      <c r="AA196" s="357">
        <v>1163235</v>
      </c>
      <c r="AB196" s="357">
        <v>178067467.19305667</v>
      </c>
      <c r="AC196" s="173">
        <v>145511118.43000001</v>
      </c>
    </row>
    <row r="197" spans="2:29" hidden="1" outlineLevel="1" x14ac:dyDescent="0.25">
      <c r="B197" s="205">
        <v>44378</v>
      </c>
      <c r="C197" s="357">
        <v>628233</v>
      </c>
      <c r="D197" s="357">
        <v>102017517.045692</v>
      </c>
      <c r="E197" s="357">
        <v>84039924.519999996</v>
      </c>
      <c r="F197" s="357">
        <v>462542</v>
      </c>
      <c r="G197" s="357">
        <v>70337892.124990046</v>
      </c>
      <c r="H197" s="357">
        <v>57942903.495999999</v>
      </c>
      <c r="I197" s="357">
        <v>1090775</v>
      </c>
      <c r="J197" s="357">
        <v>172355409.17068207</v>
      </c>
      <c r="K197" s="357">
        <v>141982828.016</v>
      </c>
      <c r="L197" s="357">
        <v>41969</v>
      </c>
      <c r="M197" s="357">
        <v>7541741.4320053039</v>
      </c>
      <c r="N197" s="357">
        <v>6212730.9019999998</v>
      </c>
      <c r="O197" s="357">
        <v>38877</v>
      </c>
      <c r="P197" s="357">
        <v>6711806.7962346412</v>
      </c>
      <c r="Q197" s="357">
        <v>5529047.8820000002</v>
      </c>
      <c r="R197" s="357">
        <v>80846</v>
      </c>
      <c r="S197" s="357">
        <v>14253548.228239944</v>
      </c>
      <c r="T197" s="357">
        <v>11741778.784</v>
      </c>
      <c r="U197" s="357">
        <v>670202</v>
      </c>
      <c r="V197" s="357">
        <v>109559258.47769731</v>
      </c>
      <c r="W197" s="357">
        <v>90252655.422000006</v>
      </c>
      <c r="X197" s="357">
        <v>501419</v>
      </c>
      <c r="Y197" s="357">
        <v>77049698.921224698</v>
      </c>
      <c r="Z197" s="357">
        <v>63471951.377999999</v>
      </c>
      <c r="AA197" s="357">
        <v>1171621</v>
      </c>
      <c r="AB197" s="357">
        <v>186608957.398922</v>
      </c>
      <c r="AC197" s="173">
        <v>153724606.80000001</v>
      </c>
    </row>
    <row r="198" spans="2:29" hidden="1" outlineLevel="1" x14ac:dyDescent="0.25">
      <c r="B198" s="205">
        <v>44409</v>
      </c>
      <c r="C198" s="357">
        <v>632311</v>
      </c>
      <c r="D198" s="357">
        <v>102800689.67150769</v>
      </c>
      <c r="E198" s="357">
        <v>84989369.709000006</v>
      </c>
      <c r="F198" s="357">
        <v>464709</v>
      </c>
      <c r="G198" s="357">
        <v>70905742.756452665</v>
      </c>
      <c r="H198" s="357">
        <v>58620563.781000003</v>
      </c>
      <c r="I198" s="357">
        <v>1097020</v>
      </c>
      <c r="J198" s="357">
        <v>173706432.42796037</v>
      </c>
      <c r="K198" s="357">
        <v>143609933.49000001</v>
      </c>
      <c r="L198" s="357">
        <v>42296</v>
      </c>
      <c r="M198" s="357">
        <v>7569814.7874673037</v>
      </c>
      <c r="N198" s="357">
        <v>6258263.341</v>
      </c>
      <c r="O198" s="357">
        <v>39447</v>
      </c>
      <c r="P198" s="357">
        <v>6787836.7626220658</v>
      </c>
      <c r="Q198" s="357">
        <v>5611771.3799999999</v>
      </c>
      <c r="R198" s="357">
        <v>81743</v>
      </c>
      <c r="S198" s="357">
        <v>14357651.550089369</v>
      </c>
      <c r="T198" s="357">
        <v>11870034.721000001</v>
      </c>
      <c r="U198" s="357">
        <v>674607</v>
      </c>
      <c r="V198" s="357">
        <v>110370504.45897499</v>
      </c>
      <c r="W198" s="357">
        <v>91247633.049999997</v>
      </c>
      <c r="X198" s="357">
        <v>504156</v>
      </c>
      <c r="Y198" s="357">
        <v>77693579.519074723</v>
      </c>
      <c r="Z198" s="357">
        <v>64232335.160999998</v>
      </c>
      <c r="AA198" s="357">
        <v>1178763</v>
      </c>
      <c r="AB198" s="357">
        <v>188064083.97804973</v>
      </c>
      <c r="AC198" s="173">
        <v>155479968.211</v>
      </c>
    </row>
    <row r="199" spans="2:29" hidden="1" outlineLevel="1" x14ac:dyDescent="0.25">
      <c r="B199" s="205">
        <v>44440</v>
      </c>
      <c r="C199" s="357">
        <v>638396</v>
      </c>
      <c r="D199" s="357">
        <v>102882917.95502901</v>
      </c>
      <c r="E199" s="357">
        <v>86059222.452000007</v>
      </c>
      <c r="F199" s="357">
        <v>469874</v>
      </c>
      <c r="G199" s="357">
        <v>71045601.20816201</v>
      </c>
      <c r="H199" s="357">
        <v>59428030.620999999</v>
      </c>
      <c r="I199" s="357">
        <v>1108270</v>
      </c>
      <c r="J199" s="357">
        <v>173928519.16319102</v>
      </c>
      <c r="K199" s="357">
        <v>145487253.07300001</v>
      </c>
      <c r="L199" s="357">
        <v>42481</v>
      </c>
      <c r="M199" s="357">
        <v>7500309.0303731896</v>
      </c>
      <c r="N199" s="357">
        <v>6273838.0300000003</v>
      </c>
      <c r="O199" s="357">
        <v>39831</v>
      </c>
      <c r="P199" s="357">
        <v>6764307.6765008075</v>
      </c>
      <c r="Q199" s="357">
        <v>5658189.6260000002</v>
      </c>
      <c r="R199" s="357">
        <v>82312</v>
      </c>
      <c r="S199" s="357">
        <v>14264616.706873996</v>
      </c>
      <c r="T199" s="357">
        <v>11932027.655999999</v>
      </c>
      <c r="U199" s="357">
        <v>680877</v>
      </c>
      <c r="V199" s="357">
        <v>110383226.9854022</v>
      </c>
      <c r="W199" s="357">
        <v>92333060.481999993</v>
      </c>
      <c r="X199" s="357">
        <v>509705</v>
      </c>
      <c r="Y199" s="357">
        <v>77809908.884662807</v>
      </c>
      <c r="Z199" s="357">
        <v>65086220.247000001</v>
      </c>
      <c r="AA199" s="357">
        <v>1190582</v>
      </c>
      <c r="AB199" s="357">
        <v>188193135.870065</v>
      </c>
      <c r="AC199" s="173">
        <v>157419280.729</v>
      </c>
    </row>
    <row r="200" spans="2:29" hidden="1" outlineLevel="1" x14ac:dyDescent="0.25">
      <c r="B200" s="205">
        <v>44470</v>
      </c>
      <c r="C200" s="357">
        <v>645913</v>
      </c>
      <c r="D200" s="357">
        <v>102929148.89537203</v>
      </c>
      <c r="E200" s="357">
        <v>87252480.541999996</v>
      </c>
      <c r="F200" s="357">
        <v>475311</v>
      </c>
      <c r="G200" s="357">
        <v>71119484.322383657</v>
      </c>
      <c r="H200" s="357">
        <v>60287600.631999999</v>
      </c>
      <c r="I200" s="357">
        <v>1121224</v>
      </c>
      <c r="J200" s="357">
        <v>174048633.21775571</v>
      </c>
      <c r="K200" s="357">
        <v>147540081.17399999</v>
      </c>
      <c r="L200" s="357">
        <v>42530</v>
      </c>
      <c r="M200" s="357">
        <v>7403737.5432647634</v>
      </c>
      <c r="N200" s="357">
        <v>6276108.108</v>
      </c>
      <c r="O200" s="357">
        <v>40062</v>
      </c>
      <c r="P200" s="357">
        <v>6718072.0606191037</v>
      </c>
      <c r="Q200" s="357">
        <v>5694873.2019999996</v>
      </c>
      <c r="R200" s="357">
        <v>82592</v>
      </c>
      <c r="S200" s="357">
        <v>14121809.603883868</v>
      </c>
      <c r="T200" s="357">
        <v>11970981.310000001</v>
      </c>
      <c r="U200" s="357">
        <v>688443</v>
      </c>
      <c r="V200" s="357">
        <v>110332886.43863681</v>
      </c>
      <c r="W200" s="357">
        <v>93528588.650000006</v>
      </c>
      <c r="X200" s="357">
        <v>515373</v>
      </c>
      <c r="Y200" s="357">
        <v>77837556.383002758</v>
      </c>
      <c r="Z200" s="357">
        <v>65982473.833999999</v>
      </c>
      <c r="AA200" s="357">
        <v>1203816</v>
      </c>
      <c r="AB200" s="357">
        <v>188170442.82163957</v>
      </c>
      <c r="AC200" s="173">
        <v>159511062.484</v>
      </c>
    </row>
    <row r="201" spans="2:29" hidden="1" outlineLevel="1" x14ac:dyDescent="0.25">
      <c r="B201" s="205">
        <v>44501</v>
      </c>
      <c r="C201" s="357">
        <v>654021</v>
      </c>
      <c r="D201" s="357">
        <v>103829859.90222088</v>
      </c>
      <c r="E201" s="357">
        <v>88455012.145999998</v>
      </c>
      <c r="F201" s="357">
        <v>481364</v>
      </c>
      <c r="G201" s="357">
        <v>71766829.824187502</v>
      </c>
      <c r="H201" s="357">
        <v>61139789.745999999</v>
      </c>
      <c r="I201" s="357">
        <v>1135385</v>
      </c>
      <c r="J201" s="357">
        <v>175596689.72640839</v>
      </c>
      <c r="K201" s="357">
        <v>149594801.89199999</v>
      </c>
      <c r="L201" s="357">
        <v>43059</v>
      </c>
      <c r="M201" s="357">
        <v>7408941.589759198</v>
      </c>
      <c r="N201" s="357">
        <v>6311845.3490000004</v>
      </c>
      <c r="O201" s="357">
        <v>41024</v>
      </c>
      <c r="P201" s="357">
        <v>6783951.1373361731</v>
      </c>
      <c r="Q201" s="357">
        <v>5779401.8099999996</v>
      </c>
      <c r="R201" s="357">
        <v>84083</v>
      </c>
      <c r="S201" s="357">
        <v>14192892.727095371</v>
      </c>
      <c r="T201" s="357">
        <v>12091247.159</v>
      </c>
      <c r="U201" s="357">
        <v>697080</v>
      </c>
      <c r="V201" s="357">
        <v>111238801.49198008</v>
      </c>
      <c r="W201" s="357">
        <v>94766857.495000005</v>
      </c>
      <c r="X201" s="357">
        <v>522388</v>
      </c>
      <c r="Y201" s="357">
        <v>78550780.961523667</v>
      </c>
      <c r="Z201" s="357">
        <v>66919191.556000002</v>
      </c>
      <c r="AA201" s="357">
        <v>1219468</v>
      </c>
      <c r="AB201" s="357">
        <v>189789582.45350376</v>
      </c>
      <c r="AC201" s="173">
        <v>161686049.051</v>
      </c>
    </row>
    <row r="202" spans="2:29" hidden="1" outlineLevel="1" x14ac:dyDescent="0.25">
      <c r="B202" s="205">
        <v>44531</v>
      </c>
      <c r="C202" s="357">
        <v>661228</v>
      </c>
      <c r="D202" s="357">
        <v>104264696.53022005</v>
      </c>
      <c r="E202" s="357">
        <v>89519543.391000003</v>
      </c>
      <c r="F202" s="357">
        <v>486375</v>
      </c>
      <c r="G202" s="357">
        <v>72068307.638774306</v>
      </c>
      <c r="H202" s="357">
        <v>61876380.093000002</v>
      </c>
      <c r="I202" s="357">
        <v>1147603</v>
      </c>
      <c r="J202" s="357">
        <v>176333004.16899437</v>
      </c>
      <c r="K202" s="357">
        <v>151395923.484</v>
      </c>
      <c r="L202" s="357">
        <v>43273</v>
      </c>
      <c r="M202" s="357">
        <v>7355366.1366280597</v>
      </c>
      <c r="N202" s="357">
        <v>6315167.4529999997</v>
      </c>
      <c r="O202" s="357">
        <v>41477</v>
      </c>
      <c r="P202" s="357">
        <v>6762265.5040159998</v>
      </c>
      <c r="Q202" s="357">
        <v>5805943.3380000005</v>
      </c>
      <c r="R202" s="357">
        <v>84750</v>
      </c>
      <c r="S202" s="357">
        <v>14117631.64064406</v>
      </c>
      <c r="T202" s="357">
        <v>12121110.790999999</v>
      </c>
      <c r="U202" s="357">
        <v>704501</v>
      </c>
      <c r="V202" s="357">
        <v>111620062.66684809</v>
      </c>
      <c r="W202" s="357">
        <v>95834710.843999997</v>
      </c>
      <c r="X202" s="357">
        <v>527852</v>
      </c>
      <c r="Y202" s="357">
        <v>78830573.142790318</v>
      </c>
      <c r="Z202" s="357">
        <v>67682323.430999994</v>
      </c>
      <c r="AA202" s="357">
        <v>1232353</v>
      </c>
      <c r="AB202" s="357">
        <v>190450635.80963841</v>
      </c>
      <c r="AC202" s="173">
        <v>163517034.27500001</v>
      </c>
    </row>
    <row r="203" spans="2:29" collapsed="1" x14ac:dyDescent="0.25">
      <c r="B203" s="359" t="s">
        <v>712</v>
      </c>
      <c r="C203" s="358">
        <v>627987.08333333337</v>
      </c>
      <c r="D203" s="358">
        <v>99475808.089017615</v>
      </c>
      <c r="E203" s="358"/>
      <c r="F203" s="358">
        <v>462603.16666666669</v>
      </c>
      <c r="G203" s="358">
        <v>68779016.607790098</v>
      </c>
      <c r="H203" s="358"/>
      <c r="I203" s="358">
        <v>1090590.25</v>
      </c>
      <c r="J203" s="358">
        <v>168254824.69680777</v>
      </c>
      <c r="K203" s="358"/>
      <c r="L203" s="358">
        <v>41110.25</v>
      </c>
      <c r="M203" s="358">
        <v>7291395.9503433621</v>
      </c>
      <c r="N203" s="358"/>
      <c r="O203" s="358">
        <v>37794.333333333336</v>
      </c>
      <c r="P203" s="358">
        <v>6462077.6437631845</v>
      </c>
      <c r="Q203" s="358"/>
      <c r="R203" s="358">
        <v>78904.583333333328</v>
      </c>
      <c r="S203" s="358">
        <v>13753473.594106548</v>
      </c>
      <c r="T203" s="358"/>
      <c r="U203" s="358">
        <v>669097.33333333337</v>
      </c>
      <c r="V203" s="358">
        <v>106767204.03936099</v>
      </c>
      <c r="W203" s="358"/>
      <c r="X203" s="358">
        <v>500397.5</v>
      </c>
      <c r="Y203" s="358">
        <v>75241094.251553282</v>
      </c>
      <c r="Z203" s="358"/>
      <c r="AA203" s="358">
        <v>1169494.8333333333</v>
      </c>
      <c r="AB203" s="358">
        <v>182008298.29091427</v>
      </c>
      <c r="AC203" s="361"/>
    </row>
    <row r="204" spans="2:29" outlineLevel="1" x14ac:dyDescent="0.25">
      <c r="B204" s="205">
        <v>44562</v>
      </c>
      <c r="C204" s="357">
        <v>669074</v>
      </c>
      <c r="D204" s="357">
        <v>109442274.28553604</v>
      </c>
      <c r="E204" s="357">
        <v>95093530.766000003</v>
      </c>
      <c r="F204" s="357">
        <v>492231</v>
      </c>
      <c r="G204" s="357">
        <v>76033401.659121126</v>
      </c>
      <c r="H204" s="357">
        <v>66064824.284000002</v>
      </c>
      <c r="I204" s="357">
        <v>1161305</v>
      </c>
      <c r="J204" s="357">
        <v>185475675.94465718</v>
      </c>
      <c r="K204" s="357">
        <v>161158355.05000001</v>
      </c>
      <c r="L204" s="357">
        <v>43561</v>
      </c>
      <c r="M204" s="357">
        <v>7865730.116112126</v>
      </c>
      <c r="N204" s="357">
        <v>6834470.9910000004</v>
      </c>
      <c r="O204" s="357">
        <v>41983</v>
      </c>
      <c r="P204" s="357">
        <v>7284529.6116656801</v>
      </c>
      <c r="Q204" s="357">
        <v>6329470.4469999997</v>
      </c>
      <c r="R204" s="357">
        <v>85544</v>
      </c>
      <c r="S204" s="357">
        <v>15150259.727777807</v>
      </c>
      <c r="T204" s="357">
        <v>13163941.437999999</v>
      </c>
      <c r="U204" s="357">
        <v>712635</v>
      </c>
      <c r="V204" s="357">
        <v>117308004.40164816</v>
      </c>
      <c r="W204" s="357">
        <v>101928001.757</v>
      </c>
      <c r="X204" s="357">
        <v>534214</v>
      </c>
      <c r="Y204" s="357">
        <v>83317931.270786807</v>
      </c>
      <c r="Z204" s="357">
        <v>72394294.731000006</v>
      </c>
      <c r="AA204" s="357">
        <v>1246849</v>
      </c>
      <c r="AB204" s="357">
        <v>200625935.67243496</v>
      </c>
      <c r="AC204" s="173">
        <v>174322296.48800001</v>
      </c>
    </row>
    <row r="205" spans="2:29" outlineLevel="1" x14ac:dyDescent="0.25">
      <c r="B205" s="205">
        <v>44593</v>
      </c>
      <c r="C205" s="357">
        <v>157011</v>
      </c>
      <c r="D205" s="357">
        <v>32645352.786518004</v>
      </c>
      <c r="E205" s="357">
        <v>28447360.478999998</v>
      </c>
      <c r="F205" s="357">
        <v>156303</v>
      </c>
      <c r="G205" s="357">
        <v>29414984.961975988</v>
      </c>
      <c r="H205" s="357">
        <v>25632398.16</v>
      </c>
      <c r="I205" s="357">
        <v>313314</v>
      </c>
      <c r="J205" s="357">
        <v>62060337.748493984</v>
      </c>
      <c r="K205" s="357">
        <v>54079758.638999999</v>
      </c>
      <c r="L205" s="357">
        <v>43796</v>
      </c>
      <c r="M205" s="357">
        <v>8287198.7978887064</v>
      </c>
      <c r="N205" s="357">
        <v>7221515.8190000001</v>
      </c>
      <c r="O205" s="357">
        <v>42423</v>
      </c>
      <c r="P205" s="357">
        <v>7723993.3428707877</v>
      </c>
      <c r="Q205" s="357">
        <v>6730735.1339999996</v>
      </c>
      <c r="R205" s="357">
        <v>86219</v>
      </c>
      <c r="S205" s="357">
        <v>16011192.140759494</v>
      </c>
      <c r="T205" s="357">
        <v>13952250.953</v>
      </c>
      <c r="U205" s="357">
        <v>200807</v>
      </c>
      <c r="V205" s="357">
        <v>40932551.584406711</v>
      </c>
      <c r="W205" s="357">
        <v>35668876.298</v>
      </c>
      <c r="X205" s="357">
        <v>198726</v>
      </c>
      <c r="Y205" s="357">
        <v>37138978.304846771</v>
      </c>
      <c r="Z205" s="357">
        <v>32363133.294</v>
      </c>
      <c r="AA205" s="357">
        <v>399533</v>
      </c>
      <c r="AB205" s="357">
        <v>78071529.889253482</v>
      </c>
      <c r="AC205" s="173">
        <v>68032009.591999993</v>
      </c>
    </row>
    <row r="206" spans="2:29" outlineLevel="1" x14ac:dyDescent="0.25">
      <c r="B206" s="205">
        <v>44621</v>
      </c>
      <c r="C206" s="357">
        <v>158373</v>
      </c>
      <c r="D206" s="357">
        <v>32380453.855217703</v>
      </c>
      <c r="E206" s="357">
        <v>28739803.392999999</v>
      </c>
      <c r="F206" s="357">
        <v>158291</v>
      </c>
      <c r="G206" s="357">
        <v>29333823.513281602</v>
      </c>
      <c r="H206" s="357">
        <v>26035716.618000001</v>
      </c>
      <c r="I206" s="357">
        <v>316664</v>
      </c>
      <c r="J206" s="357">
        <v>61714277.368499309</v>
      </c>
      <c r="K206" s="357">
        <v>54775520.011</v>
      </c>
      <c r="L206" s="357">
        <v>44375</v>
      </c>
      <c r="M206" s="357">
        <v>8184614.7724084975</v>
      </c>
      <c r="N206" s="357">
        <v>7264389.2039999999</v>
      </c>
      <c r="O206" s="357">
        <v>43297</v>
      </c>
      <c r="P206" s="357">
        <v>7660600.7500745505</v>
      </c>
      <c r="Q206" s="357">
        <v>6799291.9560000002</v>
      </c>
      <c r="R206" s="357">
        <v>87672</v>
      </c>
      <c r="S206" s="357">
        <v>15845215.522483047</v>
      </c>
      <c r="T206" s="357">
        <v>14063681.16</v>
      </c>
      <c r="U206" s="357">
        <v>202748</v>
      </c>
      <c r="V206" s="357">
        <v>40565068.627626196</v>
      </c>
      <c r="W206" s="357">
        <v>36004192.597000003</v>
      </c>
      <c r="X206" s="357">
        <v>201588</v>
      </c>
      <c r="Y206" s="357">
        <v>36994424.263356149</v>
      </c>
      <c r="Z206" s="357">
        <v>32835008.574000001</v>
      </c>
      <c r="AA206" s="357">
        <v>404336</v>
      </c>
      <c r="AB206" s="357">
        <v>77559492.890982345</v>
      </c>
      <c r="AC206" s="173">
        <v>68839201.171000004</v>
      </c>
    </row>
    <row r="207" spans="2:29" outlineLevel="1" x14ac:dyDescent="0.25">
      <c r="B207" s="205">
        <v>44652</v>
      </c>
      <c r="C207" s="357">
        <v>154818</v>
      </c>
      <c r="D207" s="357">
        <v>31451327.302112326</v>
      </c>
      <c r="E207" s="357">
        <v>28305473.328000002</v>
      </c>
      <c r="F207" s="357">
        <v>157061</v>
      </c>
      <c r="G207" s="357">
        <v>28915541.145651769</v>
      </c>
      <c r="H207" s="357">
        <v>26023323.938000001</v>
      </c>
      <c r="I207" s="357">
        <v>311879</v>
      </c>
      <c r="J207" s="357">
        <v>60366868.447764099</v>
      </c>
      <c r="K207" s="357">
        <v>54328797.266000003</v>
      </c>
      <c r="L207" s="357">
        <v>44630</v>
      </c>
      <c r="M207" s="357">
        <v>8077179.5326788407</v>
      </c>
      <c r="N207" s="357">
        <v>7269276.3530000001</v>
      </c>
      <c r="O207" s="357">
        <v>43805</v>
      </c>
      <c r="P207" s="357">
        <v>7593660.0647897748</v>
      </c>
      <c r="Q207" s="357">
        <v>6834119.9199999999</v>
      </c>
      <c r="R207" s="357">
        <v>88435</v>
      </c>
      <c r="S207" s="357">
        <v>15670839.597468616</v>
      </c>
      <c r="T207" s="357">
        <v>14103396.273</v>
      </c>
      <c r="U207" s="357">
        <v>199448</v>
      </c>
      <c r="V207" s="357">
        <v>39528506.834791169</v>
      </c>
      <c r="W207" s="357">
        <v>35574749.681000002</v>
      </c>
      <c r="X207" s="357">
        <v>200866</v>
      </c>
      <c r="Y207" s="357">
        <v>36509201.210441545</v>
      </c>
      <c r="Z207" s="357">
        <v>32857443.857999999</v>
      </c>
      <c r="AA207" s="357">
        <v>400314</v>
      </c>
      <c r="AB207" s="357">
        <v>76037708.045232713</v>
      </c>
      <c r="AC207" s="173">
        <v>68432193.539000005</v>
      </c>
    </row>
    <row r="208" spans="2:29" outlineLevel="1" x14ac:dyDescent="0.25">
      <c r="B208" s="205">
        <v>44682</v>
      </c>
      <c r="C208" s="357">
        <v>111871</v>
      </c>
      <c r="D208" s="357">
        <v>23584181.356591616</v>
      </c>
      <c r="E208" s="357">
        <v>21479681.938999999</v>
      </c>
      <c r="F208" s="357">
        <v>65720</v>
      </c>
      <c r="G208" s="357">
        <v>13781537.356181158</v>
      </c>
      <c r="H208" s="357">
        <v>12551762.325999999</v>
      </c>
      <c r="I208" s="357">
        <v>177591</v>
      </c>
      <c r="J208" s="357">
        <v>37365718.712772779</v>
      </c>
      <c r="K208" s="357">
        <v>34031444.265000001</v>
      </c>
      <c r="L208" s="357">
        <v>44880</v>
      </c>
      <c r="M208" s="357">
        <v>7978124.3944925228</v>
      </c>
      <c r="N208" s="357">
        <v>7266208.3059999999</v>
      </c>
      <c r="O208" s="357">
        <v>44391</v>
      </c>
      <c r="P208" s="357">
        <v>7530399.1432521921</v>
      </c>
      <c r="Q208" s="357">
        <v>6858435.1529999999</v>
      </c>
      <c r="R208" s="357">
        <v>89271</v>
      </c>
      <c r="S208" s="357">
        <v>15508523.537744714</v>
      </c>
      <c r="T208" s="357">
        <v>14124643.459000001</v>
      </c>
      <c r="U208" s="357">
        <v>156751</v>
      </c>
      <c r="V208" s="357">
        <v>31562305.751084141</v>
      </c>
      <c r="W208" s="357">
        <v>28745890.245000001</v>
      </c>
      <c r="X208" s="357">
        <v>110111</v>
      </c>
      <c r="Y208" s="357">
        <v>21311936.49943335</v>
      </c>
      <c r="Z208" s="357">
        <v>19410197.478999998</v>
      </c>
      <c r="AA208" s="357">
        <v>266862</v>
      </c>
      <c r="AB208" s="357">
        <v>52874242.250517495</v>
      </c>
      <c r="AC208" s="173">
        <v>48156087.723999999</v>
      </c>
    </row>
    <row r="209" spans="2:29" outlineLevel="1" x14ac:dyDescent="0.25">
      <c r="B209" s="205">
        <v>44713</v>
      </c>
      <c r="C209" s="357">
        <v>109948</v>
      </c>
      <c r="D209" s="357">
        <v>22978504.836134437</v>
      </c>
      <c r="E209" s="357">
        <v>21123233.438999999</v>
      </c>
      <c r="F209" s="357">
        <v>64976</v>
      </c>
      <c r="G209" s="357">
        <v>13513508.139999971</v>
      </c>
      <c r="H209" s="357">
        <v>12422435.187000001</v>
      </c>
      <c r="I209" s="357">
        <v>174924</v>
      </c>
      <c r="J209" s="357">
        <v>36492012.976134405</v>
      </c>
      <c r="K209" s="357">
        <v>33545668.625999998</v>
      </c>
      <c r="L209" s="357">
        <v>45192</v>
      </c>
      <c r="M209" s="357">
        <v>7915518.8598645255</v>
      </c>
      <c r="N209" s="357">
        <v>7276424.3739999998</v>
      </c>
      <c r="O209" s="357">
        <v>45010</v>
      </c>
      <c r="P209" s="357">
        <v>7506312.5656614965</v>
      </c>
      <c r="Q209" s="357">
        <v>6900257.1629999997</v>
      </c>
      <c r="R209" s="357">
        <v>90202</v>
      </c>
      <c r="S209" s="357">
        <v>15421831.425526021</v>
      </c>
      <c r="T209" s="357">
        <v>14176681.537</v>
      </c>
      <c r="U209" s="357">
        <v>155140</v>
      </c>
      <c r="V209" s="357">
        <v>30894023.695998963</v>
      </c>
      <c r="W209" s="357">
        <v>28399657.813000001</v>
      </c>
      <c r="X209" s="357">
        <v>109986</v>
      </c>
      <c r="Y209" s="357">
        <v>21019820.705661468</v>
      </c>
      <c r="Z209" s="357">
        <v>19322692.350000001</v>
      </c>
      <c r="AA209" s="357">
        <v>265126</v>
      </c>
      <c r="AB209" s="357">
        <v>51913844.401660427</v>
      </c>
      <c r="AC209" s="173">
        <v>47722350.163000003</v>
      </c>
    </row>
    <row r="210" spans="2:29" outlineLevel="1" x14ac:dyDescent="0.25">
      <c r="B210" s="205">
        <v>44743</v>
      </c>
      <c r="C210" s="357">
        <v>109799</v>
      </c>
      <c r="D210" s="357">
        <v>24951133.962982882</v>
      </c>
      <c r="E210" s="357">
        <v>23251915.916000001</v>
      </c>
      <c r="F210" s="357">
        <v>64729</v>
      </c>
      <c r="G210" s="357">
        <v>14745137.410924371</v>
      </c>
      <c r="H210" s="357">
        <v>13740966.472999999</v>
      </c>
      <c r="I210" s="357">
        <v>174528</v>
      </c>
      <c r="J210" s="357">
        <v>39696271.373907261</v>
      </c>
      <c r="K210" s="357">
        <v>36992882.388999999</v>
      </c>
      <c r="L210" s="357">
        <v>45366</v>
      </c>
      <c r="M210" s="357">
        <v>8225372.1872945782</v>
      </c>
      <c r="N210" s="357">
        <v>7665209.2350000003</v>
      </c>
      <c r="O210" s="357">
        <v>45364</v>
      </c>
      <c r="P210" s="357">
        <v>7831624.7088757697</v>
      </c>
      <c r="Q210" s="357">
        <v>7298276.6830000002</v>
      </c>
      <c r="R210" s="357">
        <v>90730</v>
      </c>
      <c r="S210" s="357">
        <v>16056996.896170348</v>
      </c>
      <c r="T210" s="357">
        <v>14963485.918</v>
      </c>
      <c r="U210" s="357">
        <v>155165</v>
      </c>
      <c r="V210" s="357">
        <v>33176506.150277462</v>
      </c>
      <c r="W210" s="357">
        <v>30917125.151000001</v>
      </c>
      <c r="X210" s="357">
        <v>110093</v>
      </c>
      <c r="Y210" s="357">
        <v>22576762.119800139</v>
      </c>
      <c r="Z210" s="357">
        <v>21039243.155999999</v>
      </c>
      <c r="AA210" s="357">
        <v>265258</v>
      </c>
      <c r="AB210" s="357">
        <v>55753268.270077609</v>
      </c>
      <c r="AC210" s="173">
        <v>51956368.306999996</v>
      </c>
    </row>
    <row r="211" spans="2:29" outlineLevel="1" x14ac:dyDescent="0.25">
      <c r="B211" s="205">
        <v>44774</v>
      </c>
      <c r="C211" s="357">
        <v>109904</v>
      </c>
      <c r="D211" s="357">
        <v>24692244.142205168</v>
      </c>
      <c r="E211" s="357">
        <v>23289298.221999999</v>
      </c>
      <c r="F211" s="357">
        <v>64644</v>
      </c>
      <c r="G211" s="357">
        <v>14563752.26732666</v>
      </c>
      <c r="H211" s="357">
        <v>13736279.612</v>
      </c>
      <c r="I211" s="357">
        <v>174548</v>
      </c>
      <c r="J211" s="357">
        <v>39255996.409531832</v>
      </c>
      <c r="K211" s="357">
        <v>37025577.833999999</v>
      </c>
      <c r="L211" s="357">
        <v>45575</v>
      </c>
      <c r="M211" s="357">
        <v>8140744.8807847137</v>
      </c>
      <c r="N211" s="357">
        <v>7678209.9749999996</v>
      </c>
      <c r="O211" s="357">
        <v>45817</v>
      </c>
      <c r="P211" s="357">
        <v>7780741.0083001517</v>
      </c>
      <c r="Q211" s="357">
        <v>7338660.54</v>
      </c>
      <c r="R211" s="357">
        <v>91392</v>
      </c>
      <c r="S211" s="357">
        <v>15921485.889084866</v>
      </c>
      <c r="T211" s="357">
        <v>15016870.515000001</v>
      </c>
      <c r="U211" s="357">
        <v>155479</v>
      </c>
      <c r="V211" s="357">
        <v>32832989.02298988</v>
      </c>
      <c r="W211" s="357">
        <v>30967508.197000001</v>
      </c>
      <c r="X211" s="357">
        <v>110461</v>
      </c>
      <c r="Y211" s="357">
        <v>22344493.275626812</v>
      </c>
      <c r="Z211" s="357">
        <v>21074940.151999999</v>
      </c>
      <c r="AA211" s="357">
        <v>265940</v>
      </c>
      <c r="AB211" s="357">
        <v>55177482.298616692</v>
      </c>
      <c r="AC211" s="173">
        <v>52042448.348999999</v>
      </c>
    </row>
    <row r="212" spans="2:29" outlineLevel="1" x14ac:dyDescent="0.25">
      <c r="B212" s="205">
        <v>44805</v>
      </c>
      <c r="C212" s="357">
        <v>109666</v>
      </c>
      <c r="D212" s="357">
        <v>24435547.949275538</v>
      </c>
      <c r="E212" s="357">
        <v>23246434.522999998</v>
      </c>
      <c r="F212" s="357">
        <v>64275</v>
      </c>
      <c r="G212" s="357">
        <v>14371964.109016601</v>
      </c>
      <c r="H212" s="357">
        <v>13672577.481000001</v>
      </c>
      <c r="I212" s="357">
        <v>173941</v>
      </c>
      <c r="J212" s="357">
        <v>38807512.058292143</v>
      </c>
      <c r="K212" s="357">
        <v>36919012.004000001</v>
      </c>
      <c r="L212" s="357">
        <v>45697</v>
      </c>
      <c r="M212" s="357">
        <v>8061157.6633193344</v>
      </c>
      <c r="N212" s="357">
        <v>7668875.4510000004</v>
      </c>
      <c r="O212" s="357">
        <v>46202</v>
      </c>
      <c r="P212" s="357">
        <v>7741290.1229974981</v>
      </c>
      <c r="Q212" s="357">
        <v>7364573.7079999996</v>
      </c>
      <c r="R212" s="357">
        <v>91899</v>
      </c>
      <c r="S212" s="357">
        <v>15802447.786316831</v>
      </c>
      <c r="T212" s="357">
        <v>15033449.159</v>
      </c>
      <c r="U212" s="357">
        <v>155363</v>
      </c>
      <c r="V212" s="357">
        <v>32496705.612594876</v>
      </c>
      <c r="W212" s="357">
        <v>30915309.973999999</v>
      </c>
      <c r="X212" s="357">
        <v>110477</v>
      </c>
      <c r="Y212" s="357">
        <v>22113254.232014097</v>
      </c>
      <c r="Z212" s="357">
        <v>21037151.188999999</v>
      </c>
      <c r="AA212" s="357">
        <v>265840</v>
      </c>
      <c r="AB212" s="357">
        <v>54609959.84460897</v>
      </c>
      <c r="AC212" s="173">
        <v>51952461.163000003</v>
      </c>
    </row>
    <row r="213" spans="2:29" outlineLevel="1" x14ac:dyDescent="0.25">
      <c r="B213" s="205">
        <v>44835</v>
      </c>
      <c r="C213" s="357">
        <v>109393</v>
      </c>
      <c r="D213" s="357">
        <v>24257157.008267835</v>
      </c>
      <c r="E213" s="357">
        <v>23196045.528999999</v>
      </c>
      <c r="F213" s="357">
        <v>63815</v>
      </c>
      <c r="G213" s="357">
        <v>14211932.617925124</v>
      </c>
      <c r="H213" s="357">
        <v>13590242.085999999</v>
      </c>
      <c r="I213" s="357">
        <v>173208</v>
      </c>
      <c r="J213" s="357">
        <v>38469089.626192965</v>
      </c>
      <c r="K213" s="357">
        <v>36786287.615000002</v>
      </c>
      <c r="L213" s="357">
        <v>45739</v>
      </c>
      <c r="M213" s="357">
        <v>8010384.8901134292</v>
      </c>
      <c r="N213" s="357">
        <v>7659976.4989999998</v>
      </c>
      <c r="O213" s="357">
        <v>46381</v>
      </c>
      <c r="P213" s="357">
        <v>7715971.8587542148</v>
      </c>
      <c r="Q213" s="357">
        <v>7378442.3490000004</v>
      </c>
      <c r="R213" s="357">
        <v>92120</v>
      </c>
      <c r="S213" s="357">
        <v>15726356.748867646</v>
      </c>
      <c r="T213" s="357">
        <v>15038418.847999999</v>
      </c>
      <c r="U213" s="357">
        <v>155132</v>
      </c>
      <c r="V213" s="357">
        <v>32267541.898381263</v>
      </c>
      <c r="W213" s="357">
        <v>30856022.028000001</v>
      </c>
      <c r="X213" s="357">
        <v>110196</v>
      </c>
      <c r="Y213" s="357">
        <v>21927904.47667934</v>
      </c>
      <c r="Z213" s="357">
        <v>20968684.434999999</v>
      </c>
      <c r="AA213" s="357">
        <v>265328</v>
      </c>
      <c r="AB213" s="357">
        <v>54195446.37506061</v>
      </c>
      <c r="AC213" s="173">
        <v>51824706.463</v>
      </c>
    </row>
    <row r="214" spans="2:29" outlineLevel="1" x14ac:dyDescent="0.25">
      <c r="B214" s="205">
        <v>44866</v>
      </c>
      <c r="C214" s="357">
        <v>109031</v>
      </c>
      <c r="D214" s="357">
        <v>23957782.941071045</v>
      </c>
      <c r="E214" s="357">
        <v>23133193.734000001</v>
      </c>
      <c r="F214" s="357">
        <v>63526</v>
      </c>
      <c r="G214" s="357">
        <v>14029873.240180422</v>
      </c>
      <c r="H214" s="357">
        <v>13546987.07</v>
      </c>
      <c r="I214" s="357">
        <v>172557</v>
      </c>
      <c r="J214" s="357">
        <v>37987656.181251474</v>
      </c>
      <c r="K214" s="357">
        <v>36680180.803999998</v>
      </c>
      <c r="L214" s="357">
        <v>45910</v>
      </c>
      <c r="M214" s="357">
        <v>7948812.804520431</v>
      </c>
      <c r="N214" s="357">
        <v>7675227.1699999999</v>
      </c>
      <c r="O214" s="357">
        <v>46666</v>
      </c>
      <c r="P214" s="357">
        <v>7678092.3896401646</v>
      </c>
      <c r="Q214" s="357">
        <v>7413824.5259999996</v>
      </c>
      <c r="R214" s="357">
        <v>92576</v>
      </c>
      <c r="S214" s="357">
        <v>15626905.194160596</v>
      </c>
      <c r="T214" s="357">
        <v>15089051.696</v>
      </c>
      <c r="U214" s="357">
        <v>154941</v>
      </c>
      <c r="V214" s="357">
        <v>31906595.745591477</v>
      </c>
      <c r="W214" s="357">
        <v>30808420.903999999</v>
      </c>
      <c r="X214" s="357">
        <v>110192</v>
      </c>
      <c r="Y214" s="357">
        <v>21707965.629820589</v>
      </c>
      <c r="Z214" s="357">
        <v>20960811.596000001</v>
      </c>
      <c r="AA214" s="357">
        <v>265133</v>
      </c>
      <c r="AB214" s="357">
        <v>53614561.375412062</v>
      </c>
      <c r="AC214" s="173">
        <v>51769232.5</v>
      </c>
    </row>
    <row r="215" spans="2:29" outlineLevel="1" x14ac:dyDescent="0.25">
      <c r="B215" s="205">
        <v>44896</v>
      </c>
      <c r="C215" s="357">
        <v>108989</v>
      </c>
      <c r="D215" s="357">
        <v>23897090.636355095</v>
      </c>
      <c r="E215" s="357">
        <v>23140037.881999999</v>
      </c>
      <c r="F215" s="357">
        <v>63190</v>
      </c>
      <c r="G215" s="357">
        <v>13940621.49243455</v>
      </c>
      <c r="H215" s="357">
        <v>13498986.732000001</v>
      </c>
      <c r="I215" s="357">
        <v>172179</v>
      </c>
      <c r="J215" s="357">
        <v>37837712.128789641</v>
      </c>
      <c r="K215" s="357">
        <v>36639024.614</v>
      </c>
      <c r="L215" s="357">
        <v>45881</v>
      </c>
      <c r="M215" s="357">
        <v>7900230.2455655904</v>
      </c>
      <c r="N215" s="357">
        <v>7649953.2910000002</v>
      </c>
      <c r="O215" s="357">
        <v>46817</v>
      </c>
      <c r="P215" s="357">
        <v>7664618.7202177532</v>
      </c>
      <c r="Q215" s="357">
        <v>7421805.8689999999</v>
      </c>
      <c r="R215" s="357">
        <v>92698</v>
      </c>
      <c r="S215" s="357">
        <v>15564848.965783345</v>
      </c>
      <c r="T215" s="357">
        <v>15071759.16</v>
      </c>
      <c r="U215" s="357">
        <v>154870</v>
      </c>
      <c r="V215" s="357">
        <v>31797320.881920684</v>
      </c>
      <c r="W215" s="357">
        <v>30789991.173</v>
      </c>
      <c r="X215" s="357">
        <v>110007</v>
      </c>
      <c r="Y215" s="357">
        <v>21605240.212652303</v>
      </c>
      <c r="Z215" s="357">
        <v>20920792.601</v>
      </c>
      <c r="AA215" s="357">
        <v>264877</v>
      </c>
      <c r="AB215" s="357">
        <v>53402561.094572984</v>
      </c>
      <c r="AC215" s="173">
        <v>51710783.773999996</v>
      </c>
    </row>
    <row r="216" spans="2:29" x14ac:dyDescent="0.25">
      <c r="B216" s="359" t="s">
        <v>713</v>
      </c>
      <c r="C216" s="358">
        <v>168156.41666666666</v>
      </c>
      <c r="D216" s="358">
        <v>33222754.255188972</v>
      </c>
      <c r="E216" s="358"/>
      <c r="F216" s="358">
        <v>123230.08333333333</v>
      </c>
      <c r="G216" s="358">
        <v>23071339.82616828</v>
      </c>
      <c r="H216" s="358"/>
      <c r="I216" s="358">
        <v>291386.5</v>
      </c>
      <c r="J216" s="358">
        <v>56294094.081357263</v>
      </c>
      <c r="K216" s="358"/>
      <c r="L216" s="358">
        <v>45050.166666666664</v>
      </c>
      <c r="M216" s="358">
        <v>8049589.0954202749</v>
      </c>
      <c r="N216" s="358"/>
      <c r="O216" s="358">
        <v>44846.333333333336</v>
      </c>
      <c r="P216" s="358">
        <v>7642652.8572583357</v>
      </c>
      <c r="Q216" s="358"/>
      <c r="R216" s="358">
        <v>89896.5</v>
      </c>
      <c r="S216" s="358">
        <v>15692241.952678612</v>
      </c>
      <c r="T216" s="358"/>
      <c r="U216" s="358">
        <v>213206.58333333334</v>
      </c>
      <c r="V216" s="358">
        <v>41272343.35060925</v>
      </c>
      <c r="W216" s="358"/>
      <c r="X216" s="358">
        <v>168076.41666666666</v>
      </c>
      <c r="Y216" s="358">
        <v>30713992.683426619</v>
      </c>
      <c r="Z216" s="358"/>
      <c r="AA216" s="358">
        <v>381283</v>
      </c>
      <c r="AB216" s="358">
        <v>71986336.034035861</v>
      </c>
      <c r="AC216" s="361"/>
    </row>
    <row r="217" spans="2:29" outlineLevel="1" x14ac:dyDescent="0.25">
      <c r="B217" s="205">
        <v>44927</v>
      </c>
      <c r="C217" s="357">
        <v>108797</v>
      </c>
      <c r="D217" s="357">
        <v>23677679.708032172</v>
      </c>
      <c r="E217" s="357">
        <v>23112169.975000001</v>
      </c>
      <c r="F217" s="357">
        <v>62891</v>
      </c>
      <c r="G217" s="357">
        <v>13779978.137967816</v>
      </c>
      <c r="H217" s="357">
        <v>13450861.778000001</v>
      </c>
      <c r="I217" s="357">
        <v>171688</v>
      </c>
      <c r="J217" s="357">
        <v>37457657.845999986</v>
      </c>
      <c r="K217" s="357">
        <v>36563031.752999999</v>
      </c>
      <c r="L217" s="357">
        <v>46104</v>
      </c>
      <c r="M217" s="357">
        <v>7854880.1282944456</v>
      </c>
      <c r="N217" s="357">
        <v>7667276.8150000004</v>
      </c>
      <c r="O217" s="357">
        <v>47256</v>
      </c>
      <c r="P217" s="357">
        <v>7656684.3592527155</v>
      </c>
      <c r="Q217" s="357">
        <v>7473814.6869999999</v>
      </c>
      <c r="R217" s="357">
        <v>93360</v>
      </c>
      <c r="S217" s="357">
        <v>15511564.487547161</v>
      </c>
      <c r="T217" s="357">
        <v>15141091.502</v>
      </c>
      <c r="U217" s="357">
        <v>154901</v>
      </c>
      <c r="V217" s="357">
        <v>31532559.836326618</v>
      </c>
      <c r="W217" s="357">
        <v>30779446.789999999</v>
      </c>
      <c r="X217" s="357">
        <v>110147</v>
      </c>
      <c r="Y217" s="357">
        <v>21436662.497220531</v>
      </c>
      <c r="Z217" s="357">
        <v>20924676.465</v>
      </c>
      <c r="AA217" s="357">
        <v>265048</v>
      </c>
      <c r="AB217" s="357">
        <v>52969222.333547153</v>
      </c>
      <c r="AC217" s="173">
        <v>51704123.255000003</v>
      </c>
    </row>
    <row r="218" spans="2:29" outlineLevel="1" x14ac:dyDescent="0.25">
      <c r="B218" s="205">
        <v>44958</v>
      </c>
      <c r="C218" s="357">
        <v>108645</v>
      </c>
      <c r="D218" s="357">
        <v>23678485.129566196</v>
      </c>
      <c r="E218" s="357">
        <v>23098112.738000002</v>
      </c>
      <c r="F218" s="357">
        <v>62678</v>
      </c>
      <c r="G218" s="357">
        <v>13757907.278705677</v>
      </c>
      <c r="H218" s="357">
        <v>13420693.58</v>
      </c>
      <c r="I218" s="357">
        <v>171323</v>
      </c>
      <c r="J218" s="357">
        <v>37436392.408271872</v>
      </c>
      <c r="K218" s="357">
        <v>36518806.318000004</v>
      </c>
      <c r="L218" s="357">
        <v>46210</v>
      </c>
      <c r="M218" s="357">
        <v>8444656.4524610378</v>
      </c>
      <c r="N218" s="357">
        <v>8237673.3859999999</v>
      </c>
      <c r="O218" s="357">
        <v>47542</v>
      </c>
      <c r="P218" s="357">
        <v>8279249.5176249053</v>
      </c>
      <c r="Q218" s="357">
        <v>8076320.6639999999</v>
      </c>
      <c r="R218" s="357">
        <v>93752</v>
      </c>
      <c r="S218" s="357">
        <v>16723905.970085945</v>
      </c>
      <c r="T218" s="357">
        <v>16313994.050000001</v>
      </c>
      <c r="U218" s="357">
        <v>154855</v>
      </c>
      <c r="V218" s="357">
        <v>32123141.582027234</v>
      </c>
      <c r="W218" s="357">
        <v>31335786.124000002</v>
      </c>
      <c r="X218" s="357">
        <v>110220</v>
      </c>
      <c r="Y218" s="357">
        <v>22037156.796330582</v>
      </c>
      <c r="Z218" s="357">
        <v>21497014.243999999</v>
      </c>
      <c r="AA218" s="357">
        <v>265075</v>
      </c>
      <c r="AB218" s="357">
        <v>54160298.37835782</v>
      </c>
      <c r="AC218" s="173">
        <v>52832800.368000001</v>
      </c>
    </row>
    <row r="219" spans="2:29" outlineLevel="1" x14ac:dyDescent="0.25">
      <c r="B219" s="205">
        <v>44986</v>
      </c>
      <c r="C219" s="357">
        <v>108598</v>
      </c>
      <c r="D219" s="357">
        <v>23425483.775892887</v>
      </c>
      <c r="E219" s="357">
        <v>23099681.600000001</v>
      </c>
      <c r="F219" s="357">
        <v>62593</v>
      </c>
      <c r="G219" s="357">
        <v>13611098.72318233</v>
      </c>
      <c r="H219" s="357">
        <v>13421795.244000001</v>
      </c>
      <c r="I219" s="357">
        <v>171191</v>
      </c>
      <c r="J219" s="357">
        <v>37036582.499075219</v>
      </c>
      <c r="K219" s="357">
        <v>36521476.843999997</v>
      </c>
      <c r="L219" s="357">
        <v>46381</v>
      </c>
      <c r="M219" s="357">
        <v>8376968.9976187618</v>
      </c>
      <c r="N219" s="357">
        <v>8260461.9170000004</v>
      </c>
      <c r="O219" s="357">
        <v>47964</v>
      </c>
      <c r="P219" s="357">
        <v>8248017.5731938016</v>
      </c>
      <c r="Q219" s="357">
        <v>8133303.9519999996</v>
      </c>
      <c r="R219" s="357">
        <v>94345</v>
      </c>
      <c r="S219" s="357">
        <v>16624986.570812562</v>
      </c>
      <c r="T219" s="357">
        <v>16393765.869000001</v>
      </c>
      <c r="U219" s="357">
        <v>154979</v>
      </c>
      <c r="V219" s="357">
        <v>31802452.773511652</v>
      </c>
      <c r="W219" s="357">
        <v>31360143.517000001</v>
      </c>
      <c r="X219" s="357">
        <v>110557</v>
      </c>
      <c r="Y219" s="357">
        <v>21859116.296376128</v>
      </c>
      <c r="Z219" s="357">
        <v>21555099.195999999</v>
      </c>
      <c r="AA219" s="357">
        <v>265536</v>
      </c>
      <c r="AB219" s="357">
        <v>53661569.06988778</v>
      </c>
      <c r="AC219" s="173">
        <v>52915242.713</v>
      </c>
    </row>
    <row r="220" spans="2:29" outlineLevel="1" x14ac:dyDescent="0.25">
      <c r="B220" s="205">
        <v>45017</v>
      </c>
      <c r="C220" s="357">
        <v>108605</v>
      </c>
      <c r="D220" s="357">
        <v>23379417.509071551</v>
      </c>
      <c r="E220" s="357">
        <v>23125421.499000002</v>
      </c>
      <c r="F220" s="357">
        <v>62459</v>
      </c>
      <c r="G220" s="357">
        <v>13562093.548068315</v>
      </c>
      <c r="H220" s="357">
        <v>13414753.793</v>
      </c>
      <c r="I220" s="357">
        <v>171064</v>
      </c>
      <c r="J220" s="357">
        <v>36941511.057139866</v>
      </c>
      <c r="K220" s="357">
        <v>36540175.292000003</v>
      </c>
      <c r="L220" s="357">
        <v>46538</v>
      </c>
      <c r="M220" s="357">
        <v>8376925.4724799935</v>
      </c>
      <c r="N220" s="357">
        <v>8285917.8310000002</v>
      </c>
      <c r="O220" s="357">
        <v>48252</v>
      </c>
      <c r="P220" s="357">
        <v>8271860.4823574563</v>
      </c>
      <c r="Q220" s="357">
        <v>8181994.2759999996</v>
      </c>
      <c r="R220" s="357">
        <v>94790</v>
      </c>
      <c r="S220" s="357">
        <v>16648785.954837451</v>
      </c>
      <c r="T220" s="357">
        <v>16467912.107000001</v>
      </c>
      <c r="U220" s="357">
        <v>155143</v>
      </c>
      <c r="V220" s="357">
        <v>31756342.981551547</v>
      </c>
      <c r="W220" s="357">
        <v>31411339.329999998</v>
      </c>
      <c r="X220" s="357">
        <v>110711</v>
      </c>
      <c r="Y220" s="357">
        <v>21833954.030425772</v>
      </c>
      <c r="Z220" s="357">
        <v>21596748.068999998</v>
      </c>
      <c r="AA220" s="357">
        <v>265854</v>
      </c>
      <c r="AB220" s="357">
        <v>53590297.011977315</v>
      </c>
      <c r="AC220" s="173">
        <v>53008087.398999996</v>
      </c>
    </row>
    <row r="221" spans="2:29" outlineLevel="1" x14ac:dyDescent="0.25">
      <c r="B221" s="205">
        <v>45047</v>
      </c>
      <c r="C221" s="357">
        <v>108135</v>
      </c>
      <c r="D221" s="357">
        <v>23265062.412834551</v>
      </c>
      <c r="E221" s="357">
        <v>23038162.153999999</v>
      </c>
      <c r="F221" s="357">
        <v>62137</v>
      </c>
      <c r="G221" s="357">
        <v>13443524.854280703</v>
      </c>
      <c r="H221" s="357">
        <v>13312412.407</v>
      </c>
      <c r="I221" s="357">
        <v>170272</v>
      </c>
      <c r="J221" s="357">
        <v>36708587.267115258</v>
      </c>
      <c r="K221" s="357">
        <v>36350574.560999997</v>
      </c>
      <c r="L221" s="357">
        <v>46775</v>
      </c>
      <c r="M221" s="357">
        <v>8387742.5751165478</v>
      </c>
      <c r="N221" s="357">
        <v>8305938.3260000004</v>
      </c>
      <c r="O221" s="357">
        <v>48540</v>
      </c>
      <c r="P221" s="357">
        <v>8286489.4634697605</v>
      </c>
      <c r="Q221" s="357">
        <v>8205672.7189999996</v>
      </c>
      <c r="R221" s="357">
        <v>95315</v>
      </c>
      <c r="S221" s="357">
        <v>16674232.038586307</v>
      </c>
      <c r="T221" s="357">
        <v>16511611.045</v>
      </c>
      <c r="U221" s="357">
        <v>154910</v>
      </c>
      <c r="V221" s="357">
        <v>31652804.9879511</v>
      </c>
      <c r="W221" s="357">
        <v>31344100.48</v>
      </c>
      <c r="X221" s="357">
        <v>110677</v>
      </c>
      <c r="Y221" s="357">
        <v>21730014.317750461</v>
      </c>
      <c r="Z221" s="357">
        <v>21518085.125999998</v>
      </c>
      <c r="AA221" s="357">
        <v>265587</v>
      </c>
      <c r="AB221" s="357">
        <v>53382819.305701561</v>
      </c>
      <c r="AC221" s="173">
        <v>52862185.605999999</v>
      </c>
    </row>
    <row r="222" spans="2:29" outlineLevel="1" x14ac:dyDescent="0.25">
      <c r="B222" s="205">
        <v>45078</v>
      </c>
      <c r="C222" s="357">
        <v>107841</v>
      </c>
      <c r="D222" s="357">
        <v>25657467.329619471</v>
      </c>
      <c r="E222" s="357">
        <v>25368465.980999999</v>
      </c>
      <c r="F222" s="357">
        <v>61932</v>
      </c>
      <c r="G222" s="357">
        <v>14911358.002674468</v>
      </c>
      <c r="H222" s="357">
        <v>14743399.002</v>
      </c>
      <c r="I222" s="357">
        <v>169773</v>
      </c>
      <c r="J222" s="357">
        <v>40568825.332293935</v>
      </c>
      <c r="K222" s="357">
        <v>40111864.983000003</v>
      </c>
      <c r="L222" s="357">
        <v>46987</v>
      </c>
      <c r="M222" s="357">
        <v>8418457.7858329136</v>
      </c>
      <c r="N222" s="357">
        <v>8323633.7089999998</v>
      </c>
      <c r="O222" s="357">
        <v>48880</v>
      </c>
      <c r="P222" s="357">
        <v>8329687.8200346325</v>
      </c>
      <c r="Q222" s="357">
        <v>8235863.6330000004</v>
      </c>
      <c r="R222" s="357">
        <v>95867</v>
      </c>
      <c r="S222" s="357">
        <v>16748145.605867546</v>
      </c>
      <c r="T222" s="357">
        <v>16559497.342</v>
      </c>
      <c r="U222" s="357">
        <v>154828</v>
      </c>
      <c r="V222" s="357">
        <v>34075925.115452386</v>
      </c>
      <c r="W222" s="357">
        <v>33692099.689999998</v>
      </c>
      <c r="X222" s="357">
        <v>110812</v>
      </c>
      <c r="Y222" s="357">
        <v>23241045.822709098</v>
      </c>
      <c r="Z222" s="357">
        <v>22979262.635000002</v>
      </c>
      <c r="AA222" s="357">
        <v>265640</v>
      </c>
      <c r="AB222" s="357">
        <v>57316970.938161485</v>
      </c>
      <c r="AC222" s="173">
        <v>56671362.325000003</v>
      </c>
    </row>
    <row r="223" spans="2:29" outlineLevel="1" x14ac:dyDescent="0.25">
      <c r="B223" s="205">
        <v>45108</v>
      </c>
      <c r="C223" s="357">
        <v>107603</v>
      </c>
      <c r="D223" s="357">
        <v>25528060.311661769</v>
      </c>
      <c r="E223" s="357">
        <v>25329299.515999999</v>
      </c>
      <c r="F223" s="357">
        <v>61709</v>
      </c>
      <c r="G223" s="357">
        <v>14823346.926194916</v>
      </c>
      <c r="H223" s="357">
        <v>14707932.743000001</v>
      </c>
      <c r="I223" s="357">
        <v>169312</v>
      </c>
      <c r="J223" s="357">
        <v>40351407.237856686</v>
      </c>
      <c r="K223" s="357">
        <v>40037232.259000003</v>
      </c>
      <c r="L223" s="357">
        <v>47071</v>
      </c>
      <c r="M223" s="357">
        <v>8398486.848253781</v>
      </c>
      <c r="N223" s="357">
        <v>8333096.4539999999</v>
      </c>
      <c r="O223" s="357">
        <v>49165</v>
      </c>
      <c r="P223" s="357">
        <v>8334970.7193709901</v>
      </c>
      <c r="Q223" s="357">
        <v>8270074.8600000003</v>
      </c>
      <c r="R223" s="357">
        <v>96236</v>
      </c>
      <c r="S223" s="357">
        <v>16733457.56762477</v>
      </c>
      <c r="T223" s="357">
        <v>16603171.313999999</v>
      </c>
      <c r="U223" s="357">
        <v>154674</v>
      </c>
      <c r="V223" s="357">
        <v>33926547.159915552</v>
      </c>
      <c r="W223" s="357">
        <v>33662395.969999999</v>
      </c>
      <c r="X223" s="357">
        <v>110874</v>
      </c>
      <c r="Y223" s="357">
        <v>23158317.645565905</v>
      </c>
      <c r="Z223" s="357">
        <v>22978007.603</v>
      </c>
      <c r="AA223" s="357">
        <v>265548</v>
      </c>
      <c r="AB223" s="357">
        <v>57084864.805481464</v>
      </c>
      <c r="AC223" s="173">
        <v>56640403.572999999</v>
      </c>
    </row>
    <row r="224" spans="2:29" outlineLevel="1" x14ac:dyDescent="0.25">
      <c r="B224" s="205">
        <v>45139</v>
      </c>
      <c r="C224" s="357">
        <v>107495</v>
      </c>
      <c r="D224" s="357">
        <v>25498683.430313677</v>
      </c>
      <c r="E224" s="357">
        <v>25328349.484999999</v>
      </c>
      <c r="F224" s="357">
        <v>61425</v>
      </c>
      <c r="G224" s="357">
        <v>14769387.790507251</v>
      </c>
      <c r="H224" s="357">
        <v>14670726.693</v>
      </c>
      <c r="I224" s="357">
        <v>168920</v>
      </c>
      <c r="J224" s="357">
        <v>40268071.220820926</v>
      </c>
      <c r="K224" s="357">
        <v>39999076.178000003</v>
      </c>
      <c r="L224" s="357">
        <v>47164</v>
      </c>
      <c r="M224" s="357">
        <v>8403154.5413094908</v>
      </c>
      <c r="N224" s="357">
        <v>8347020.5659999996</v>
      </c>
      <c r="O224" s="357">
        <v>49448</v>
      </c>
      <c r="P224" s="357">
        <v>8367910.0996519746</v>
      </c>
      <c r="Q224" s="357">
        <v>8312011.5609999998</v>
      </c>
      <c r="R224" s="357">
        <v>96612</v>
      </c>
      <c r="S224" s="357">
        <v>16771064.640961466</v>
      </c>
      <c r="T224" s="357">
        <v>16659032.127</v>
      </c>
      <c r="U224" s="357">
        <v>154659</v>
      </c>
      <c r="V224" s="357">
        <v>33901837.971623167</v>
      </c>
      <c r="W224" s="357">
        <v>33675370.050999999</v>
      </c>
      <c r="X224" s="357">
        <v>110873</v>
      </c>
      <c r="Y224" s="357">
        <v>23137297.890159227</v>
      </c>
      <c r="Z224" s="357">
        <v>22982738.254000001</v>
      </c>
      <c r="AA224" s="357">
        <v>265532</v>
      </c>
      <c r="AB224" s="357">
        <v>57039135.861782394</v>
      </c>
      <c r="AC224" s="173">
        <v>56658108.305</v>
      </c>
    </row>
    <row r="225" spans="2:29" outlineLevel="1" x14ac:dyDescent="0.25">
      <c r="B225" s="205">
        <v>45170</v>
      </c>
      <c r="C225" s="357">
        <v>107346</v>
      </c>
      <c r="D225" s="357">
        <v>25293121.418000001</v>
      </c>
      <c r="E225" s="357">
        <v>25293121.418000001</v>
      </c>
      <c r="F225" s="357">
        <v>61168</v>
      </c>
      <c r="G225" s="357">
        <v>14619374.314999999</v>
      </c>
      <c r="H225" s="357">
        <v>14619374.314999999</v>
      </c>
      <c r="I225" s="357">
        <v>168514</v>
      </c>
      <c r="J225" s="357">
        <v>39912495.733000003</v>
      </c>
      <c r="K225" s="357">
        <v>39912495.733000003</v>
      </c>
      <c r="L225" s="357">
        <v>47248</v>
      </c>
      <c r="M225" s="357">
        <v>8349348.3439999996</v>
      </c>
      <c r="N225" s="357">
        <v>8349348.3439999996</v>
      </c>
      <c r="O225" s="357">
        <v>49763</v>
      </c>
      <c r="P225" s="357">
        <v>8344374.7850000001</v>
      </c>
      <c r="Q225" s="357">
        <v>8344374.7850000001</v>
      </c>
      <c r="R225" s="357">
        <v>97011</v>
      </c>
      <c r="S225" s="357">
        <v>16693723.129000001</v>
      </c>
      <c r="T225" s="357">
        <v>16693723.129000001</v>
      </c>
      <c r="U225" s="357">
        <v>154594</v>
      </c>
      <c r="V225" s="357">
        <v>33642469.762000002</v>
      </c>
      <c r="W225" s="357">
        <v>33642469.762000002</v>
      </c>
      <c r="X225" s="357">
        <v>110931</v>
      </c>
      <c r="Y225" s="357">
        <v>22963749.100000001</v>
      </c>
      <c r="Z225" s="357">
        <v>22963749.100000001</v>
      </c>
      <c r="AA225" s="357">
        <v>265525</v>
      </c>
      <c r="AB225" s="357">
        <v>56606218.862000003</v>
      </c>
      <c r="AC225" s="173">
        <v>56606218.862000003</v>
      </c>
    </row>
    <row r="226" spans="2:29" ht="30" x14ac:dyDescent="0.25">
      <c r="B226" s="355" t="s">
        <v>837</v>
      </c>
      <c r="C226" s="358">
        <v>108118.33333333333</v>
      </c>
      <c r="D226" s="358">
        <v>24378162.336110253</v>
      </c>
      <c r="E226" s="358"/>
      <c r="F226" s="358">
        <v>62110.222222222219</v>
      </c>
      <c r="G226" s="358">
        <v>14142007.730731277</v>
      </c>
      <c r="H226" s="358"/>
      <c r="I226" s="358">
        <v>170228.55555555556</v>
      </c>
      <c r="J226" s="358">
        <v>38520170.06684152</v>
      </c>
      <c r="K226" s="358"/>
      <c r="L226" s="358">
        <v>46719.777777777781</v>
      </c>
      <c r="M226" s="358">
        <v>8334513.4605963295</v>
      </c>
      <c r="N226" s="358"/>
      <c r="O226" s="358">
        <v>48534.444444444445</v>
      </c>
      <c r="P226" s="358">
        <v>8235471.646661805</v>
      </c>
      <c r="Q226" s="358"/>
      <c r="R226" s="358">
        <v>95254.222222222219</v>
      </c>
      <c r="S226" s="358">
        <v>16569985.107258134</v>
      </c>
      <c r="T226" s="358"/>
      <c r="U226" s="358">
        <v>154838.11111111112</v>
      </c>
      <c r="V226" s="358">
        <v>32712675.796706583</v>
      </c>
      <c r="W226" s="358"/>
      <c r="X226" s="358">
        <v>110644.66666666667</v>
      </c>
      <c r="Y226" s="358">
        <v>22377479.377393078</v>
      </c>
      <c r="Z226" s="358"/>
      <c r="AA226" s="358">
        <v>265482.77777777775</v>
      </c>
      <c r="AB226" s="358">
        <v>55090155.174099661</v>
      </c>
      <c r="AC226" s="361"/>
    </row>
    <row r="227" spans="2:29" x14ac:dyDescent="0.25">
      <c r="B227" s="4" t="s">
        <v>812</v>
      </c>
      <c r="C227" s="264"/>
      <c r="D227" s="264"/>
      <c r="E227" s="264"/>
      <c r="F227" s="264"/>
      <c r="G227" s="264"/>
      <c r="H227" s="264"/>
      <c r="I227" s="264"/>
      <c r="J227" s="264"/>
      <c r="K227" s="264"/>
      <c r="L227" s="264"/>
      <c r="M227" s="264"/>
    </row>
    <row r="228" spans="2:29" x14ac:dyDescent="0.25">
      <c r="B228" s="258" t="s">
        <v>846</v>
      </c>
      <c r="C228" s="264"/>
      <c r="D228" s="264"/>
      <c r="E228" s="264"/>
      <c r="F228" s="264"/>
      <c r="G228" s="264"/>
      <c r="H228" s="264"/>
      <c r="I228" s="264"/>
      <c r="J228" s="264"/>
      <c r="K228" s="264"/>
      <c r="L228" s="264"/>
      <c r="M228" s="264"/>
    </row>
    <row r="229" spans="2:29" x14ac:dyDescent="0.25">
      <c r="C229" s="265"/>
      <c r="D229" s="265"/>
      <c r="E229" s="265"/>
      <c r="F229" s="265"/>
      <c r="G229" s="265"/>
      <c r="H229" s="265"/>
      <c r="I229" s="265"/>
      <c r="J229" s="265"/>
      <c r="K229" s="265"/>
      <c r="L229" s="261"/>
      <c r="M229" s="261"/>
    </row>
    <row r="230" spans="2:29" x14ac:dyDescent="0.25">
      <c r="B230" s="4"/>
      <c r="C230" s="4"/>
      <c r="D230" s="4"/>
      <c r="E230" s="4"/>
      <c r="F230" s="4"/>
      <c r="G230" s="4"/>
      <c r="H230" s="4"/>
      <c r="I230" s="4"/>
      <c r="J230" s="4"/>
      <c r="K230" s="4"/>
    </row>
    <row r="231" spans="2:29" x14ac:dyDescent="0.25">
      <c r="B231" s="4"/>
      <c r="C231" s="4"/>
      <c r="D231" s="4"/>
      <c r="E231" s="4"/>
      <c r="F231" s="4"/>
      <c r="G231" s="4"/>
      <c r="H231" s="4"/>
      <c r="I231" s="4"/>
      <c r="J231" s="4"/>
      <c r="K231" s="4"/>
    </row>
    <row r="232" spans="2:29" x14ac:dyDescent="0.25">
      <c r="B232" s="4"/>
      <c r="C232" s="4"/>
      <c r="D232" s="4"/>
      <c r="E232" s="4"/>
      <c r="F232" s="4"/>
      <c r="G232" s="4"/>
      <c r="H232" s="4"/>
      <c r="I232" s="4"/>
      <c r="J232" s="4"/>
      <c r="K232" s="4"/>
    </row>
    <row r="233" spans="2:29" x14ac:dyDescent="0.25">
      <c r="B233" s="4"/>
      <c r="C233" s="4"/>
      <c r="D233" s="4"/>
      <c r="E233" s="4"/>
      <c r="F233" s="4"/>
      <c r="G233" s="4"/>
      <c r="H233" s="4"/>
      <c r="I233" s="4"/>
      <c r="J233" s="4"/>
      <c r="K233" s="4"/>
    </row>
    <row r="234" spans="2:29" x14ac:dyDescent="0.25">
      <c r="B234" s="4"/>
      <c r="C234" s="4"/>
      <c r="D234" s="4"/>
      <c r="E234" s="4"/>
      <c r="F234" s="4"/>
      <c r="G234" s="4"/>
      <c r="H234" s="4"/>
      <c r="I234" s="4"/>
      <c r="J234" s="4"/>
      <c r="K234" s="4"/>
    </row>
    <row r="235" spans="2:29" x14ac:dyDescent="0.25">
      <c r="B235" s="4"/>
      <c r="C235" s="4"/>
      <c r="D235" s="4"/>
      <c r="E235" s="4"/>
      <c r="F235" s="4"/>
      <c r="G235" s="4"/>
      <c r="H235" s="4"/>
      <c r="I235" s="4"/>
      <c r="J235" s="4"/>
      <c r="K235" s="4"/>
    </row>
    <row r="236" spans="2:29" x14ac:dyDescent="0.25">
      <c r="B236" s="4"/>
      <c r="C236" s="4"/>
      <c r="D236" s="4"/>
      <c r="E236" s="4"/>
      <c r="F236" s="4"/>
      <c r="G236" s="4"/>
      <c r="H236" s="4"/>
      <c r="I236" s="4"/>
      <c r="J236" s="4"/>
      <c r="K236" s="4"/>
    </row>
  </sheetData>
  <mergeCells count="19">
    <mergeCell ref="U25:AC25"/>
    <mergeCell ref="U26:W26"/>
    <mergeCell ref="X26:Z26"/>
    <mergeCell ref="AA26:AC26"/>
    <mergeCell ref="C26:E26"/>
    <mergeCell ref="F26:H26"/>
    <mergeCell ref="I26:K26"/>
    <mergeCell ref="C25:K25"/>
    <mergeCell ref="L25:T25"/>
    <mergeCell ref="L26:N26"/>
    <mergeCell ref="O26:Q26"/>
    <mergeCell ref="R26:T26"/>
    <mergeCell ref="B15:B17"/>
    <mergeCell ref="B19:L19"/>
    <mergeCell ref="D7:F7"/>
    <mergeCell ref="G7:I7"/>
    <mergeCell ref="J7:L7"/>
    <mergeCell ref="B9:B11"/>
    <mergeCell ref="B12:B14"/>
  </mergeCells>
  <phoneticPr fontId="27"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 workbookViewId="1"/>
  </sheetViews>
  <sheetFormatPr baseColWidth="10" defaultRowHeight="15" x14ac:dyDescent="0.25"/>
  <sheetData>
    <row r="3" spans="1:7" ht="45" x14ac:dyDescent="0.25">
      <c r="A3" s="136" t="s">
        <v>506</v>
      </c>
      <c r="B3" s="136" t="s">
        <v>507</v>
      </c>
      <c r="C3" s="136">
        <v>1</v>
      </c>
      <c r="D3" s="154"/>
      <c r="E3" s="154"/>
      <c r="F3" s="155"/>
    </row>
    <row r="4" spans="1:7" x14ac:dyDescent="0.25">
      <c r="A4" s="136"/>
      <c r="B4" s="136"/>
      <c r="C4" s="136"/>
      <c r="D4" s="136"/>
      <c r="F4" s="143"/>
    </row>
    <row r="5" spans="1:7" ht="30" x14ac:dyDescent="0.25">
      <c r="A5" s="136"/>
      <c r="B5" s="136"/>
      <c r="C5" s="136" t="s">
        <v>505</v>
      </c>
      <c r="D5" s="136"/>
      <c r="F5" s="143"/>
    </row>
    <row r="6" spans="1:7" x14ac:dyDescent="0.25">
      <c r="A6" s="136" t="s">
        <v>130</v>
      </c>
      <c r="B6" s="136" t="s">
        <v>484</v>
      </c>
      <c r="C6" s="136" t="s">
        <v>485</v>
      </c>
      <c r="D6" s="136" t="s">
        <v>486</v>
      </c>
      <c r="E6" s="136" t="s">
        <v>487</v>
      </c>
      <c r="F6" s="136" t="s">
        <v>488</v>
      </c>
      <c r="G6" s="136" t="s">
        <v>28</v>
      </c>
    </row>
    <row r="7" spans="1:7" x14ac:dyDescent="0.25">
      <c r="A7" s="136"/>
      <c r="B7" s="136"/>
      <c r="C7" s="136"/>
      <c r="G7" s="143"/>
    </row>
    <row r="8" spans="1:7" ht="30" x14ac:dyDescent="0.25">
      <c r="A8" s="136" t="s">
        <v>135</v>
      </c>
      <c r="B8" s="136">
        <v>32</v>
      </c>
      <c r="C8" s="146">
        <v>8631</v>
      </c>
      <c r="D8" s="136">
        <v>1</v>
      </c>
      <c r="E8" s="146">
        <v>1938</v>
      </c>
      <c r="F8" s="136">
        <v>329</v>
      </c>
      <c r="G8" s="146">
        <v>10931</v>
      </c>
    </row>
    <row r="9" spans="1:7" x14ac:dyDescent="0.25">
      <c r="A9" s="136" t="s">
        <v>141</v>
      </c>
      <c r="B9" s="136">
        <v>0</v>
      </c>
      <c r="C9" s="136">
        <v>192</v>
      </c>
      <c r="D9">
        <v>0</v>
      </c>
      <c r="E9" s="136">
        <v>38</v>
      </c>
      <c r="F9" s="136">
        <v>4</v>
      </c>
      <c r="G9" s="136">
        <v>234</v>
      </c>
    </row>
    <row r="10" spans="1:7" x14ac:dyDescent="0.25">
      <c r="A10" s="136" t="s">
        <v>136</v>
      </c>
      <c r="B10" s="136">
        <v>2</v>
      </c>
      <c r="C10" s="136">
        <v>137</v>
      </c>
      <c r="D10">
        <v>0</v>
      </c>
      <c r="E10" s="136">
        <v>25</v>
      </c>
      <c r="F10" s="136">
        <v>3</v>
      </c>
      <c r="G10" s="136">
        <v>167</v>
      </c>
    </row>
    <row r="11" spans="1:7" x14ac:dyDescent="0.25">
      <c r="A11" s="136" t="s">
        <v>137</v>
      </c>
      <c r="B11" s="136">
        <v>6</v>
      </c>
      <c r="C11" s="136">
        <v>476</v>
      </c>
      <c r="D11" s="136">
        <v>1</v>
      </c>
      <c r="E11" s="136">
        <v>103</v>
      </c>
      <c r="F11" s="136">
        <v>14</v>
      </c>
      <c r="G11" s="136">
        <v>600</v>
      </c>
    </row>
    <row r="12" spans="1:7" x14ac:dyDescent="0.25">
      <c r="A12" s="136" t="s">
        <v>138</v>
      </c>
      <c r="B12" s="136">
        <v>90</v>
      </c>
      <c r="C12" s="146">
        <v>26648</v>
      </c>
      <c r="D12" s="136">
        <v>11</v>
      </c>
      <c r="E12" s="146">
        <v>6786</v>
      </c>
      <c r="F12" s="136">
        <v>678</v>
      </c>
      <c r="G12" s="146">
        <v>34213</v>
      </c>
    </row>
    <row r="13" spans="1:7" x14ac:dyDescent="0.25">
      <c r="A13" s="136" t="s">
        <v>139</v>
      </c>
      <c r="B13" s="136">
        <v>2</v>
      </c>
      <c r="C13" s="136">
        <v>876</v>
      </c>
      <c r="D13" s="167">
        <v>0</v>
      </c>
      <c r="E13" s="136">
        <v>200</v>
      </c>
      <c r="F13" s="136">
        <v>26</v>
      </c>
      <c r="G13" s="146">
        <v>1104</v>
      </c>
    </row>
    <row r="14" spans="1:7" ht="30" x14ac:dyDescent="0.25">
      <c r="A14" s="136" t="s">
        <v>140</v>
      </c>
      <c r="B14" s="136">
        <v>9</v>
      </c>
      <c r="C14" s="146">
        <v>1589</v>
      </c>
      <c r="D14" s="167">
        <v>0</v>
      </c>
      <c r="E14" s="136">
        <v>403</v>
      </c>
      <c r="F14" s="136">
        <v>50</v>
      </c>
      <c r="G14" s="146">
        <v>2051</v>
      </c>
    </row>
    <row r="15" spans="1:7" x14ac:dyDescent="0.25">
      <c r="A15" s="136" t="s">
        <v>28</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142</v>
      </c>
      <c r="B21" s="154"/>
      <c r="C21" s="154"/>
      <c r="D21" s="154"/>
      <c r="E21" s="154"/>
      <c r="F21" s="155"/>
    </row>
    <row r="22" spans="1:8" x14ac:dyDescent="0.25">
      <c r="A22" s="136"/>
      <c r="B22" s="136"/>
      <c r="C22" s="136"/>
      <c r="F22" s="143"/>
    </row>
    <row r="23" spans="1:8" ht="30" x14ac:dyDescent="0.25">
      <c r="A23" s="136"/>
      <c r="B23" s="136" t="s">
        <v>505</v>
      </c>
      <c r="C23" s="136"/>
      <c r="F23" s="143"/>
    </row>
    <row r="24" spans="1:8" x14ac:dyDescent="0.25">
      <c r="A24" s="136" t="s">
        <v>130</v>
      </c>
      <c r="B24" s="136" t="s">
        <v>484</v>
      </c>
      <c r="C24" s="136" t="s">
        <v>485</v>
      </c>
      <c r="D24" s="136" t="s">
        <v>486</v>
      </c>
      <c r="E24" s="136" t="s">
        <v>487</v>
      </c>
      <c r="F24" s="136" t="s">
        <v>488</v>
      </c>
      <c r="G24" s="136" t="s">
        <v>28</v>
      </c>
    </row>
    <row r="25" spans="1:8" x14ac:dyDescent="0.25">
      <c r="A25" s="136"/>
      <c r="B25" s="136"/>
      <c r="C25" s="136"/>
      <c r="G25" s="143"/>
    </row>
    <row r="26" spans="1:8" ht="30" x14ac:dyDescent="0.25">
      <c r="A26" s="136" t="s">
        <v>143</v>
      </c>
      <c r="B26" s="136">
        <v>137</v>
      </c>
      <c r="C26" s="146">
        <v>41859</v>
      </c>
      <c r="D26" s="136">
        <v>18</v>
      </c>
      <c r="E26" s="146">
        <v>10946</v>
      </c>
      <c r="F26" s="146">
        <v>1282</v>
      </c>
      <c r="G26" s="146">
        <v>54242</v>
      </c>
    </row>
    <row r="27" spans="1:8" x14ac:dyDescent="0.25">
      <c r="A27" s="136" t="s">
        <v>144</v>
      </c>
      <c r="B27" s="136">
        <v>30</v>
      </c>
      <c r="C27" s="146">
        <v>14670</v>
      </c>
      <c r="D27" s="136">
        <v>8</v>
      </c>
      <c r="E27" s="146">
        <v>3983</v>
      </c>
      <c r="F27" s="136">
        <v>498</v>
      </c>
      <c r="G27" s="146">
        <v>19189</v>
      </c>
    </row>
    <row r="28" spans="1:8" ht="30" x14ac:dyDescent="0.25">
      <c r="A28" s="136" t="s">
        <v>145</v>
      </c>
      <c r="B28">
        <v>0</v>
      </c>
      <c r="C28" s="136">
        <v>414</v>
      </c>
      <c r="D28">
        <v>0</v>
      </c>
      <c r="E28" s="136">
        <v>130</v>
      </c>
      <c r="F28" s="136">
        <v>12</v>
      </c>
      <c r="G28" s="136">
        <v>556</v>
      </c>
    </row>
    <row r="29" spans="1:8" ht="30" x14ac:dyDescent="0.25">
      <c r="A29" s="136" t="s">
        <v>146</v>
      </c>
      <c r="B29" s="136">
        <v>3</v>
      </c>
      <c r="C29" s="146">
        <v>1165</v>
      </c>
      <c r="D29" s="136">
        <v>1</v>
      </c>
      <c r="E29" s="136">
        <v>377</v>
      </c>
      <c r="F29" s="136">
        <v>59</v>
      </c>
      <c r="G29" s="146">
        <v>1605</v>
      </c>
    </row>
    <row r="30" spans="1:8" x14ac:dyDescent="0.25">
      <c r="A30" s="136" t="s">
        <v>147</v>
      </c>
      <c r="B30" s="136">
        <v>0</v>
      </c>
      <c r="C30" s="136">
        <v>37</v>
      </c>
      <c r="D30" s="168">
        <v>0</v>
      </c>
      <c r="E30" s="136">
        <v>5</v>
      </c>
      <c r="F30" s="136">
        <v>1</v>
      </c>
      <c r="G30" s="136">
        <v>43</v>
      </c>
      <c r="H30" s="143"/>
    </row>
    <row r="31" spans="1:8" ht="45" x14ac:dyDescent="0.25">
      <c r="A31" s="136" t="s">
        <v>148</v>
      </c>
      <c r="B31" s="136">
        <v>1</v>
      </c>
      <c r="C31" s="136">
        <v>680</v>
      </c>
      <c r="D31" s="168">
        <v>0</v>
      </c>
      <c r="E31" s="136">
        <v>145</v>
      </c>
      <c r="F31" s="136">
        <v>25</v>
      </c>
      <c r="G31" s="136">
        <v>851</v>
      </c>
    </row>
    <row r="32" spans="1:8" ht="30" x14ac:dyDescent="0.25">
      <c r="A32" s="136" t="s">
        <v>149</v>
      </c>
      <c r="B32" s="167">
        <v>0</v>
      </c>
      <c r="C32" s="136">
        <v>98</v>
      </c>
      <c r="D32" s="168">
        <v>0</v>
      </c>
      <c r="E32" s="136">
        <v>29</v>
      </c>
      <c r="F32" s="136">
        <v>2</v>
      </c>
      <c r="G32" s="136">
        <v>129</v>
      </c>
    </row>
    <row r="33" spans="1:8" x14ac:dyDescent="0.25">
      <c r="A33" s="136" t="s">
        <v>150</v>
      </c>
      <c r="B33" s="136">
        <v>4</v>
      </c>
      <c r="C33" s="146">
        <v>1885</v>
      </c>
      <c r="D33" s="168">
        <v>0</v>
      </c>
      <c r="E33" s="136">
        <v>570</v>
      </c>
      <c r="F33" s="136">
        <v>63</v>
      </c>
      <c r="G33" s="146">
        <v>2522</v>
      </c>
    </row>
    <row r="34" spans="1:8" x14ac:dyDescent="0.25">
      <c r="A34" s="136" t="s">
        <v>151</v>
      </c>
      <c r="B34" s="136">
        <v>11</v>
      </c>
      <c r="C34" s="146">
        <v>4223</v>
      </c>
      <c r="D34" s="136">
        <v>7</v>
      </c>
      <c r="E34" s="146">
        <v>1046</v>
      </c>
      <c r="F34" s="136">
        <v>126</v>
      </c>
      <c r="G34" s="146">
        <v>5413</v>
      </c>
    </row>
    <row r="35" spans="1:8" x14ac:dyDescent="0.25">
      <c r="A35" s="136"/>
      <c r="G35" s="143"/>
    </row>
    <row r="36" spans="1:8" x14ac:dyDescent="0.25">
      <c r="A36" s="136" t="s">
        <v>28</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506</v>
      </c>
      <c r="B42" s="136" t="s">
        <v>507</v>
      </c>
      <c r="C42" s="136">
        <v>3</v>
      </c>
      <c r="D42" s="154"/>
      <c r="E42" s="154"/>
      <c r="F42" s="154"/>
      <c r="G42" s="155"/>
    </row>
    <row r="43" spans="1:8" x14ac:dyDescent="0.25">
      <c r="A43" s="136"/>
      <c r="B43" s="136"/>
      <c r="C43" s="136"/>
      <c r="D43" s="136"/>
      <c r="G43" s="143"/>
    </row>
    <row r="44" spans="1:8" ht="30" x14ac:dyDescent="0.25">
      <c r="A44" s="136"/>
      <c r="B44" s="136"/>
      <c r="C44" s="136" t="s">
        <v>505</v>
      </c>
      <c r="D44" s="136"/>
      <c r="G44" s="143"/>
    </row>
    <row r="45" spans="1:8" x14ac:dyDescent="0.25">
      <c r="A45" s="136" t="s">
        <v>130</v>
      </c>
      <c r="B45" s="136"/>
      <c r="C45" s="136" t="s">
        <v>484</v>
      </c>
      <c r="D45" s="136" t="s">
        <v>485</v>
      </c>
      <c r="E45" s="136" t="s">
        <v>486</v>
      </c>
      <c r="F45" s="136" t="s">
        <v>487</v>
      </c>
      <c r="G45" s="136" t="s">
        <v>488</v>
      </c>
      <c r="H45" s="136" t="s">
        <v>28</v>
      </c>
    </row>
    <row r="46" spans="1:8" x14ac:dyDescent="0.25">
      <c r="A46" s="136"/>
      <c r="B46" s="136"/>
      <c r="C46" s="136"/>
      <c r="D46" s="136"/>
      <c r="H46" s="143"/>
    </row>
    <row r="47" spans="1:8" ht="30" x14ac:dyDescent="0.25">
      <c r="A47" s="136" t="s">
        <v>152</v>
      </c>
      <c r="B47" s="136"/>
      <c r="C47" s="136">
        <v>1</v>
      </c>
      <c r="D47" s="136">
        <v>962</v>
      </c>
      <c r="E47" s="136">
        <v>0</v>
      </c>
      <c r="F47" s="136">
        <v>159</v>
      </c>
      <c r="G47" s="136">
        <v>31</v>
      </c>
      <c r="H47" s="146">
        <v>1153</v>
      </c>
    </row>
    <row r="48" spans="1:8" x14ac:dyDescent="0.25">
      <c r="A48" s="136" t="s">
        <v>153</v>
      </c>
      <c r="B48" s="136"/>
      <c r="C48" s="136">
        <v>9</v>
      </c>
      <c r="D48" s="146">
        <v>2524</v>
      </c>
      <c r="E48" s="136">
        <v>1</v>
      </c>
      <c r="F48" s="136">
        <v>499</v>
      </c>
      <c r="G48" s="136">
        <v>92</v>
      </c>
      <c r="H48" s="146">
        <v>3125</v>
      </c>
    </row>
    <row r="49" spans="1:8" x14ac:dyDescent="0.25">
      <c r="A49" s="136" t="s">
        <v>495</v>
      </c>
      <c r="B49" s="136"/>
      <c r="C49" s="136">
        <v>5</v>
      </c>
      <c r="D49" s="146">
        <v>2246</v>
      </c>
      <c r="E49" s="136">
        <v>3</v>
      </c>
      <c r="F49" s="136">
        <v>497</v>
      </c>
      <c r="G49" s="136">
        <v>44</v>
      </c>
      <c r="H49" s="146">
        <v>2795</v>
      </c>
    </row>
    <row r="50" spans="1:8" x14ac:dyDescent="0.25">
      <c r="A50" s="136" t="s">
        <v>154</v>
      </c>
      <c r="B50" s="136"/>
      <c r="C50" s="136">
        <v>67</v>
      </c>
      <c r="D50" s="146">
        <v>20329</v>
      </c>
      <c r="E50" s="136">
        <v>7</v>
      </c>
      <c r="F50" s="146">
        <v>4285</v>
      </c>
      <c r="G50" s="136">
        <v>511</v>
      </c>
      <c r="H50" s="146">
        <v>25199</v>
      </c>
    </row>
    <row r="51" spans="1:8" ht="30" x14ac:dyDescent="0.25">
      <c r="A51" s="136" t="s">
        <v>155</v>
      </c>
      <c r="B51" s="136"/>
      <c r="C51" s="136">
        <v>6</v>
      </c>
      <c r="D51" s="146">
        <v>1399</v>
      </c>
      <c r="E51" s="136">
        <v>1</v>
      </c>
      <c r="F51" s="136">
        <v>380</v>
      </c>
      <c r="G51" s="136">
        <v>25</v>
      </c>
      <c r="H51" s="146">
        <v>1811</v>
      </c>
    </row>
    <row r="52" spans="1:8" x14ac:dyDescent="0.25">
      <c r="A52" s="136" t="s">
        <v>156</v>
      </c>
      <c r="B52" s="136"/>
      <c r="C52" s="136">
        <v>4</v>
      </c>
      <c r="D52" s="146">
        <v>1169</v>
      </c>
      <c r="E52" s="167">
        <v>0</v>
      </c>
      <c r="F52" s="136">
        <v>197</v>
      </c>
      <c r="G52" s="136">
        <v>13</v>
      </c>
      <c r="H52" s="146">
        <v>1383</v>
      </c>
    </row>
    <row r="53" spans="1:8" x14ac:dyDescent="0.25">
      <c r="A53" s="136" t="s">
        <v>157</v>
      </c>
      <c r="B53" s="136"/>
      <c r="C53" s="136">
        <v>2</v>
      </c>
      <c r="D53" s="146">
        <v>1687</v>
      </c>
      <c r="E53" s="136">
        <v>1</v>
      </c>
      <c r="F53" s="136">
        <v>361</v>
      </c>
      <c r="G53" s="136">
        <v>43</v>
      </c>
      <c r="H53" s="146">
        <v>2094</v>
      </c>
    </row>
    <row r="54" spans="1:8" ht="30" x14ac:dyDescent="0.25">
      <c r="A54" s="136" t="s">
        <v>158</v>
      </c>
      <c r="B54" s="136"/>
      <c r="C54" s="136">
        <v>4</v>
      </c>
      <c r="D54" s="146">
        <v>1565</v>
      </c>
      <c r="E54" s="136">
        <v>1</v>
      </c>
      <c r="F54" s="136">
        <v>299</v>
      </c>
      <c r="G54" s="136">
        <v>40</v>
      </c>
      <c r="H54" s="146">
        <v>1909</v>
      </c>
    </row>
    <row r="55" spans="1:8" x14ac:dyDescent="0.25">
      <c r="A55" s="136" t="s">
        <v>159</v>
      </c>
      <c r="B55" s="136"/>
      <c r="C55" s="136">
        <v>34</v>
      </c>
      <c r="D55" s="146">
        <v>9905</v>
      </c>
      <c r="E55" s="136">
        <v>3</v>
      </c>
      <c r="F55" s="146">
        <v>1871</v>
      </c>
      <c r="G55" s="136">
        <v>198</v>
      </c>
      <c r="H55" s="146">
        <v>12011</v>
      </c>
    </row>
    <row r="56" spans="1:8" x14ac:dyDescent="0.25">
      <c r="A56" s="136"/>
      <c r="H56" s="143"/>
    </row>
    <row r="57" spans="1:8" x14ac:dyDescent="0.25">
      <c r="A57" s="136" t="s">
        <v>28</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506</v>
      </c>
      <c r="B63" s="136" t="s">
        <v>507</v>
      </c>
      <c r="C63" s="136">
        <v>4</v>
      </c>
      <c r="D63" s="154"/>
      <c r="E63" s="154"/>
      <c r="F63" s="155"/>
    </row>
    <row r="64" spans="1:8" x14ac:dyDescent="0.25">
      <c r="A64" s="136"/>
      <c r="B64" s="136"/>
      <c r="C64" s="136"/>
      <c r="D64" s="136"/>
      <c r="F64" s="143"/>
    </row>
    <row r="65" spans="1:7" ht="30" x14ac:dyDescent="0.25">
      <c r="A65" s="136"/>
      <c r="B65" s="136"/>
      <c r="C65" s="136" t="s">
        <v>505</v>
      </c>
      <c r="D65" s="136"/>
      <c r="F65" s="143"/>
    </row>
    <row r="66" spans="1:7" x14ac:dyDescent="0.25">
      <c r="A66" s="136" t="s">
        <v>130</v>
      </c>
      <c r="B66" s="136" t="s">
        <v>484</v>
      </c>
      <c r="C66" s="136" t="s">
        <v>485</v>
      </c>
      <c r="D66" s="136" t="s">
        <v>486</v>
      </c>
      <c r="E66" s="136" t="s">
        <v>487</v>
      </c>
      <c r="F66" s="136" t="s">
        <v>488</v>
      </c>
      <c r="G66" s="136" t="s">
        <v>28</v>
      </c>
    </row>
    <row r="67" spans="1:7" x14ac:dyDescent="0.25">
      <c r="A67" s="136"/>
      <c r="B67" s="136"/>
      <c r="C67" s="136"/>
      <c r="G67" s="143"/>
    </row>
    <row r="68" spans="1:7" ht="30" x14ac:dyDescent="0.25">
      <c r="A68" s="136" t="s">
        <v>160</v>
      </c>
      <c r="B68" s="136">
        <v>13</v>
      </c>
      <c r="C68" s="146">
        <v>2131</v>
      </c>
      <c r="D68" s="136">
        <v>1</v>
      </c>
      <c r="E68" s="136">
        <v>347</v>
      </c>
      <c r="F68" s="136">
        <v>52</v>
      </c>
      <c r="G68" s="146">
        <v>2544</v>
      </c>
    </row>
    <row r="69" spans="1:7" x14ac:dyDescent="0.25">
      <c r="A69" s="136" t="s">
        <v>161</v>
      </c>
      <c r="B69" s="136">
        <v>2</v>
      </c>
      <c r="C69" s="146">
        <v>1814</v>
      </c>
      <c r="D69">
        <v>0</v>
      </c>
      <c r="E69" s="136">
        <v>241</v>
      </c>
      <c r="F69" s="136">
        <v>31</v>
      </c>
      <c r="G69" s="146">
        <v>2088</v>
      </c>
    </row>
    <row r="70" spans="1:7" ht="30" x14ac:dyDescent="0.25">
      <c r="A70" s="136" t="s">
        <v>162</v>
      </c>
      <c r="B70" s="136">
        <v>3</v>
      </c>
      <c r="C70" s="146">
        <v>3132</v>
      </c>
      <c r="D70" s="136">
        <v>4</v>
      </c>
      <c r="E70" s="136">
        <v>459</v>
      </c>
      <c r="F70" s="136">
        <v>47</v>
      </c>
      <c r="G70" s="146">
        <v>3645</v>
      </c>
    </row>
    <row r="71" spans="1:7" x14ac:dyDescent="0.25">
      <c r="A71" s="136" t="s">
        <v>163</v>
      </c>
      <c r="B71" s="136">
        <v>86</v>
      </c>
      <c r="C71" s="146">
        <v>35562</v>
      </c>
      <c r="D71" s="136">
        <v>30</v>
      </c>
      <c r="E71" s="146">
        <v>7197</v>
      </c>
      <c r="F71" s="136">
        <v>906</v>
      </c>
      <c r="G71" s="146">
        <v>43781</v>
      </c>
    </row>
    <row r="72" spans="1:7" x14ac:dyDescent="0.25">
      <c r="A72" s="136" t="s">
        <v>164</v>
      </c>
      <c r="B72" s="136">
        <v>15</v>
      </c>
      <c r="C72" s="146">
        <v>6324</v>
      </c>
      <c r="D72" s="136">
        <v>3</v>
      </c>
      <c r="E72" s="146">
        <v>1147</v>
      </c>
      <c r="F72" s="136">
        <v>126</v>
      </c>
      <c r="G72" s="146">
        <v>7615</v>
      </c>
    </row>
    <row r="73" spans="1:7" x14ac:dyDescent="0.25">
      <c r="A73" s="136" t="s">
        <v>165</v>
      </c>
      <c r="B73" s="136">
        <v>3</v>
      </c>
      <c r="C73" s="136">
        <v>731</v>
      </c>
      <c r="D73" s="136">
        <v>1</v>
      </c>
      <c r="E73" s="136">
        <v>102</v>
      </c>
      <c r="F73" s="136">
        <v>20</v>
      </c>
      <c r="G73" s="136">
        <v>857</v>
      </c>
    </row>
    <row r="74" spans="1:7" x14ac:dyDescent="0.25">
      <c r="A74" s="136" t="s">
        <v>166</v>
      </c>
      <c r="B74" s="136">
        <v>89</v>
      </c>
      <c r="C74" s="146">
        <v>32734</v>
      </c>
      <c r="D74" s="136">
        <v>44</v>
      </c>
      <c r="E74" s="146">
        <v>7692</v>
      </c>
      <c r="F74" s="136">
        <v>869</v>
      </c>
      <c r="G74" s="146">
        <v>41428</v>
      </c>
    </row>
    <row r="75" spans="1:7" x14ac:dyDescent="0.25">
      <c r="A75" s="136" t="s">
        <v>167</v>
      </c>
      <c r="B75" s="136">
        <v>3</v>
      </c>
      <c r="C75" s="146">
        <v>3849</v>
      </c>
      <c r="D75" s="136">
        <v>3</v>
      </c>
      <c r="E75" s="136">
        <v>606</v>
      </c>
      <c r="F75" s="136">
        <v>88</v>
      </c>
      <c r="G75" s="146">
        <v>4549</v>
      </c>
    </row>
    <row r="76" spans="1:7" ht="30" x14ac:dyDescent="0.25">
      <c r="A76" s="136" t="s">
        <v>168</v>
      </c>
      <c r="B76" s="136">
        <v>11</v>
      </c>
      <c r="C76" s="146">
        <v>5111</v>
      </c>
      <c r="D76" s="136">
        <v>5</v>
      </c>
      <c r="E76" s="136">
        <v>715</v>
      </c>
      <c r="F76" s="136">
        <v>107</v>
      </c>
      <c r="G76" s="146">
        <v>5949</v>
      </c>
    </row>
    <row r="77" spans="1:7" x14ac:dyDescent="0.25">
      <c r="A77" s="136" t="s">
        <v>169</v>
      </c>
      <c r="B77" s="136">
        <v>39</v>
      </c>
      <c r="C77" s="146">
        <v>19496</v>
      </c>
      <c r="D77" s="136">
        <v>8</v>
      </c>
      <c r="E77" s="146">
        <v>3011</v>
      </c>
      <c r="F77" s="136">
        <v>420</v>
      </c>
      <c r="G77" s="146">
        <v>22974</v>
      </c>
    </row>
    <row r="78" spans="1:7" x14ac:dyDescent="0.25">
      <c r="A78" s="136" t="s">
        <v>170</v>
      </c>
      <c r="B78" s="136">
        <v>2</v>
      </c>
      <c r="C78" s="136">
        <v>837</v>
      </c>
      <c r="D78" s="136">
        <v>1</v>
      </c>
      <c r="E78" s="136">
        <v>126</v>
      </c>
      <c r="F78" s="136">
        <v>24</v>
      </c>
      <c r="G78" s="136">
        <v>990</v>
      </c>
    </row>
    <row r="79" spans="1:7" x14ac:dyDescent="0.25">
      <c r="A79" s="136" t="s">
        <v>171</v>
      </c>
      <c r="B79" s="136">
        <v>7</v>
      </c>
      <c r="C79" s="146">
        <v>2024</v>
      </c>
      <c r="D79" s="136">
        <v>1</v>
      </c>
      <c r="E79" s="136">
        <v>473</v>
      </c>
      <c r="F79" s="136">
        <v>56</v>
      </c>
      <c r="G79" s="146">
        <v>2561</v>
      </c>
    </row>
    <row r="80" spans="1:7" ht="30" x14ac:dyDescent="0.25">
      <c r="A80" s="136" t="s">
        <v>172</v>
      </c>
      <c r="B80" s="136"/>
      <c r="C80" s="136">
        <v>927</v>
      </c>
      <c r="D80" s="167">
        <v>0</v>
      </c>
      <c r="E80" s="136">
        <v>84</v>
      </c>
      <c r="F80" s="136">
        <v>10</v>
      </c>
      <c r="G80" s="146">
        <v>1021</v>
      </c>
    </row>
    <row r="81" spans="1:8" ht="30" x14ac:dyDescent="0.25">
      <c r="A81" s="136" t="s">
        <v>173</v>
      </c>
      <c r="B81" s="136">
        <v>10</v>
      </c>
      <c r="C81" s="146">
        <v>5212</v>
      </c>
      <c r="D81" s="136">
        <v>7</v>
      </c>
      <c r="E81" s="136">
        <v>858</v>
      </c>
      <c r="F81" s="136">
        <v>98</v>
      </c>
      <c r="G81" s="146">
        <v>6185</v>
      </c>
    </row>
    <row r="82" spans="1:8" x14ac:dyDescent="0.25">
      <c r="A82" s="136" t="s">
        <v>496</v>
      </c>
      <c r="B82" s="136">
        <v>16</v>
      </c>
      <c r="C82" s="146">
        <v>4735</v>
      </c>
      <c r="D82" s="136">
        <v>13</v>
      </c>
      <c r="E82" s="136">
        <v>764</v>
      </c>
      <c r="F82" s="136">
        <v>120</v>
      </c>
      <c r="G82" s="146">
        <v>5648</v>
      </c>
    </row>
    <row r="83" spans="1:8" x14ac:dyDescent="0.25">
      <c r="A83" s="136" t="s">
        <v>28</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506</v>
      </c>
      <c r="B91" s="136" t="s">
        <v>507</v>
      </c>
      <c r="C91" s="136">
        <v>5</v>
      </c>
      <c r="D91" s="154"/>
      <c r="E91" s="154"/>
      <c r="F91" s="154"/>
      <c r="G91" s="155"/>
    </row>
    <row r="92" spans="1:8" x14ac:dyDescent="0.25">
      <c r="A92" s="136"/>
      <c r="B92" s="136"/>
      <c r="C92" s="136"/>
      <c r="D92" s="136"/>
      <c r="G92" s="143"/>
    </row>
    <row r="93" spans="1:8" ht="30" x14ac:dyDescent="0.25">
      <c r="A93" s="136"/>
      <c r="B93" s="136"/>
      <c r="C93" s="136" t="s">
        <v>505</v>
      </c>
      <c r="D93" s="136"/>
      <c r="G93" s="143"/>
    </row>
    <row r="94" spans="1:8" x14ac:dyDescent="0.25">
      <c r="A94" s="136" t="s">
        <v>130</v>
      </c>
      <c r="B94" s="136"/>
      <c r="C94" s="136" t="s">
        <v>484</v>
      </c>
      <c r="D94" s="136" t="s">
        <v>485</v>
      </c>
      <c r="E94" s="136" t="s">
        <v>486</v>
      </c>
      <c r="F94" s="136" t="s">
        <v>487</v>
      </c>
      <c r="G94" s="136" t="s">
        <v>488</v>
      </c>
      <c r="H94" s="136" t="s">
        <v>28</v>
      </c>
    </row>
    <row r="95" spans="1:8" x14ac:dyDescent="0.25">
      <c r="A95" s="136"/>
      <c r="B95" s="136"/>
      <c r="C95" s="136"/>
      <c r="D95" s="136"/>
      <c r="H95" s="143"/>
    </row>
    <row r="96" spans="1:8" ht="30" x14ac:dyDescent="0.25">
      <c r="A96" s="136" t="s">
        <v>174</v>
      </c>
      <c r="B96" s="136"/>
      <c r="C96" s="136">
        <v>8</v>
      </c>
      <c r="D96" s="146">
        <v>2930</v>
      </c>
      <c r="E96" s="136">
        <v>1</v>
      </c>
      <c r="F96" s="136">
        <v>718</v>
      </c>
      <c r="G96" s="136">
        <v>100</v>
      </c>
      <c r="H96" s="146">
        <v>3757</v>
      </c>
    </row>
    <row r="97" spans="1:8" x14ac:dyDescent="0.25">
      <c r="A97" s="136" t="s">
        <v>175</v>
      </c>
      <c r="B97" s="136"/>
      <c r="C97" s="136">
        <v>13</v>
      </c>
      <c r="D97" s="146">
        <v>3901</v>
      </c>
      <c r="E97" s="136">
        <v>1</v>
      </c>
      <c r="F97" s="136">
        <v>979</v>
      </c>
      <c r="G97" s="136">
        <v>85</v>
      </c>
      <c r="H97" s="146">
        <v>4979</v>
      </c>
    </row>
    <row r="98" spans="1:8" ht="30" x14ac:dyDescent="0.25">
      <c r="A98" s="136" t="s">
        <v>176</v>
      </c>
      <c r="B98" s="136"/>
      <c r="C98" s="136">
        <v>5</v>
      </c>
      <c r="D98" s="146">
        <v>2004</v>
      </c>
      <c r="E98" s="136">
        <v>2</v>
      </c>
      <c r="F98" s="136">
        <v>378</v>
      </c>
      <c r="G98" s="136">
        <v>42</v>
      </c>
      <c r="H98" s="146">
        <v>2431</v>
      </c>
    </row>
    <row r="99" spans="1:8" ht="30" x14ac:dyDescent="0.25">
      <c r="A99" s="136" t="s">
        <v>177</v>
      </c>
      <c r="B99" s="136"/>
      <c r="C99" s="136">
        <v>13</v>
      </c>
      <c r="D99" s="146">
        <v>5034</v>
      </c>
      <c r="E99" s="136">
        <v>1</v>
      </c>
      <c r="F99" s="136">
        <v>862</v>
      </c>
      <c r="G99" s="136">
        <v>124</v>
      </c>
      <c r="H99" s="146">
        <v>6034</v>
      </c>
    </row>
    <row r="100" spans="1:8" ht="30" x14ac:dyDescent="0.25">
      <c r="A100" s="136" t="s">
        <v>178</v>
      </c>
      <c r="B100" s="136"/>
      <c r="C100" s="136">
        <v>13</v>
      </c>
      <c r="D100" s="146">
        <v>4521</v>
      </c>
      <c r="E100" s="136">
        <v>5</v>
      </c>
      <c r="F100" s="136">
        <v>897</v>
      </c>
      <c r="G100" s="136">
        <v>92</v>
      </c>
      <c r="H100" s="146">
        <v>5528</v>
      </c>
    </row>
    <row r="101" spans="1:8" x14ac:dyDescent="0.25">
      <c r="A101" s="136" t="s">
        <v>179</v>
      </c>
      <c r="B101" s="136"/>
      <c r="C101" s="136">
        <v>3</v>
      </c>
      <c r="D101" s="146">
        <v>2676</v>
      </c>
      <c r="E101" s="136">
        <v>1</v>
      </c>
      <c r="F101" s="136">
        <v>468</v>
      </c>
      <c r="G101" s="136">
        <v>49</v>
      </c>
      <c r="H101" s="146">
        <v>3197</v>
      </c>
    </row>
    <row r="102" spans="1:8" x14ac:dyDescent="0.25">
      <c r="A102" s="136" t="s">
        <v>180</v>
      </c>
      <c r="B102" s="136"/>
      <c r="C102" s="136">
        <v>17</v>
      </c>
      <c r="D102" s="146">
        <v>5887</v>
      </c>
      <c r="E102" s="136">
        <v>2</v>
      </c>
      <c r="F102" s="146">
        <v>1489</v>
      </c>
      <c r="G102" s="136">
        <v>172</v>
      </c>
      <c r="H102" s="146">
        <v>7567</v>
      </c>
    </row>
    <row r="103" spans="1:8" x14ac:dyDescent="0.25">
      <c r="A103" s="136" t="s">
        <v>181</v>
      </c>
      <c r="B103" s="136"/>
      <c r="C103" s="136">
        <v>6</v>
      </c>
      <c r="D103" s="146">
        <v>3878</v>
      </c>
      <c r="E103" s="136">
        <v>1</v>
      </c>
      <c r="F103" s="136">
        <v>920</v>
      </c>
      <c r="G103" s="136">
        <v>99</v>
      </c>
      <c r="H103" s="146">
        <v>4904</v>
      </c>
    </row>
    <row r="104" spans="1:8" x14ac:dyDescent="0.25">
      <c r="A104" s="136" t="s">
        <v>182</v>
      </c>
      <c r="B104" s="136"/>
      <c r="C104" s="136">
        <v>4</v>
      </c>
      <c r="D104" s="146">
        <v>3390</v>
      </c>
      <c r="E104" s="136">
        <v>4</v>
      </c>
      <c r="F104" s="136">
        <v>696</v>
      </c>
      <c r="G104" s="136">
        <v>92</v>
      </c>
      <c r="H104" s="146">
        <v>4186</v>
      </c>
    </row>
    <row r="105" spans="1:8" x14ac:dyDescent="0.25">
      <c r="A105" s="136" t="s">
        <v>183</v>
      </c>
      <c r="B105" s="136"/>
      <c r="C105" s="136">
        <v>6</v>
      </c>
      <c r="D105" s="146">
        <v>3345</v>
      </c>
      <c r="E105" s="136">
        <v>2</v>
      </c>
      <c r="F105" s="136">
        <v>650</v>
      </c>
      <c r="G105" s="136">
        <v>70</v>
      </c>
      <c r="H105" s="146">
        <v>4073</v>
      </c>
    </row>
    <row r="106" spans="1:8" ht="30" x14ac:dyDescent="0.25">
      <c r="A106" s="136" t="s">
        <v>184</v>
      </c>
      <c r="B106" s="136"/>
      <c r="C106" s="136">
        <v>4</v>
      </c>
      <c r="D106" s="136">
        <v>668</v>
      </c>
      <c r="E106" s="167">
        <v>0</v>
      </c>
      <c r="F106" s="136">
        <v>107</v>
      </c>
      <c r="G106" s="136">
        <v>21</v>
      </c>
      <c r="H106" s="136">
        <v>800</v>
      </c>
    </row>
    <row r="107" spans="1:8" ht="45" x14ac:dyDescent="0.25">
      <c r="A107" s="136" t="s">
        <v>185</v>
      </c>
      <c r="B107" s="136"/>
      <c r="C107" s="167">
        <v>0</v>
      </c>
      <c r="D107" s="136">
        <v>141</v>
      </c>
      <c r="E107" s="167">
        <v>0</v>
      </c>
      <c r="F107" s="136">
        <v>18</v>
      </c>
      <c r="G107" s="136">
        <v>1</v>
      </c>
      <c r="H107" s="136">
        <v>160</v>
      </c>
    </row>
    <row r="108" spans="1:8" x14ac:dyDescent="0.25">
      <c r="A108" s="136" t="s">
        <v>186</v>
      </c>
      <c r="B108" s="136"/>
      <c r="C108" s="136">
        <v>22</v>
      </c>
      <c r="D108" s="146">
        <v>10654</v>
      </c>
      <c r="E108" s="136">
        <v>6</v>
      </c>
      <c r="F108" s="146">
        <v>1904</v>
      </c>
      <c r="G108" s="136">
        <v>204</v>
      </c>
      <c r="H108" s="146">
        <v>12790</v>
      </c>
    </row>
    <row r="109" spans="1:8" x14ac:dyDescent="0.25">
      <c r="A109" s="136" t="s">
        <v>187</v>
      </c>
      <c r="B109" s="136"/>
      <c r="C109" s="136">
        <v>10</v>
      </c>
      <c r="D109" s="146">
        <v>2659</v>
      </c>
      <c r="E109" s="136">
        <v>1</v>
      </c>
      <c r="F109" s="136">
        <v>513</v>
      </c>
      <c r="G109" s="136">
        <v>64</v>
      </c>
      <c r="H109" s="146">
        <v>3247</v>
      </c>
    </row>
    <row r="110" spans="1:8" x14ac:dyDescent="0.25">
      <c r="A110" s="136" t="s">
        <v>188</v>
      </c>
      <c r="B110" s="136"/>
      <c r="C110" s="136">
        <v>25</v>
      </c>
      <c r="D110" s="146">
        <v>7222</v>
      </c>
      <c r="E110" s="136">
        <v>5</v>
      </c>
      <c r="F110" s="146">
        <v>1401</v>
      </c>
      <c r="G110" s="136">
        <v>150</v>
      </c>
      <c r="H110" s="146">
        <v>8803</v>
      </c>
    </row>
    <row r="111" spans="1:8" x14ac:dyDescent="0.25">
      <c r="A111" s="136" t="s">
        <v>189</v>
      </c>
      <c r="B111" s="136"/>
      <c r="C111" s="136">
        <v>29</v>
      </c>
      <c r="D111" s="146">
        <v>8916</v>
      </c>
      <c r="E111" s="136">
        <v>4</v>
      </c>
      <c r="F111" s="146">
        <v>1518</v>
      </c>
      <c r="G111" s="136">
        <v>205</v>
      </c>
      <c r="H111" s="146">
        <v>10672</v>
      </c>
    </row>
    <row r="112" spans="1:8" x14ac:dyDescent="0.25">
      <c r="A112" s="136" t="s">
        <v>190</v>
      </c>
      <c r="B112" s="136"/>
      <c r="C112" s="136">
        <v>13</v>
      </c>
      <c r="D112" s="146">
        <v>4744</v>
      </c>
      <c r="E112" s="136">
        <v>3</v>
      </c>
      <c r="F112" s="136">
        <v>832</v>
      </c>
      <c r="G112" s="136">
        <v>95</v>
      </c>
      <c r="H112" s="146">
        <v>5687</v>
      </c>
    </row>
    <row r="113" spans="1:9" x14ac:dyDescent="0.25">
      <c r="A113" s="136" t="s">
        <v>191</v>
      </c>
      <c r="B113" s="136"/>
      <c r="C113" s="136">
        <v>35</v>
      </c>
      <c r="D113" s="146">
        <v>11557</v>
      </c>
      <c r="E113" s="136">
        <v>11</v>
      </c>
      <c r="F113" s="146">
        <v>2786</v>
      </c>
      <c r="G113" s="136">
        <v>217</v>
      </c>
      <c r="H113" s="146">
        <v>14606</v>
      </c>
    </row>
    <row r="114" spans="1:9" x14ac:dyDescent="0.25">
      <c r="A114" s="136" t="s">
        <v>192</v>
      </c>
      <c r="B114" s="136"/>
      <c r="C114" s="136">
        <v>17</v>
      </c>
      <c r="D114" s="146">
        <v>4300</v>
      </c>
      <c r="E114" s="136">
        <v>1</v>
      </c>
      <c r="F114" s="146">
        <v>1016</v>
      </c>
      <c r="G114" s="136">
        <v>110</v>
      </c>
      <c r="H114" s="146">
        <v>5444</v>
      </c>
    </row>
    <row r="115" spans="1:9" x14ac:dyDescent="0.25">
      <c r="A115" s="136" t="s">
        <v>193</v>
      </c>
      <c r="B115" s="136"/>
      <c r="C115" s="136">
        <v>6</v>
      </c>
      <c r="D115" s="146">
        <v>3399</v>
      </c>
      <c r="E115" s="136">
        <v>1</v>
      </c>
      <c r="F115" s="136">
        <v>626</v>
      </c>
      <c r="G115" s="136">
        <v>97</v>
      </c>
      <c r="H115" s="146">
        <v>4129</v>
      </c>
    </row>
    <row r="116" spans="1:9" ht="30" x14ac:dyDescent="0.25">
      <c r="A116" s="136" t="s">
        <v>194</v>
      </c>
      <c r="B116" s="136"/>
      <c r="C116" s="167">
        <v>0</v>
      </c>
      <c r="D116" s="146">
        <v>1253</v>
      </c>
      <c r="E116" s="136">
        <v>1</v>
      </c>
      <c r="F116" s="169">
        <v>269</v>
      </c>
      <c r="G116" s="136">
        <v>27</v>
      </c>
      <c r="H116" s="146">
        <v>1550</v>
      </c>
    </row>
    <row r="117" spans="1:9" x14ac:dyDescent="0.25">
      <c r="A117" s="136" t="s">
        <v>195</v>
      </c>
      <c r="B117" s="136"/>
      <c r="C117" s="136">
        <v>0</v>
      </c>
      <c r="D117" s="146">
        <v>1068</v>
      </c>
      <c r="E117" s="167">
        <v>0</v>
      </c>
      <c r="F117" s="136">
        <v>194</v>
      </c>
      <c r="G117" s="136">
        <v>37</v>
      </c>
      <c r="H117" s="146">
        <v>1299</v>
      </c>
      <c r="I117" s="143"/>
    </row>
    <row r="118" spans="1:9" x14ac:dyDescent="0.25">
      <c r="A118" s="136" t="s">
        <v>196</v>
      </c>
      <c r="B118" s="136"/>
      <c r="C118" s="136">
        <v>4</v>
      </c>
      <c r="D118" s="146">
        <v>1890</v>
      </c>
      <c r="E118" s="167">
        <v>0</v>
      </c>
      <c r="F118" s="136">
        <v>422</v>
      </c>
      <c r="G118" s="136">
        <v>43</v>
      </c>
      <c r="H118" s="146">
        <v>2359</v>
      </c>
    </row>
    <row r="119" spans="1:9" ht="30" x14ac:dyDescent="0.25">
      <c r="A119" s="136" t="s">
        <v>197</v>
      </c>
      <c r="B119" s="136"/>
      <c r="C119" s="136">
        <v>13</v>
      </c>
      <c r="D119" s="146">
        <v>3568</v>
      </c>
      <c r="E119" s="167">
        <v>0</v>
      </c>
      <c r="F119" s="136">
        <v>837</v>
      </c>
      <c r="G119" s="136">
        <v>91</v>
      </c>
      <c r="H119" s="146">
        <v>4509</v>
      </c>
    </row>
    <row r="120" spans="1:9" x14ac:dyDescent="0.25">
      <c r="A120" s="136" t="s">
        <v>198</v>
      </c>
      <c r="B120" s="136"/>
      <c r="C120" s="136">
        <v>5</v>
      </c>
      <c r="D120" s="146">
        <v>3328</v>
      </c>
      <c r="E120" s="136">
        <v>2</v>
      </c>
      <c r="F120" s="136">
        <v>613</v>
      </c>
      <c r="G120" s="136">
        <v>83</v>
      </c>
      <c r="H120" s="146">
        <v>4031</v>
      </c>
    </row>
    <row r="121" spans="1:9" x14ac:dyDescent="0.25">
      <c r="A121" s="136" t="s">
        <v>199</v>
      </c>
      <c r="B121" s="136"/>
      <c r="C121" s="136">
        <v>54</v>
      </c>
      <c r="D121" s="146">
        <v>17131</v>
      </c>
      <c r="E121" s="136">
        <v>8</v>
      </c>
      <c r="F121" s="146">
        <v>3182</v>
      </c>
      <c r="G121" s="136">
        <v>342</v>
      </c>
      <c r="H121" s="146">
        <v>20717</v>
      </c>
    </row>
    <row r="122" spans="1:9" x14ac:dyDescent="0.25">
      <c r="A122" s="136" t="s">
        <v>200</v>
      </c>
      <c r="B122" s="136"/>
      <c r="C122" s="136">
        <v>73</v>
      </c>
      <c r="D122" s="146">
        <v>27789</v>
      </c>
      <c r="E122" s="136">
        <v>41</v>
      </c>
      <c r="F122" s="146">
        <v>5264</v>
      </c>
      <c r="G122" s="136">
        <v>574</v>
      </c>
      <c r="H122" s="146">
        <v>33741</v>
      </c>
    </row>
    <row r="123" spans="1:9" x14ac:dyDescent="0.25">
      <c r="A123" s="136" t="s">
        <v>201</v>
      </c>
      <c r="B123" s="136"/>
      <c r="C123" s="136">
        <v>14</v>
      </c>
      <c r="D123" s="146">
        <v>5665</v>
      </c>
      <c r="E123" s="136">
        <v>3</v>
      </c>
      <c r="F123" s="146">
        <v>1043</v>
      </c>
      <c r="G123" s="136">
        <v>146</v>
      </c>
      <c r="H123" s="146">
        <v>6871</v>
      </c>
    </row>
    <row r="124" spans="1:9" ht="30" x14ac:dyDescent="0.25">
      <c r="A124" s="136" t="s">
        <v>202</v>
      </c>
      <c r="B124" s="136"/>
      <c r="C124" s="136">
        <v>5</v>
      </c>
      <c r="D124" s="146">
        <v>1463</v>
      </c>
      <c r="E124" s="136">
        <v>2</v>
      </c>
      <c r="F124" s="136">
        <v>224</v>
      </c>
      <c r="G124" s="136">
        <v>24</v>
      </c>
      <c r="H124" s="146">
        <v>1718</v>
      </c>
    </row>
    <row r="125" spans="1:9" ht="30" x14ac:dyDescent="0.25">
      <c r="A125" s="136" t="s">
        <v>203</v>
      </c>
      <c r="B125" s="136"/>
      <c r="C125" s="136">
        <v>64</v>
      </c>
      <c r="D125" s="146">
        <v>18084</v>
      </c>
      <c r="E125" s="136">
        <v>9</v>
      </c>
      <c r="F125" s="146">
        <v>4161</v>
      </c>
      <c r="G125" s="136">
        <v>425</v>
      </c>
      <c r="H125" s="146">
        <v>22743</v>
      </c>
    </row>
    <row r="126" spans="1:9" ht="30" x14ac:dyDescent="0.25">
      <c r="A126" s="136" t="s">
        <v>204</v>
      </c>
      <c r="B126" s="136"/>
      <c r="C126" s="136">
        <v>6</v>
      </c>
      <c r="D126" s="146">
        <v>2897</v>
      </c>
      <c r="E126" s="136">
        <v>3</v>
      </c>
      <c r="F126" s="136">
        <v>721</v>
      </c>
      <c r="G126" s="136">
        <v>58</v>
      </c>
      <c r="H126" s="146">
        <v>3685</v>
      </c>
    </row>
    <row r="127" spans="1:9" x14ac:dyDescent="0.25">
      <c r="A127" s="136" t="s">
        <v>205</v>
      </c>
      <c r="B127" s="136"/>
      <c r="C127" s="136">
        <v>44</v>
      </c>
      <c r="D127" s="146">
        <v>13418</v>
      </c>
      <c r="E127" s="136">
        <v>9</v>
      </c>
      <c r="F127" s="146">
        <v>2758</v>
      </c>
      <c r="G127" s="136">
        <v>266</v>
      </c>
      <c r="H127" s="146">
        <v>16495</v>
      </c>
    </row>
    <row r="128" spans="1:9" ht="30" x14ac:dyDescent="0.25">
      <c r="A128" s="136" t="s">
        <v>206</v>
      </c>
      <c r="B128" s="136"/>
      <c r="C128" s="136">
        <v>10</v>
      </c>
      <c r="D128" s="146">
        <v>2603</v>
      </c>
      <c r="E128" s="136">
        <v>1</v>
      </c>
      <c r="F128" s="136">
        <v>504</v>
      </c>
      <c r="G128" s="136">
        <v>44</v>
      </c>
      <c r="H128" s="146">
        <v>3162</v>
      </c>
    </row>
    <row r="129" spans="1:8" ht="30" x14ac:dyDescent="0.25">
      <c r="A129" s="136" t="s">
        <v>207</v>
      </c>
      <c r="B129" s="136"/>
      <c r="C129" s="136">
        <v>5</v>
      </c>
      <c r="D129" s="146">
        <v>1695</v>
      </c>
      <c r="E129" s="167">
        <v>0</v>
      </c>
      <c r="F129" s="136">
        <v>540</v>
      </c>
      <c r="G129" s="136">
        <v>56</v>
      </c>
      <c r="H129" s="146">
        <v>2296</v>
      </c>
    </row>
    <row r="130" spans="1:8" ht="30" x14ac:dyDescent="0.25">
      <c r="A130" s="136" t="s">
        <v>208</v>
      </c>
      <c r="B130" s="136"/>
      <c r="C130" s="136">
        <v>176</v>
      </c>
      <c r="D130" s="146">
        <v>57195</v>
      </c>
      <c r="E130" s="136">
        <v>44</v>
      </c>
      <c r="F130" s="146">
        <v>10444</v>
      </c>
      <c r="G130" s="146">
        <v>1233</v>
      </c>
      <c r="H130" s="146">
        <v>69092</v>
      </c>
    </row>
    <row r="131" spans="1:8" ht="30" x14ac:dyDescent="0.25">
      <c r="A131" s="136" t="s">
        <v>209</v>
      </c>
      <c r="B131" s="136"/>
      <c r="C131" s="136">
        <v>45</v>
      </c>
      <c r="D131" s="146">
        <v>19458</v>
      </c>
      <c r="E131" s="136">
        <v>20</v>
      </c>
      <c r="F131" s="146">
        <v>4016</v>
      </c>
      <c r="G131" s="136">
        <v>531</v>
      </c>
      <c r="H131" s="146">
        <v>24070</v>
      </c>
    </row>
    <row r="132" spans="1:8" ht="30" x14ac:dyDescent="0.25">
      <c r="A132" s="136" t="s">
        <v>497</v>
      </c>
      <c r="B132" s="136"/>
      <c r="C132" s="136">
        <v>132</v>
      </c>
      <c r="D132" s="146">
        <v>56510</v>
      </c>
      <c r="E132" s="136">
        <v>42</v>
      </c>
      <c r="F132" s="146">
        <v>12188</v>
      </c>
      <c r="G132" s="146">
        <v>1307</v>
      </c>
      <c r="H132" s="146">
        <v>70179</v>
      </c>
    </row>
    <row r="133" spans="1:8" x14ac:dyDescent="0.25">
      <c r="A133" s="136" t="s">
        <v>210</v>
      </c>
      <c r="B133" s="136"/>
      <c r="C133" s="136">
        <v>7</v>
      </c>
      <c r="D133" s="146">
        <v>1284</v>
      </c>
      <c r="E133" s="167">
        <v>0</v>
      </c>
      <c r="F133" s="136">
        <v>248</v>
      </c>
      <c r="G133" s="136">
        <v>27</v>
      </c>
      <c r="H133" s="146">
        <v>1566</v>
      </c>
    </row>
    <row r="134" spans="1:8" x14ac:dyDescent="0.25">
      <c r="A134" s="136"/>
      <c r="H134" s="143"/>
    </row>
    <row r="135" spans="1:8" x14ac:dyDescent="0.25">
      <c r="A135" s="136" t="s">
        <v>28</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506</v>
      </c>
      <c r="B141" s="136" t="s">
        <v>507</v>
      </c>
      <c r="C141" s="136">
        <v>6</v>
      </c>
      <c r="D141" s="154"/>
      <c r="E141" s="154"/>
      <c r="F141" s="154"/>
      <c r="G141" s="155"/>
    </row>
    <row r="142" spans="1:8" x14ac:dyDescent="0.25">
      <c r="A142" s="136"/>
      <c r="B142" s="136"/>
      <c r="C142" s="136"/>
      <c r="D142" s="136"/>
      <c r="G142" s="143"/>
    </row>
    <row r="143" spans="1:8" ht="30" x14ac:dyDescent="0.25">
      <c r="A143" s="136"/>
      <c r="B143" s="136"/>
      <c r="C143" s="136" t="s">
        <v>505</v>
      </c>
      <c r="D143" s="136"/>
      <c r="G143" s="143"/>
    </row>
    <row r="144" spans="1:8" x14ac:dyDescent="0.25">
      <c r="A144" s="136" t="s">
        <v>130</v>
      </c>
      <c r="B144" s="136"/>
      <c r="C144" s="136" t="s">
        <v>484</v>
      </c>
      <c r="D144" s="136" t="s">
        <v>485</v>
      </c>
      <c r="E144" s="136" t="s">
        <v>486</v>
      </c>
      <c r="F144" s="136" t="s">
        <v>487</v>
      </c>
      <c r="G144" s="136" t="s">
        <v>488</v>
      </c>
      <c r="H144" s="136" t="s">
        <v>28</v>
      </c>
    </row>
    <row r="145" spans="1:8" x14ac:dyDescent="0.25">
      <c r="A145" s="136"/>
      <c r="B145" s="136"/>
      <c r="C145" s="136"/>
      <c r="D145" s="136"/>
      <c r="H145" s="143"/>
    </row>
    <row r="146" spans="1:8" x14ac:dyDescent="0.25">
      <c r="A146" s="136" t="s">
        <v>211</v>
      </c>
      <c r="B146" s="136"/>
      <c r="C146" s="136">
        <v>10</v>
      </c>
      <c r="D146" s="146">
        <v>3236</v>
      </c>
      <c r="E146" s="136">
        <v>2</v>
      </c>
      <c r="F146" s="136">
        <v>704</v>
      </c>
      <c r="G146" s="136">
        <v>83</v>
      </c>
      <c r="H146" s="146">
        <v>4035</v>
      </c>
    </row>
    <row r="147" spans="1:8" ht="30" x14ac:dyDescent="0.25">
      <c r="A147" s="136" t="s">
        <v>212</v>
      </c>
      <c r="B147" s="136"/>
      <c r="C147" s="136">
        <v>18</v>
      </c>
      <c r="D147" s="146">
        <v>6369</v>
      </c>
      <c r="E147" s="136">
        <v>2</v>
      </c>
      <c r="F147" s="146">
        <v>1452</v>
      </c>
      <c r="G147" s="136">
        <v>146</v>
      </c>
      <c r="H147" s="146">
        <v>7987</v>
      </c>
    </row>
    <row r="148" spans="1:8" x14ac:dyDescent="0.25">
      <c r="A148" s="136" t="s">
        <v>213</v>
      </c>
      <c r="B148" s="136"/>
      <c r="C148" s="136">
        <v>5</v>
      </c>
      <c r="D148" s="146">
        <v>2111</v>
      </c>
      <c r="E148">
        <v>0</v>
      </c>
      <c r="F148" s="136">
        <v>379</v>
      </c>
      <c r="G148" s="136">
        <v>50</v>
      </c>
      <c r="H148" s="146">
        <v>2545</v>
      </c>
    </row>
    <row r="149" spans="1:8" x14ac:dyDescent="0.25">
      <c r="A149" s="136" t="s">
        <v>214</v>
      </c>
      <c r="B149" s="136"/>
      <c r="C149" s="136">
        <v>6</v>
      </c>
      <c r="D149" s="146">
        <v>1465</v>
      </c>
      <c r="E149" s="168">
        <v>0</v>
      </c>
      <c r="F149" s="136">
        <v>276</v>
      </c>
      <c r="G149" s="136">
        <v>26</v>
      </c>
      <c r="H149" s="146">
        <v>1773</v>
      </c>
    </row>
    <row r="150" spans="1:8" x14ac:dyDescent="0.25">
      <c r="A150" s="136" t="s">
        <v>215</v>
      </c>
      <c r="B150" s="136"/>
      <c r="C150" s="136">
        <v>2</v>
      </c>
      <c r="D150" s="146">
        <v>3576</v>
      </c>
      <c r="E150" s="136">
        <v>1</v>
      </c>
      <c r="F150" s="136">
        <v>601</v>
      </c>
      <c r="G150" s="136">
        <v>69</v>
      </c>
      <c r="H150" s="146">
        <v>4249</v>
      </c>
    </row>
    <row r="151" spans="1:8" x14ac:dyDescent="0.25">
      <c r="A151" s="136" t="s">
        <v>498</v>
      </c>
      <c r="B151" s="136"/>
      <c r="C151" s="136">
        <v>7</v>
      </c>
      <c r="D151" s="146">
        <v>3428</v>
      </c>
      <c r="E151" s="136">
        <v>3</v>
      </c>
      <c r="F151" s="136">
        <v>661</v>
      </c>
      <c r="G151" s="136">
        <v>66</v>
      </c>
      <c r="H151" s="146">
        <v>4165</v>
      </c>
    </row>
    <row r="152" spans="1:8" x14ac:dyDescent="0.25">
      <c r="A152" s="136" t="s">
        <v>216</v>
      </c>
      <c r="B152" s="136"/>
      <c r="C152" s="136">
        <v>11</v>
      </c>
      <c r="D152" s="146">
        <v>4835</v>
      </c>
      <c r="E152" s="136">
        <v>1</v>
      </c>
      <c r="F152" s="136">
        <v>871</v>
      </c>
      <c r="G152" s="136">
        <v>88</v>
      </c>
      <c r="H152" s="146">
        <v>5806</v>
      </c>
    </row>
    <row r="153" spans="1:8" ht="30" x14ac:dyDescent="0.25">
      <c r="A153" s="136" t="s">
        <v>217</v>
      </c>
      <c r="B153" s="136"/>
      <c r="C153" s="136">
        <v>1</v>
      </c>
      <c r="D153" s="136">
        <v>771</v>
      </c>
      <c r="E153" s="167">
        <v>0</v>
      </c>
      <c r="F153" s="136">
        <v>142</v>
      </c>
      <c r="G153" s="136">
        <v>13</v>
      </c>
      <c r="H153" s="136">
        <v>927</v>
      </c>
    </row>
    <row r="154" spans="1:8" ht="30" x14ac:dyDescent="0.25">
      <c r="A154" s="136" t="s">
        <v>218</v>
      </c>
      <c r="B154" s="136"/>
      <c r="C154" s="136">
        <v>8</v>
      </c>
      <c r="D154" s="146">
        <v>4613</v>
      </c>
      <c r="E154" s="136">
        <v>1</v>
      </c>
      <c r="F154" s="136">
        <v>817</v>
      </c>
      <c r="G154" s="136">
        <v>117</v>
      </c>
      <c r="H154" s="146">
        <v>5556</v>
      </c>
    </row>
    <row r="155" spans="1:8" x14ac:dyDescent="0.25">
      <c r="A155" s="136" t="s">
        <v>219</v>
      </c>
      <c r="B155" s="136"/>
      <c r="C155" s="136">
        <v>4</v>
      </c>
      <c r="D155" s="146">
        <v>1243</v>
      </c>
      <c r="E155" s="167">
        <v>0</v>
      </c>
      <c r="F155" s="136">
        <v>258</v>
      </c>
      <c r="G155" s="136">
        <v>33</v>
      </c>
      <c r="H155" s="146">
        <v>1538</v>
      </c>
    </row>
    <row r="156" spans="1:8" x14ac:dyDescent="0.25">
      <c r="A156" s="136" t="s">
        <v>220</v>
      </c>
      <c r="B156" s="136"/>
      <c r="C156" s="136">
        <v>5</v>
      </c>
      <c r="D156" s="146">
        <v>1604</v>
      </c>
      <c r="E156" s="167">
        <v>0</v>
      </c>
      <c r="F156" s="136">
        <v>297</v>
      </c>
      <c r="G156" s="136">
        <v>41</v>
      </c>
      <c r="H156" s="146">
        <v>1947</v>
      </c>
    </row>
    <row r="157" spans="1:8" x14ac:dyDescent="0.25">
      <c r="A157" s="136" t="s">
        <v>221</v>
      </c>
      <c r="B157" s="136"/>
      <c r="C157" s="136">
        <v>12</v>
      </c>
      <c r="D157" s="146">
        <v>5219</v>
      </c>
      <c r="E157" s="136">
        <v>2</v>
      </c>
      <c r="F157" s="146">
        <v>1268</v>
      </c>
      <c r="G157" s="136">
        <v>141</v>
      </c>
      <c r="H157" s="146">
        <v>6642</v>
      </c>
    </row>
    <row r="158" spans="1:8" x14ac:dyDescent="0.25">
      <c r="A158" s="136" t="s">
        <v>222</v>
      </c>
      <c r="B158" s="136"/>
      <c r="C158" s="136">
        <v>10</v>
      </c>
      <c r="D158" s="146">
        <v>2637</v>
      </c>
      <c r="E158" s="136">
        <v>1</v>
      </c>
      <c r="F158" s="136">
        <v>471</v>
      </c>
      <c r="G158" s="136">
        <v>44</v>
      </c>
      <c r="H158" s="146">
        <v>3163</v>
      </c>
    </row>
    <row r="159" spans="1:8" ht="30" x14ac:dyDescent="0.25">
      <c r="A159" s="136" t="s">
        <v>223</v>
      </c>
      <c r="B159" s="136"/>
      <c r="C159" s="136">
        <v>3</v>
      </c>
      <c r="D159" s="146">
        <v>1624</v>
      </c>
      <c r="E159" s="136">
        <v>1</v>
      </c>
      <c r="F159" s="136">
        <v>260</v>
      </c>
      <c r="G159" s="136">
        <v>42</v>
      </c>
      <c r="H159" s="146">
        <v>1930</v>
      </c>
    </row>
    <row r="160" spans="1:8" x14ac:dyDescent="0.25">
      <c r="A160" s="136" t="s">
        <v>224</v>
      </c>
      <c r="B160" s="136"/>
      <c r="C160" s="136">
        <v>21</v>
      </c>
      <c r="D160" s="146">
        <v>4253</v>
      </c>
      <c r="E160" s="167">
        <v>0</v>
      </c>
      <c r="F160" s="136">
        <v>961</v>
      </c>
      <c r="G160" s="136">
        <v>102</v>
      </c>
      <c r="H160" s="146">
        <v>5337</v>
      </c>
    </row>
    <row r="161" spans="1:8" x14ac:dyDescent="0.25">
      <c r="A161" s="136" t="s">
        <v>225</v>
      </c>
      <c r="B161" s="136"/>
      <c r="C161" s="136">
        <v>11</v>
      </c>
      <c r="D161" s="146">
        <v>3154</v>
      </c>
      <c r="E161" s="167">
        <v>0</v>
      </c>
      <c r="F161" s="136">
        <v>585</v>
      </c>
      <c r="G161" s="136">
        <v>61</v>
      </c>
      <c r="H161" s="146">
        <v>3811</v>
      </c>
    </row>
    <row r="162" spans="1:8" x14ac:dyDescent="0.25">
      <c r="A162" s="136" t="s">
        <v>226</v>
      </c>
      <c r="B162" s="136"/>
      <c r="C162" s="136">
        <v>4</v>
      </c>
      <c r="D162" s="146">
        <v>1444</v>
      </c>
      <c r="E162" s="136">
        <v>1</v>
      </c>
      <c r="F162" s="136">
        <v>294</v>
      </c>
      <c r="G162" s="136">
        <v>41</v>
      </c>
      <c r="H162" s="146">
        <v>1784</v>
      </c>
    </row>
    <row r="163" spans="1:8" x14ac:dyDescent="0.25">
      <c r="A163" s="136" t="s">
        <v>227</v>
      </c>
      <c r="B163" s="136"/>
      <c r="C163" s="136">
        <v>3</v>
      </c>
      <c r="D163" s="146">
        <v>2042</v>
      </c>
      <c r="E163" s="136">
        <v>3</v>
      </c>
      <c r="F163" s="136">
        <v>443</v>
      </c>
      <c r="G163" s="136">
        <v>43</v>
      </c>
      <c r="H163" s="146">
        <v>2534</v>
      </c>
    </row>
    <row r="164" spans="1:8" x14ac:dyDescent="0.25">
      <c r="A164" s="136" t="s">
        <v>228</v>
      </c>
      <c r="B164" s="136"/>
      <c r="C164" s="136">
        <v>8</v>
      </c>
      <c r="D164" s="146">
        <v>2364</v>
      </c>
      <c r="E164" s="167">
        <v>0</v>
      </c>
      <c r="F164" s="136">
        <v>538</v>
      </c>
      <c r="G164" s="136">
        <v>42</v>
      </c>
      <c r="H164" s="146">
        <v>2952</v>
      </c>
    </row>
    <row r="165" spans="1:8" ht="30" x14ac:dyDescent="0.25">
      <c r="A165" s="136" t="s">
        <v>229</v>
      </c>
      <c r="B165" s="136"/>
      <c r="C165" s="136">
        <v>5</v>
      </c>
      <c r="D165" s="146">
        <v>1463</v>
      </c>
      <c r="E165" s="167">
        <v>0</v>
      </c>
      <c r="F165" s="136">
        <v>234</v>
      </c>
      <c r="G165" s="136">
        <v>33</v>
      </c>
      <c r="H165" s="146">
        <v>1735</v>
      </c>
    </row>
    <row r="166" spans="1:8" x14ac:dyDescent="0.25">
      <c r="A166" s="136" t="s">
        <v>230</v>
      </c>
      <c r="B166" s="136"/>
      <c r="C166" s="136">
        <v>4</v>
      </c>
      <c r="D166" s="146">
        <v>2223</v>
      </c>
      <c r="E166" s="136">
        <v>1</v>
      </c>
      <c r="F166" s="136">
        <v>473</v>
      </c>
      <c r="G166" s="136">
        <v>43</v>
      </c>
      <c r="H166" s="146">
        <v>2744</v>
      </c>
    </row>
    <row r="167" spans="1:8" x14ac:dyDescent="0.25">
      <c r="A167" s="136" t="s">
        <v>231</v>
      </c>
      <c r="B167" s="136"/>
      <c r="C167" s="136">
        <v>6</v>
      </c>
      <c r="D167" s="146">
        <v>2894</v>
      </c>
      <c r="E167" s="136">
        <v>2</v>
      </c>
      <c r="F167" s="136">
        <v>414</v>
      </c>
      <c r="G167" s="136">
        <v>47</v>
      </c>
      <c r="H167" s="146">
        <v>3363</v>
      </c>
    </row>
    <row r="168" spans="1:8" ht="30" x14ac:dyDescent="0.25">
      <c r="A168" s="136" t="s">
        <v>232</v>
      </c>
      <c r="B168" s="136"/>
      <c r="C168" s="136">
        <v>8</v>
      </c>
      <c r="D168" s="146">
        <v>3969</v>
      </c>
      <c r="E168" s="136">
        <v>3</v>
      </c>
      <c r="F168" s="136">
        <v>747</v>
      </c>
      <c r="G168" s="136">
        <v>66</v>
      </c>
      <c r="H168" s="146">
        <v>4793</v>
      </c>
    </row>
    <row r="169" spans="1:8" x14ac:dyDescent="0.25">
      <c r="A169" s="136" t="s">
        <v>233</v>
      </c>
      <c r="B169" s="136"/>
      <c r="C169" s="136">
        <v>9</v>
      </c>
      <c r="D169" s="146">
        <v>3233</v>
      </c>
      <c r="E169" s="136">
        <v>1</v>
      </c>
      <c r="F169" s="136">
        <v>612</v>
      </c>
      <c r="G169" s="136">
        <v>97</v>
      </c>
      <c r="H169" s="146">
        <v>3952</v>
      </c>
    </row>
    <row r="170" spans="1:8" x14ac:dyDescent="0.25">
      <c r="A170" s="136" t="s">
        <v>234</v>
      </c>
      <c r="B170" s="136"/>
      <c r="C170" s="136">
        <v>5</v>
      </c>
      <c r="D170" s="146">
        <v>1619</v>
      </c>
      <c r="E170" s="167">
        <v>0</v>
      </c>
      <c r="F170" s="136">
        <v>324</v>
      </c>
      <c r="G170" s="136">
        <v>30</v>
      </c>
      <c r="H170" s="146">
        <v>1978</v>
      </c>
    </row>
    <row r="171" spans="1:8" ht="30" x14ac:dyDescent="0.25">
      <c r="A171" s="136" t="s">
        <v>235</v>
      </c>
      <c r="B171" s="136"/>
      <c r="C171" s="136">
        <v>2</v>
      </c>
      <c r="D171" s="136">
        <v>909</v>
      </c>
      <c r="E171" s="136">
        <v>1</v>
      </c>
      <c r="F171" s="136">
        <v>193</v>
      </c>
      <c r="G171" s="136">
        <v>17</v>
      </c>
      <c r="H171" s="146">
        <v>1122</v>
      </c>
    </row>
    <row r="172" spans="1:8" ht="30" x14ac:dyDescent="0.25">
      <c r="A172" s="136" t="s">
        <v>236</v>
      </c>
      <c r="B172" s="136"/>
      <c r="C172" s="136">
        <v>8</v>
      </c>
      <c r="D172" s="146">
        <v>2491</v>
      </c>
      <c r="E172" s="136">
        <v>1</v>
      </c>
      <c r="F172" s="136">
        <v>455</v>
      </c>
      <c r="G172" s="136">
        <v>63</v>
      </c>
      <c r="H172" s="146">
        <v>3018</v>
      </c>
    </row>
    <row r="173" spans="1:8" x14ac:dyDescent="0.25">
      <c r="A173" s="136" t="s">
        <v>237</v>
      </c>
      <c r="B173" s="136"/>
      <c r="C173" s="136">
        <v>117</v>
      </c>
      <c r="D173" s="146">
        <v>38092</v>
      </c>
      <c r="E173" s="136">
        <v>35</v>
      </c>
      <c r="F173" s="146">
        <v>8952</v>
      </c>
      <c r="G173" s="136">
        <v>957</v>
      </c>
      <c r="H173" s="146">
        <v>48153</v>
      </c>
    </row>
    <row r="174" spans="1:8" x14ac:dyDescent="0.25">
      <c r="A174" s="136" t="s">
        <v>238</v>
      </c>
      <c r="B174" s="136"/>
      <c r="C174" s="136">
        <v>21</v>
      </c>
      <c r="D174" s="146">
        <v>10380</v>
      </c>
      <c r="E174" s="136">
        <v>9</v>
      </c>
      <c r="F174" s="146">
        <v>2209</v>
      </c>
      <c r="G174" s="136">
        <v>211</v>
      </c>
      <c r="H174" s="146">
        <v>12830</v>
      </c>
    </row>
    <row r="175" spans="1:8" x14ac:dyDescent="0.25">
      <c r="A175" s="136" t="s">
        <v>239</v>
      </c>
      <c r="B175" s="136"/>
      <c r="C175" s="136">
        <v>8</v>
      </c>
      <c r="D175" s="146">
        <v>3845</v>
      </c>
      <c r="E175" s="136">
        <v>2</v>
      </c>
      <c r="F175" s="136">
        <v>841</v>
      </c>
      <c r="G175" s="136">
        <v>90</v>
      </c>
      <c r="H175" s="146">
        <v>4786</v>
      </c>
    </row>
    <row r="176" spans="1:8" ht="30" x14ac:dyDescent="0.25">
      <c r="A176" s="136" t="s">
        <v>240</v>
      </c>
      <c r="B176" s="136"/>
      <c r="C176" s="136">
        <v>30</v>
      </c>
      <c r="D176" s="146">
        <v>12944</v>
      </c>
      <c r="E176" s="136">
        <v>1</v>
      </c>
      <c r="F176" s="146">
        <v>2516</v>
      </c>
      <c r="G176" s="136">
        <v>277</v>
      </c>
      <c r="H176" s="146">
        <v>15768</v>
      </c>
    </row>
    <row r="177" spans="1:8" ht="30" x14ac:dyDescent="0.25">
      <c r="A177" s="136" t="s">
        <v>241</v>
      </c>
      <c r="B177" s="136"/>
      <c r="C177" s="136">
        <v>21</v>
      </c>
      <c r="D177" s="146">
        <v>9778</v>
      </c>
      <c r="E177" s="136">
        <v>2</v>
      </c>
      <c r="F177" s="146">
        <v>1826</v>
      </c>
      <c r="G177" s="136">
        <v>230</v>
      </c>
      <c r="H177" s="146">
        <v>11857</v>
      </c>
    </row>
    <row r="178" spans="1:8" ht="30" x14ac:dyDescent="0.25">
      <c r="A178" s="136" t="s">
        <v>242</v>
      </c>
      <c r="B178" s="136"/>
      <c r="C178" s="136">
        <v>11</v>
      </c>
      <c r="D178" s="146">
        <v>7565</v>
      </c>
      <c r="E178" s="136">
        <v>5</v>
      </c>
      <c r="F178" s="146">
        <v>1496</v>
      </c>
      <c r="G178" s="136">
        <v>160</v>
      </c>
      <c r="H178" s="146">
        <v>9237</v>
      </c>
    </row>
    <row r="179" spans="1:8" x14ac:dyDescent="0.25">
      <c r="A179" s="136"/>
      <c r="H179" s="143"/>
    </row>
    <row r="180" spans="1:8" x14ac:dyDescent="0.25">
      <c r="A180" s="136" t="s">
        <v>28</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506</v>
      </c>
      <c r="B185" s="136" t="s">
        <v>507</v>
      </c>
      <c r="C185" s="136">
        <v>7</v>
      </c>
      <c r="D185" s="154"/>
      <c r="E185" s="154"/>
      <c r="F185" s="155"/>
    </row>
    <row r="186" spans="1:8" x14ac:dyDescent="0.25">
      <c r="A186" s="136"/>
      <c r="B186" s="136"/>
      <c r="C186" s="136"/>
      <c r="D186" s="136"/>
      <c r="F186" s="143"/>
    </row>
    <row r="187" spans="1:8" ht="30" x14ac:dyDescent="0.25">
      <c r="A187" s="136"/>
      <c r="B187" s="136"/>
      <c r="C187" s="136" t="s">
        <v>505</v>
      </c>
      <c r="D187" s="136"/>
      <c r="F187" s="143"/>
    </row>
    <row r="188" spans="1:8" x14ac:dyDescent="0.25">
      <c r="A188" s="136" t="s">
        <v>130</v>
      </c>
      <c r="B188" s="136" t="s">
        <v>484</v>
      </c>
      <c r="C188" s="136" t="s">
        <v>485</v>
      </c>
      <c r="D188" s="136" t="s">
        <v>486</v>
      </c>
      <c r="E188" s="136" t="s">
        <v>487</v>
      </c>
      <c r="F188" s="136" t="s">
        <v>488</v>
      </c>
      <c r="G188" s="136" t="s">
        <v>28</v>
      </c>
    </row>
    <row r="189" spans="1:8" x14ac:dyDescent="0.25">
      <c r="A189" s="136"/>
      <c r="B189" s="136"/>
      <c r="C189" s="136"/>
      <c r="D189" s="136"/>
      <c r="E189" s="158"/>
      <c r="G189" s="143"/>
    </row>
    <row r="190" spans="1:8" ht="30" x14ac:dyDescent="0.25">
      <c r="A190" s="136" t="s">
        <v>243</v>
      </c>
      <c r="B190" s="136">
        <v>27</v>
      </c>
      <c r="C190" s="146">
        <v>9982</v>
      </c>
      <c r="D190" s="136">
        <v>12</v>
      </c>
      <c r="E190" s="146">
        <v>1856</v>
      </c>
      <c r="F190" s="136">
        <v>174</v>
      </c>
      <c r="G190" s="146">
        <v>12051</v>
      </c>
    </row>
    <row r="191" spans="1:8" x14ac:dyDescent="0.25">
      <c r="A191" s="136" t="s">
        <v>244</v>
      </c>
      <c r="B191" s="136">
        <v>5</v>
      </c>
      <c r="C191" s="146">
        <v>1892</v>
      </c>
      <c r="D191">
        <v>0</v>
      </c>
      <c r="E191" s="136">
        <v>397</v>
      </c>
      <c r="F191" s="136">
        <v>50</v>
      </c>
      <c r="G191" s="146">
        <v>2344</v>
      </c>
    </row>
    <row r="192" spans="1:8" x14ac:dyDescent="0.25">
      <c r="A192" s="136" t="s">
        <v>245</v>
      </c>
      <c r="B192" s="136">
        <v>8</v>
      </c>
      <c r="C192" s="146">
        <v>3773</v>
      </c>
      <c r="D192" s="136">
        <v>1</v>
      </c>
      <c r="E192" s="136">
        <v>786</v>
      </c>
      <c r="F192" s="136">
        <v>83</v>
      </c>
      <c r="G192" s="146">
        <v>4651</v>
      </c>
    </row>
    <row r="193" spans="1:7" ht="30" x14ac:dyDescent="0.25">
      <c r="A193" s="136" t="s">
        <v>246</v>
      </c>
      <c r="B193" s="136">
        <v>33</v>
      </c>
      <c r="C193" s="146">
        <v>8007</v>
      </c>
      <c r="D193" s="136">
        <v>3</v>
      </c>
      <c r="E193" s="146">
        <v>1747</v>
      </c>
      <c r="F193" s="136">
        <v>172</v>
      </c>
      <c r="G193" s="146">
        <v>9962</v>
      </c>
    </row>
    <row r="194" spans="1:7" x14ac:dyDescent="0.25">
      <c r="A194" s="136" t="s">
        <v>247</v>
      </c>
      <c r="B194" s="136">
        <v>8</v>
      </c>
      <c r="C194" s="146">
        <v>2551</v>
      </c>
      <c r="D194" s="167">
        <v>0</v>
      </c>
      <c r="E194" s="136">
        <v>610</v>
      </c>
      <c r="F194" s="136">
        <v>32</v>
      </c>
      <c r="G194" s="146">
        <v>3201</v>
      </c>
    </row>
    <row r="195" spans="1:7" x14ac:dyDescent="0.25">
      <c r="A195" s="136" t="s">
        <v>248</v>
      </c>
      <c r="B195" s="136">
        <v>47</v>
      </c>
      <c r="C195" s="146">
        <v>25031</v>
      </c>
      <c r="D195" s="136">
        <v>16</v>
      </c>
      <c r="E195" s="146">
        <v>3837</v>
      </c>
      <c r="F195" s="136">
        <v>537</v>
      </c>
      <c r="G195" s="146">
        <v>29468</v>
      </c>
    </row>
    <row r="196" spans="1:7" ht="30" x14ac:dyDescent="0.25">
      <c r="A196" s="136" t="s">
        <v>249</v>
      </c>
      <c r="B196" s="136">
        <v>2</v>
      </c>
      <c r="C196" s="136">
        <v>706</v>
      </c>
      <c r="D196" s="167">
        <v>0</v>
      </c>
      <c r="E196" s="136">
        <v>180</v>
      </c>
      <c r="F196" s="136">
        <v>11</v>
      </c>
      <c r="G196" s="136">
        <v>899</v>
      </c>
    </row>
    <row r="197" spans="1:7" x14ac:dyDescent="0.25">
      <c r="A197" s="136" t="s">
        <v>499</v>
      </c>
      <c r="B197" s="136">
        <v>5</v>
      </c>
      <c r="C197" s="146">
        <v>2353</v>
      </c>
      <c r="D197" s="167">
        <v>0</v>
      </c>
      <c r="E197" s="136">
        <v>435</v>
      </c>
      <c r="F197" s="136">
        <v>28</v>
      </c>
      <c r="G197" s="146">
        <v>2821</v>
      </c>
    </row>
    <row r="198" spans="1:7" x14ac:dyDescent="0.25">
      <c r="A198" s="136" t="s">
        <v>250</v>
      </c>
      <c r="B198" s="136">
        <v>3</v>
      </c>
      <c r="C198" s="146">
        <v>1378</v>
      </c>
      <c r="D198" s="136">
        <v>1</v>
      </c>
      <c r="E198" s="136">
        <v>199</v>
      </c>
      <c r="F198" s="136">
        <v>26</v>
      </c>
      <c r="G198" s="146">
        <v>1607</v>
      </c>
    </row>
    <row r="199" spans="1:7" x14ac:dyDescent="0.25">
      <c r="A199" s="136" t="s">
        <v>251</v>
      </c>
      <c r="B199" s="136">
        <v>46</v>
      </c>
      <c r="C199" s="146">
        <v>17260</v>
      </c>
      <c r="D199" s="136">
        <v>10</v>
      </c>
      <c r="E199" s="146">
        <v>3215</v>
      </c>
      <c r="F199" s="136">
        <v>325</v>
      </c>
      <c r="G199" s="146">
        <v>20856</v>
      </c>
    </row>
    <row r="200" spans="1:7" x14ac:dyDescent="0.25">
      <c r="A200" s="136" t="s">
        <v>252</v>
      </c>
      <c r="B200" s="136">
        <v>9</v>
      </c>
      <c r="C200" s="146">
        <v>5818</v>
      </c>
      <c r="D200" s="167">
        <v>0</v>
      </c>
      <c r="E200" s="146">
        <v>1235</v>
      </c>
      <c r="F200" s="136">
        <v>146</v>
      </c>
      <c r="G200" s="146">
        <v>7208</v>
      </c>
    </row>
    <row r="201" spans="1:7" x14ac:dyDescent="0.25">
      <c r="A201" s="136" t="s">
        <v>253</v>
      </c>
      <c r="B201" s="136">
        <v>6</v>
      </c>
      <c r="C201" s="146">
        <v>5115</v>
      </c>
      <c r="D201" s="136">
        <v>2</v>
      </c>
      <c r="E201" s="146">
        <v>1016</v>
      </c>
      <c r="F201" s="136">
        <v>159</v>
      </c>
      <c r="G201" s="146">
        <v>6298</v>
      </c>
    </row>
    <row r="202" spans="1:7" x14ac:dyDescent="0.25">
      <c r="A202" s="136" t="s">
        <v>254</v>
      </c>
      <c r="B202" s="136">
        <v>18</v>
      </c>
      <c r="C202" s="146">
        <v>7962</v>
      </c>
      <c r="D202" s="136">
        <v>7</v>
      </c>
      <c r="E202" s="146">
        <v>1147</v>
      </c>
      <c r="F202" s="136">
        <v>157</v>
      </c>
      <c r="G202" s="146">
        <v>9291</v>
      </c>
    </row>
    <row r="203" spans="1:7" x14ac:dyDescent="0.25">
      <c r="A203" s="136" t="s">
        <v>255</v>
      </c>
      <c r="B203" s="136">
        <v>29</v>
      </c>
      <c r="C203" s="146">
        <v>8694</v>
      </c>
      <c r="D203" s="136">
        <v>8</v>
      </c>
      <c r="E203" s="146">
        <v>1726</v>
      </c>
      <c r="F203" s="136">
        <v>175</v>
      </c>
      <c r="G203" s="146">
        <v>10632</v>
      </c>
    </row>
    <row r="204" spans="1:7" x14ac:dyDescent="0.25">
      <c r="A204" s="136" t="s">
        <v>256</v>
      </c>
      <c r="B204" s="136">
        <v>0</v>
      </c>
      <c r="C204" s="146">
        <v>1678</v>
      </c>
      <c r="D204" s="167">
        <v>0</v>
      </c>
      <c r="E204" s="136">
        <v>292</v>
      </c>
      <c r="F204" s="136">
        <v>38</v>
      </c>
      <c r="G204" s="146">
        <v>2008</v>
      </c>
    </row>
    <row r="205" spans="1:7" x14ac:dyDescent="0.25">
      <c r="A205" s="136" t="s">
        <v>257</v>
      </c>
      <c r="B205" s="136">
        <v>7</v>
      </c>
      <c r="C205" s="146">
        <v>1433</v>
      </c>
      <c r="D205" s="167">
        <v>0</v>
      </c>
      <c r="E205" s="136">
        <v>320</v>
      </c>
      <c r="F205" s="136">
        <v>35</v>
      </c>
      <c r="G205" s="146">
        <v>1795</v>
      </c>
    </row>
    <row r="206" spans="1:7" x14ac:dyDescent="0.25">
      <c r="A206" s="136" t="s">
        <v>258</v>
      </c>
      <c r="B206" s="136">
        <v>4</v>
      </c>
      <c r="C206" s="146">
        <v>1631</v>
      </c>
      <c r="D206" s="167">
        <v>0</v>
      </c>
      <c r="E206" s="136">
        <v>224</v>
      </c>
      <c r="F206" s="136">
        <v>34</v>
      </c>
      <c r="G206" s="146">
        <v>1893</v>
      </c>
    </row>
    <row r="207" spans="1:7" x14ac:dyDescent="0.25">
      <c r="A207" s="136" t="s">
        <v>259</v>
      </c>
      <c r="B207" s="136">
        <v>2</v>
      </c>
      <c r="C207" s="146">
        <v>1880</v>
      </c>
      <c r="D207" s="167">
        <v>0</v>
      </c>
      <c r="E207" s="136">
        <v>248</v>
      </c>
      <c r="F207" s="136">
        <v>31</v>
      </c>
      <c r="G207" s="146">
        <v>2161</v>
      </c>
    </row>
    <row r="208" spans="1:7" x14ac:dyDescent="0.25">
      <c r="A208" s="136" t="s">
        <v>260</v>
      </c>
      <c r="B208" s="136">
        <v>7</v>
      </c>
      <c r="C208" s="146">
        <v>4002</v>
      </c>
      <c r="D208" s="136">
        <v>2</v>
      </c>
      <c r="E208" s="136">
        <v>872</v>
      </c>
      <c r="F208" s="136">
        <v>73</v>
      </c>
      <c r="G208" s="146">
        <v>4956</v>
      </c>
    </row>
    <row r="209" spans="1:7" x14ac:dyDescent="0.25">
      <c r="A209" s="136" t="s">
        <v>261</v>
      </c>
      <c r="B209" s="136">
        <v>2</v>
      </c>
      <c r="C209" s="146">
        <v>2570</v>
      </c>
      <c r="D209" s="167">
        <v>0</v>
      </c>
      <c r="E209" s="136">
        <v>522</v>
      </c>
      <c r="F209" s="136">
        <v>55</v>
      </c>
      <c r="G209" s="146">
        <v>3149</v>
      </c>
    </row>
    <row r="210" spans="1:7" x14ac:dyDescent="0.25">
      <c r="A210" s="136" t="s">
        <v>262</v>
      </c>
      <c r="B210" s="136">
        <v>2</v>
      </c>
      <c r="C210" s="146">
        <v>2439</v>
      </c>
      <c r="D210" s="167">
        <v>0</v>
      </c>
      <c r="E210" s="136">
        <v>350</v>
      </c>
      <c r="F210" s="136">
        <v>56</v>
      </c>
      <c r="G210" s="146">
        <v>2847</v>
      </c>
    </row>
    <row r="211" spans="1:7" ht="30" x14ac:dyDescent="0.25">
      <c r="A211" s="136" t="s">
        <v>263</v>
      </c>
      <c r="B211" s="136">
        <v>8</v>
      </c>
      <c r="C211" s="146">
        <v>3367</v>
      </c>
      <c r="D211" s="136">
        <v>3</v>
      </c>
      <c r="E211" s="136">
        <v>458</v>
      </c>
      <c r="F211" s="136">
        <v>71</v>
      </c>
      <c r="G211" s="146">
        <v>3907</v>
      </c>
    </row>
    <row r="212" spans="1:7" ht="30" x14ac:dyDescent="0.25">
      <c r="A212" s="136" t="s">
        <v>264</v>
      </c>
      <c r="B212" s="136">
        <v>19</v>
      </c>
      <c r="C212" s="146">
        <v>7507</v>
      </c>
      <c r="D212" s="136">
        <v>2</v>
      </c>
      <c r="E212" s="146">
        <v>1281</v>
      </c>
      <c r="F212" s="136">
        <v>139</v>
      </c>
      <c r="G212" s="146">
        <v>8948</v>
      </c>
    </row>
    <row r="213" spans="1:7" x14ac:dyDescent="0.25">
      <c r="A213" s="136" t="s">
        <v>265</v>
      </c>
      <c r="B213" s="136">
        <v>32</v>
      </c>
      <c r="C213" s="146">
        <v>8613</v>
      </c>
      <c r="D213" s="136">
        <v>2</v>
      </c>
      <c r="E213" s="146">
        <v>1325</v>
      </c>
      <c r="F213" s="136">
        <v>147</v>
      </c>
      <c r="G213" s="146">
        <v>10119</v>
      </c>
    </row>
    <row r="214" spans="1:7" ht="30" x14ac:dyDescent="0.25">
      <c r="A214" s="136" t="s">
        <v>266</v>
      </c>
      <c r="B214" s="136">
        <v>2</v>
      </c>
      <c r="C214" s="146">
        <v>1608</v>
      </c>
      <c r="E214" s="136">
        <v>390</v>
      </c>
      <c r="F214" s="136">
        <v>30</v>
      </c>
      <c r="G214" s="146">
        <v>2030</v>
      </c>
    </row>
    <row r="215" spans="1:7" x14ac:dyDescent="0.25">
      <c r="A215" s="136" t="s">
        <v>267</v>
      </c>
      <c r="B215" s="136">
        <v>105</v>
      </c>
      <c r="C215" s="146">
        <v>39306</v>
      </c>
      <c r="D215" s="136">
        <v>26</v>
      </c>
      <c r="E215" s="146">
        <v>7612</v>
      </c>
      <c r="F215" s="136">
        <v>865</v>
      </c>
      <c r="G215" s="146">
        <v>47914</v>
      </c>
    </row>
    <row r="216" spans="1:7" x14ac:dyDescent="0.25">
      <c r="A216" s="136" t="s">
        <v>268</v>
      </c>
      <c r="B216" s="136">
        <v>14</v>
      </c>
      <c r="C216" s="146">
        <v>5362</v>
      </c>
      <c r="D216" s="136">
        <v>3</v>
      </c>
      <c r="E216" s="136">
        <v>834</v>
      </c>
      <c r="F216" s="136">
        <v>136</v>
      </c>
      <c r="G216" s="146">
        <v>6349</v>
      </c>
    </row>
    <row r="217" spans="1:7" ht="30" x14ac:dyDescent="0.25">
      <c r="A217" s="136" t="s">
        <v>269</v>
      </c>
      <c r="B217" s="136">
        <v>1</v>
      </c>
      <c r="C217" s="136">
        <v>864</v>
      </c>
      <c r="D217" s="136">
        <v>1</v>
      </c>
      <c r="E217" s="136">
        <v>135</v>
      </c>
      <c r="F217" s="136">
        <v>24</v>
      </c>
      <c r="G217" s="146">
        <v>1025</v>
      </c>
    </row>
    <row r="218" spans="1:7" ht="30" x14ac:dyDescent="0.25">
      <c r="A218" s="136" t="s">
        <v>270</v>
      </c>
      <c r="B218" s="136">
        <v>8</v>
      </c>
      <c r="C218" s="146">
        <v>3230</v>
      </c>
      <c r="D218" s="136">
        <v>1</v>
      </c>
      <c r="E218" s="136">
        <v>631</v>
      </c>
      <c r="F218" s="136">
        <v>64</v>
      </c>
      <c r="G218" s="146">
        <v>3934</v>
      </c>
    </row>
    <row r="219" spans="1:7" ht="30" x14ac:dyDescent="0.25">
      <c r="A219" s="136" t="s">
        <v>271</v>
      </c>
      <c r="B219" s="136">
        <v>5</v>
      </c>
      <c r="C219" s="146">
        <v>3240</v>
      </c>
      <c r="D219" s="136">
        <v>1</v>
      </c>
      <c r="E219" s="136">
        <v>558</v>
      </c>
      <c r="F219" s="136">
        <v>77</v>
      </c>
      <c r="G219" s="146">
        <v>3881</v>
      </c>
    </row>
    <row r="220" spans="1:7" x14ac:dyDescent="0.25">
      <c r="A220" s="136" t="s">
        <v>28</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272</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505</v>
      </c>
      <c r="D228" s="136"/>
      <c r="G228" s="143"/>
    </row>
    <row r="229" spans="1:8" x14ac:dyDescent="0.25">
      <c r="A229" s="136" t="s">
        <v>130</v>
      </c>
      <c r="B229" s="136" t="s">
        <v>484</v>
      </c>
      <c r="C229" s="136" t="s">
        <v>485</v>
      </c>
      <c r="D229" s="136" t="s">
        <v>486</v>
      </c>
      <c r="E229" s="136" t="s">
        <v>487</v>
      </c>
      <c r="F229" s="136" t="s">
        <v>488</v>
      </c>
      <c r="G229" s="136" t="s">
        <v>28</v>
      </c>
      <c r="H229" s="143"/>
    </row>
    <row r="230" spans="1:8" x14ac:dyDescent="0.25">
      <c r="A230" s="136"/>
      <c r="B230" s="136"/>
      <c r="C230" s="136"/>
      <c r="H230" s="143"/>
    </row>
    <row r="231" spans="1:8" ht="30" x14ac:dyDescent="0.25">
      <c r="A231" s="136" t="s">
        <v>273</v>
      </c>
      <c r="B231" s="136">
        <v>4</v>
      </c>
      <c r="C231" s="136">
        <v>815</v>
      </c>
      <c r="D231" s="136">
        <v>0</v>
      </c>
      <c r="E231" s="136">
        <v>128</v>
      </c>
      <c r="F231" s="136">
        <v>23</v>
      </c>
      <c r="G231" s="136">
        <v>970</v>
      </c>
      <c r="H231" s="143"/>
    </row>
    <row r="232" spans="1:8" x14ac:dyDescent="0.25">
      <c r="A232" s="136" t="s">
        <v>274</v>
      </c>
      <c r="B232" s="136">
        <v>4</v>
      </c>
      <c r="C232" s="136">
        <v>863</v>
      </c>
      <c r="D232" s="136">
        <v>0</v>
      </c>
      <c r="E232" s="136">
        <v>151</v>
      </c>
      <c r="F232" s="136">
        <v>9</v>
      </c>
      <c r="G232" s="146">
        <v>1027</v>
      </c>
      <c r="H232" s="143"/>
    </row>
    <row r="233" spans="1:8" x14ac:dyDescent="0.25">
      <c r="A233" s="136" t="s">
        <v>275</v>
      </c>
      <c r="B233" s="136">
        <v>16</v>
      </c>
      <c r="C233" s="146">
        <v>5959</v>
      </c>
      <c r="D233" s="136">
        <v>3</v>
      </c>
      <c r="E233" s="146">
        <v>1709</v>
      </c>
      <c r="F233" s="136">
        <v>121</v>
      </c>
      <c r="G233" s="146">
        <v>7808</v>
      </c>
      <c r="H233" s="143"/>
    </row>
    <row r="234" spans="1:8" x14ac:dyDescent="0.25">
      <c r="A234" s="136" t="s">
        <v>276</v>
      </c>
      <c r="B234" s="136">
        <v>18</v>
      </c>
      <c r="C234" s="146">
        <v>5555</v>
      </c>
      <c r="D234" s="136">
        <v>3</v>
      </c>
      <c r="E234" s="146">
        <v>1081</v>
      </c>
      <c r="F234" s="136">
        <v>116</v>
      </c>
      <c r="G234" s="146">
        <v>6773</v>
      </c>
      <c r="H234" s="143"/>
    </row>
    <row r="235" spans="1:8" x14ac:dyDescent="0.25">
      <c r="A235" s="136" t="s">
        <v>500</v>
      </c>
      <c r="B235" s="136">
        <v>11</v>
      </c>
      <c r="C235" s="146">
        <v>6031</v>
      </c>
      <c r="D235" s="168">
        <v>0</v>
      </c>
      <c r="E235" s="146">
        <v>1432</v>
      </c>
      <c r="F235" s="136">
        <v>117</v>
      </c>
      <c r="G235" s="146">
        <v>7591</v>
      </c>
      <c r="H235" s="143"/>
    </row>
    <row r="236" spans="1:8" ht="30" x14ac:dyDescent="0.25">
      <c r="A236" s="136" t="s">
        <v>277</v>
      </c>
      <c r="B236" s="136">
        <v>44</v>
      </c>
      <c r="C236" s="146">
        <v>13344</v>
      </c>
      <c r="D236" s="136">
        <v>12</v>
      </c>
      <c r="E236" s="146">
        <v>2946</v>
      </c>
      <c r="F236" s="136">
        <v>274</v>
      </c>
      <c r="G236" s="146">
        <v>16620</v>
      </c>
      <c r="H236" s="143"/>
    </row>
    <row r="237" spans="1:8" ht="30" x14ac:dyDescent="0.25">
      <c r="A237" s="136" t="s">
        <v>278</v>
      </c>
      <c r="B237" s="136">
        <v>113</v>
      </c>
      <c r="C237" s="146">
        <v>35778</v>
      </c>
      <c r="D237" s="136">
        <v>37</v>
      </c>
      <c r="E237" s="146">
        <v>8576</v>
      </c>
      <c r="F237" s="136">
        <v>804</v>
      </c>
      <c r="G237" s="146">
        <v>45308</v>
      </c>
      <c r="H237" s="143"/>
    </row>
    <row r="238" spans="1:8" x14ac:dyDescent="0.25">
      <c r="A238" s="136" t="s">
        <v>279</v>
      </c>
      <c r="B238" s="136">
        <v>3</v>
      </c>
      <c r="C238" s="146">
        <v>1171</v>
      </c>
      <c r="D238" s="136">
        <v>1</v>
      </c>
      <c r="E238" s="136">
        <v>424</v>
      </c>
      <c r="F238" s="136">
        <v>50</v>
      </c>
      <c r="G238" s="146">
        <v>1649</v>
      </c>
      <c r="H238" s="143"/>
    </row>
    <row r="239" spans="1:8" x14ac:dyDescent="0.25">
      <c r="A239" s="136" t="s">
        <v>280</v>
      </c>
      <c r="B239" s="136">
        <v>45</v>
      </c>
      <c r="C239" s="146">
        <v>18189</v>
      </c>
      <c r="D239" s="136">
        <v>11</v>
      </c>
      <c r="E239" s="146">
        <v>4342</v>
      </c>
      <c r="F239" s="136">
        <v>373</v>
      </c>
      <c r="G239" s="146">
        <v>22960</v>
      </c>
      <c r="H239" s="143"/>
    </row>
    <row r="240" spans="1:8" ht="30" x14ac:dyDescent="0.25">
      <c r="A240" s="136" t="s">
        <v>281</v>
      </c>
      <c r="B240" s="136">
        <v>22</v>
      </c>
      <c r="C240" s="146">
        <v>5903</v>
      </c>
      <c r="D240" s="136">
        <v>2</v>
      </c>
      <c r="E240" s="146">
        <v>1890</v>
      </c>
      <c r="F240" s="136">
        <v>107</v>
      </c>
      <c r="G240" s="146">
        <v>7924</v>
      </c>
      <c r="H240" s="143"/>
    </row>
    <row r="241" spans="1:9" x14ac:dyDescent="0.25">
      <c r="A241" s="136" t="s">
        <v>282</v>
      </c>
      <c r="B241" s="136">
        <v>2</v>
      </c>
      <c r="C241" s="146">
        <v>2299</v>
      </c>
      <c r="D241" s="146">
        <v>0</v>
      </c>
      <c r="E241" s="136">
        <v>393</v>
      </c>
      <c r="F241" s="136">
        <v>45</v>
      </c>
      <c r="G241" s="146">
        <v>2739</v>
      </c>
      <c r="I241" s="143"/>
    </row>
    <row r="242" spans="1:9" x14ac:dyDescent="0.25">
      <c r="A242" s="136" t="s">
        <v>283</v>
      </c>
      <c r="B242" s="136">
        <v>44</v>
      </c>
      <c r="C242" s="146">
        <v>15216</v>
      </c>
      <c r="D242" s="136">
        <v>11</v>
      </c>
      <c r="E242" s="146">
        <v>3105</v>
      </c>
      <c r="F242" s="136">
        <v>292</v>
      </c>
      <c r="G242" s="146">
        <v>18668</v>
      </c>
      <c r="H242" s="143"/>
    </row>
    <row r="243" spans="1:9" x14ac:dyDescent="0.25">
      <c r="A243" s="136" t="s">
        <v>284</v>
      </c>
      <c r="B243" s="136">
        <v>10</v>
      </c>
      <c r="C243" s="146">
        <v>3863</v>
      </c>
      <c r="D243" s="136">
        <v>3</v>
      </c>
      <c r="E243" s="136">
        <v>829</v>
      </c>
      <c r="F243" s="136">
        <v>90</v>
      </c>
      <c r="G243" s="146">
        <v>4795</v>
      </c>
      <c r="H243" s="143"/>
    </row>
    <row r="244" spans="1:9" x14ac:dyDescent="0.25">
      <c r="A244" s="136" t="s">
        <v>285</v>
      </c>
      <c r="B244" s="136">
        <v>16</v>
      </c>
      <c r="C244" s="146">
        <v>5049</v>
      </c>
      <c r="D244" s="136">
        <v>1</v>
      </c>
      <c r="E244" s="146">
        <v>1158</v>
      </c>
      <c r="F244" s="136">
        <v>108</v>
      </c>
      <c r="G244" s="146">
        <v>6332</v>
      </c>
      <c r="H244" s="143"/>
    </row>
    <row r="245" spans="1:9" x14ac:dyDescent="0.25">
      <c r="A245" s="136" t="s">
        <v>286</v>
      </c>
      <c r="B245" s="136">
        <v>11</v>
      </c>
      <c r="C245" s="146">
        <v>4313</v>
      </c>
      <c r="D245" s="136">
        <v>1</v>
      </c>
      <c r="E245" s="145">
        <v>1292</v>
      </c>
      <c r="F245" s="136">
        <v>115</v>
      </c>
      <c r="G245" s="146">
        <v>5732</v>
      </c>
      <c r="H245" s="143"/>
    </row>
    <row r="246" spans="1:9" ht="30" x14ac:dyDescent="0.25">
      <c r="A246" s="136" t="s">
        <v>287</v>
      </c>
      <c r="B246" s="136">
        <v>10</v>
      </c>
      <c r="C246" s="146">
        <v>3287</v>
      </c>
      <c r="D246" s="136">
        <v>1</v>
      </c>
      <c r="E246">
        <v>768</v>
      </c>
      <c r="F246" s="136">
        <v>71</v>
      </c>
      <c r="G246" s="146">
        <v>4137</v>
      </c>
      <c r="H246" s="143"/>
    </row>
    <row r="247" spans="1:9" ht="30" x14ac:dyDescent="0.25">
      <c r="A247" s="136" t="s">
        <v>288</v>
      </c>
      <c r="B247" s="136">
        <v>78</v>
      </c>
      <c r="C247" s="146">
        <v>33883</v>
      </c>
      <c r="D247" s="136">
        <v>13</v>
      </c>
      <c r="E247" s="145">
        <v>6500</v>
      </c>
      <c r="F247" s="136">
        <v>708</v>
      </c>
      <c r="G247" s="146">
        <v>41182</v>
      </c>
      <c r="H247" s="143"/>
    </row>
    <row r="248" spans="1:9" x14ac:dyDescent="0.25">
      <c r="A248" s="136" t="s">
        <v>289</v>
      </c>
      <c r="B248" s="136">
        <v>22</v>
      </c>
      <c r="C248" s="146">
        <v>9398</v>
      </c>
      <c r="D248" s="136">
        <v>3</v>
      </c>
      <c r="E248" s="145">
        <v>2441</v>
      </c>
      <c r="F248" s="136">
        <v>172</v>
      </c>
      <c r="G248" s="146">
        <v>12036</v>
      </c>
      <c r="H248" s="143"/>
    </row>
    <row r="249" spans="1:9" x14ac:dyDescent="0.25">
      <c r="A249" s="136" t="s">
        <v>290</v>
      </c>
      <c r="B249" s="136">
        <v>20</v>
      </c>
      <c r="C249" s="146">
        <v>6090</v>
      </c>
      <c r="D249" s="136">
        <v>6</v>
      </c>
      <c r="E249" s="145">
        <v>1218</v>
      </c>
      <c r="F249" s="136">
        <v>125</v>
      </c>
      <c r="G249" s="146">
        <v>7459</v>
      </c>
      <c r="H249" s="143"/>
    </row>
    <row r="250" spans="1:9" ht="30" x14ac:dyDescent="0.25">
      <c r="A250" s="136" t="s">
        <v>291</v>
      </c>
      <c r="B250" s="136">
        <v>10</v>
      </c>
      <c r="C250" s="146">
        <v>5056</v>
      </c>
      <c r="D250" s="136">
        <v>4</v>
      </c>
      <c r="E250" s="145">
        <v>1117</v>
      </c>
      <c r="F250" s="136">
        <v>110</v>
      </c>
      <c r="G250" s="146">
        <v>6297</v>
      </c>
      <c r="H250" s="143"/>
    </row>
    <row r="251" spans="1:9" x14ac:dyDescent="0.25">
      <c r="A251" s="136" t="s">
        <v>292</v>
      </c>
      <c r="B251" s="136">
        <v>8</v>
      </c>
      <c r="C251" s="146">
        <v>1921</v>
      </c>
      <c r="E251" s="136">
        <v>324</v>
      </c>
      <c r="F251" s="136">
        <v>47</v>
      </c>
      <c r="G251" s="146">
        <v>2300</v>
      </c>
      <c r="H251" s="143"/>
    </row>
    <row r="252" spans="1:9" x14ac:dyDescent="0.25">
      <c r="A252" s="136" t="s">
        <v>293</v>
      </c>
      <c r="B252" s="136">
        <v>22</v>
      </c>
      <c r="C252" s="146">
        <v>8390</v>
      </c>
      <c r="D252" s="136">
        <v>2</v>
      </c>
      <c r="E252" s="145">
        <v>1974</v>
      </c>
      <c r="F252" s="136">
        <v>155</v>
      </c>
      <c r="G252" s="146">
        <v>10543</v>
      </c>
      <c r="H252" s="143"/>
    </row>
    <row r="253" spans="1:9" x14ac:dyDescent="0.25">
      <c r="A253" s="136" t="s">
        <v>294</v>
      </c>
      <c r="B253" s="136">
        <v>2</v>
      </c>
      <c r="C253" s="136">
        <v>975</v>
      </c>
      <c r="D253" s="136">
        <v>1</v>
      </c>
      <c r="E253">
        <v>124</v>
      </c>
      <c r="F253" s="136">
        <v>20</v>
      </c>
      <c r="G253" s="146">
        <v>1122</v>
      </c>
      <c r="H253" s="143"/>
    </row>
    <row r="254" spans="1:9" x14ac:dyDescent="0.25">
      <c r="A254" s="136" t="s">
        <v>295</v>
      </c>
      <c r="B254" s="136">
        <v>4</v>
      </c>
      <c r="C254" s="146">
        <v>2024</v>
      </c>
      <c r="E254" s="136">
        <v>351</v>
      </c>
      <c r="F254" s="136">
        <v>35</v>
      </c>
      <c r="G254" s="146">
        <v>2414</v>
      </c>
      <c r="H254" s="143"/>
    </row>
    <row r="255" spans="1:9" ht="30" x14ac:dyDescent="0.25">
      <c r="A255" s="136" t="s">
        <v>296</v>
      </c>
      <c r="B255" s="136">
        <v>38</v>
      </c>
      <c r="C255" s="146">
        <v>14176</v>
      </c>
      <c r="D255" s="136">
        <v>7</v>
      </c>
      <c r="E255" s="145">
        <v>3543</v>
      </c>
      <c r="F255" s="136">
        <v>373</v>
      </c>
      <c r="G255" s="146">
        <v>18137</v>
      </c>
    </row>
    <row r="256" spans="1:9" ht="30" x14ac:dyDescent="0.25">
      <c r="A256" s="136" t="s">
        <v>297</v>
      </c>
      <c r="B256" s="136">
        <v>6</v>
      </c>
      <c r="C256" s="136">
        <v>791</v>
      </c>
      <c r="E256" s="136">
        <v>155</v>
      </c>
      <c r="F256" s="136">
        <v>19</v>
      </c>
      <c r="G256" s="136">
        <v>971</v>
      </c>
      <c r="H256" s="143"/>
    </row>
    <row r="257" spans="1:8" ht="30" x14ac:dyDescent="0.25">
      <c r="A257" s="136" t="s">
        <v>298</v>
      </c>
      <c r="B257" s="136">
        <v>11</v>
      </c>
      <c r="C257" s="146">
        <v>2684</v>
      </c>
      <c r="D257" s="136">
        <v>3</v>
      </c>
      <c r="E257">
        <v>487</v>
      </c>
      <c r="F257" s="136">
        <v>50</v>
      </c>
      <c r="G257" s="146">
        <v>3235</v>
      </c>
      <c r="H257" s="143"/>
    </row>
    <row r="258" spans="1:8" ht="30" x14ac:dyDescent="0.25">
      <c r="A258" s="136" t="s">
        <v>299</v>
      </c>
      <c r="B258" s="136">
        <v>9</v>
      </c>
      <c r="C258" s="146">
        <v>2616</v>
      </c>
      <c r="D258" s="136">
        <v>1</v>
      </c>
      <c r="E258">
        <v>663</v>
      </c>
      <c r="F258" s="136">
        <v>63</v>
      </c>
      <c r="G258" s="146">
        <v>3352</v>
      </c>
      <c r="H258" s="143"/>
    </row>
    <row r="259" spans="1:8" ht="30" x14ac:dyDescent="0.25">
      <c r="A259" s="136" t="s">
        <v>300</v>
      </c>
      <c r="B259" s="136">
        <v>82</v>
      </c>
      <c r="C259" s="146">
        <v>25316</v>
      </c>
      <c r="D259" s="136">
        <v>39</v>
      </c>
      <c r="E259" s="145">
        <v>6847</v>
      </c>
      <c r="F259" s="136">
        <v>597</v>
      </c>
      <c r="G259" s="146">
        <v>32881</v>
      </c>
      <c r="H259" s="143"/>
    </row>
    <row r="260" spans="1:8" x14ac:dyDescent="0.25">
      <c r="A260" s="136" t="s">
        <v>301</v>
      </c>
      <c r="B260" s="136">
        <v>2</v>
      </c>
      <c r="C260" s="146">
        <v>1390</v>
      </c>
      <c r="E260" s="136">
        <v>364</v>
      </c>
      <c r="F260" s="136">
        <v>41</v>
      </c>
      <c r="G260" s="146">
        <v>1797</v>
      </c>
      <c r="H260" s="143"/>
    </row>
    <row r="261" spans="1:8" x14ac:dyDescent="0.25">
      <c r="A261" s="136" t="s">
        <v>302</v>
      </c>
      <c r="B261" s="136">
        <v>34</v>
      </c>
      <c r="C261" s="146">
        <v>11181</v>
      </c>
      <c r="D261" s="136">
        <v>4</v>
      </c>
      <c r="E261" s="145">
        <v>2262</v>
      </c>
      <c r="F261" s="136">
        <v>210</v>
      </c>
      <c r="G261" s="146">
        <v>13691</v>
      </c>
      <c r="H261" s="143"/>
    </row>
    <row r="262" spans="1:8" x14ac:dyDescent="0.25">
      <c r="A262" s="136" t="s">
        <v>303</v>
      </c>
      <c r="B262" s="136">
        <v>12</v>
      </c>
      <c r="C262" s="146">
        <v>3050</v>
      </c>
      <c r="D262" s="136">
        <v>3</v>
      </c>
      <c r="E262">
        <v>531</v>
      </c>
      <c r="F262" s="136">
        <v>61</v>
      </c>
      <c r="G262" s="146">
        <v>3657</v>
      </c>
      <c r="H262" s="143"/>
    </row>
    <row r="263" spans="1:8" x14ac:dyDescent="0.25">
      <c r="A263" s="136" t="s">
        <v>304</v>
      </c>
      <c r="B263" s="136">
        <v>19</v>
      </c>
      <c r="C263" s="146">
        <v>5296</v>
      </c>
      <c r="E263" s="146">
        <v>1243</v>
      </c>
      <c r="F263" s="136">
        <v>108</v>
      </c>
      <c r="G263" s="146">
        <v>6666</v>
      </c>
      <c r="H263" s="143"/>
    </row>
    <row r="264" spans="1:8" x14ac:dyDescent="0.25">
      <c r="A264" s="136"/>
      <c r="H264" s="143"/>
    </row>
    <row r="265" spans="1:8" x14ac:dyDescent="0.25">
      <c r="A265" s="136" t="s">
        <v>28</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506</v>
      </c>
      <c r="B267" s="136" t="s">
        <v>507</v>
      </c>
      <c r="C267" s="136">
        <v>9</v>
      </c>
      <c r="D267" s="154"/>
      <c r="E267" s="154"/>
      <c r="F267" s="155"/>
    </row>
    <row r="268" spans="1:8" x14ac:dyDescent="0.25">
      <c r="A268" s="136"/>
      <c r="B268" s="136"/>
      <c r="C268" s="136"/>
      <c r="D268" s="136"/>
      <c r="F268" s="143"/>
    </row>
    <row r="269" spans="1:8" ht="30" x14ac:dyDescent="0.25">
      <c r="A269" s="136"/>
      <c r="B269" s="136"/>
      <c r="C269" s="136" t="s">
        <v>505</v>
      </c>
      <c r="D269" s="136"/>
      <c r="F269" s="143"/>
    </row>
    <row r="270" spans="1:8" x14ac:dyDescent="0.25">
      <c r="A270" s="136" t="s">
        <v>130</v>
      </c>
      <c r="B270" s="136" t="s">
        <v>484</v>
      </c>
      <c r="C270" s="136" t="s">
        <v>485</v>
      </c>
      <c r="D270" s="136" t="s">
        <v>486</v>
      </c>
      <c r="E270" t="s">
        <v>487</v>
      </c>
      <c r="F270" s="136" t="s">
        <v>488</v>
      </c>
      <c r="G270" s="136" t="s">
        <v>28</v>
      </c>
    </row>
    <row r="271" spans="1:8" x14ac:dyDescent="0.25">
      <c r="A271" s="136"/>
      <c r="B271" s="136"/>
      <c r="C271" s="136"/>
      <c r="D271" s="136"/>
      <c r="G271" s="143"/>
    </row>
    <row r="272" spans="1:8" x14ac:dyDescent="0.25">
      <c r="A272" s="136" t="s">
        <v>305</v>
      </c>
      <c r="B272" s="136">
        <v>25</v>
      </c>
      <c r="C272" s="146">
        <v>9666</v>
      </c>
      <c r="D272" s="136">
        <v>4</v>
      </c>
      <c r="E272" s="145">
        <v>2211</v>
      </c>
      <c r="F272" s="136">
        <v>190</v>
      </c>
      <c r="G272" s="146">
        <v>12096</v>
      </c>
    </row>
    <row r="273" spans="1:7" x14ac:dyDescent="0.25">
      <c r="A273" s="136" t="s">
        <v>306</v>
      </c>
      <c r="B273" s="136">
        <v>15</v>
      </c>
      <c r="C273" s="146">
        <v>4939</v>
      </c>
      <c r="E273" s="146">
        <v>1139</v>
      </c>
      <c r="F273" s="136">
        <v>109</v>
      </c>
      <c r="G273" s="146">
        <v>6202</v>
      </c>
    </row>
    <row r="274" spans="1:7" x14ac:dyDescent="0.25">
      <c r="A274" s="136" t="s">
        <v>307</v>
      </c>
      <c r="B274" s="136">
        <v>7</v>
      </c>
      <c r="C274" s="146">
        <v>1900</v>
      </c>
      <c r="E274" s="136">
        <v>377</v>
      </c>
      <c r="F274" s="136">
        <v>59</v>
      </c>
      <c r="G274" s="146">
        <v>2343</v>
      </c>
    </row>
    <row r="275" spans="1:7" x14ac:dyDescent="0.25">
      <c r="A275" s="136" t="s">
        <v>308</v>
      </c>
      <c r="B275" s="136">
        <v>12</v>
      </c>
      <c r="C275" s="146">
        <v>4094</v>
      </c>
      <c r="D275" s="136">
        <v>2</v>
      </c>
      <c r="E275">
        <v>789</v>
      </c>
      <c r="F275" s="136">
        <v>87</v>
      </c>
      <c r="G275" s="146">
        <v>4984</v>
      </c>
    </row>
    <row r="276" spans="1:7" x14ac:dyDescent="0.25">
      <c r="A276" s="136" t="s">
        <v>309</v>
      </c>
      <c r="B276" s="136">
        <v>10</v>
      </c>
      <c r="C276" s="146">
        <v>4058</v>
      </c>
      <c r="D276" s="136">
        <v>3</v>
      </c>
      <c r="E276">
        <v>798</v>
      </c>
      <c r="F276" s="136">
        <v>113</v>
      </c>
      <c r="G276" s="146">
        <v>4982</v>
      </c>
    </row>
    <row r="277" spans="1:7" ht="30" x14ac:dyDescent="0.25">
      <c r="A277" s="136" t="s">
        <v>310</v>
      </c>
      <c r="B277" s="136">
        <v>13</v>
      </c>
      <c r="C277" s="146">
        <v>3953</v>
      </c>
      <c r="D277" s="136">
        <v>1</v>
      </c>
      <c r="E277">
        <v>718</v>
      </c>
      <c r="F277" s="136">
        <v>98</v>
      </c>
      <c r="G277" s="146">
        <v>4783</v>
      </c>
    </row>
    <row r="278" spans="1:7" ht="30" x14ac:dyDescent="0.25">
      <c r="A278" s="136" t="s">
        <v>311</v>
      </c>
      <c r="B278" s="136">
        <v>3</v>
      </c>
      <c r="C278" s="146">
        <v>1348</v>
      </c>
      <c r="E278" s="136">
        <v>238</v>
      </c>
      <c r="F278" s="136">
        <v>33</v>
      </c>
      <c r="G278" s="146">
        <v>1622</v>
      </c>
    </row>
    <row r="279" spans="1:7" x14ac:dyDescent="0.25">
      <c r="A279" s="136" t="s">
        <v>312</v>
      </c>
      <c r="B279" s="136">
        <v>3</v>
      </c>
      <c r="C279" s="146">
        <v>1309</v>
      </c>
      <c r="D279" s="136">
        <v>1</v>
      </c>
      <c r="E279">
        <v>281</v>
      </c>
      <c r="F279" s="136">
        <v>25</v>
      </c>
      <c r="G279" s="146">
        <v>1619</v>
      </c>
    </row>
    <row r="280" spans="1:7" x14ac:dyDescent="0.25">
      <c r="A280" s="136" t="s">
        <v>313</v>
      </c>
      <c r="B280" s="136">
        <v>13</v>
      </c>
      <c r="C280" s="146">
        <v>4463</v>
      </c>
      <c r="D280" s="136">
        <v>1</v>
      </c>
      <c r="E280">
        <v>770</v>
      </c>
      <c r="F280" s="136">
        <v>93</v>
      </c>
      <c r="G280" s="146">
        <v>5340</v>
      </c>
    </row>
    <row r="281" spans="1:7" ht="30" x14ac:dyDescent="0.25">
      <c r="A281" s="136" t="s">
        <v>314</v>
      </c>
      <c r="B281" s="136">
        <v>8</v>
      </c>
      <c r="C281" s="146">
        <v>2191</v>
      </c>
      <c r="D281" s="136">
        <v>1</v>
      </c>
      <c r="E281">
        <v>524</v>
      </c>
      <c r="F281" s="136">
        <v>58</v>
      </c>
      <c r="G281" s="146">
        <v>2782</v>
      </c>
    </row>
    <row r="282" spans="1:7" x14ac:dyDescent="0.25">
      <c r="A282" s="136" t="s">
        <v>315</v>
      </c>
      <c r="B282" s="136">
        <v>8</v>
      </c>
      <c r="C282" s="146">
        <v>3449</v>
      </c>
      <c r="E282" s="136">
        <v>736</v>
      </c>
      <c r="F282" s="136">
        <v>78</v>
      </c>
      <c r="G282" s="146">
        <v>4271</v>
      </c>
    </row>
    <row r="283" spans="1:7" x14ac:dyDescent="0.25">
      <c r="A283" s="136" t="s">
        <v>316</v>
      </c>
      <c r="B283" s="136">
        <v>11</v>
      </c>
      <c r="C283" s="146">
        <v>5963</v>
      </c>
      <c r="D283" s="136">
        <v>2</v>
      </c>
      <c r="E283" s="145">
        <v>1283</v>
      </c>
      <c r="F283" s="136">
        <v>153</v>
      </c>
      <c r="G283" s="146">
        <v>7412</v>
      </c>
    </row>
    <row r="284" spans="1:7" x14ac:dyDescent="0.25">
      <c r="A284" s="136" t="s">
        <v>317</v>
      </c>
      <c r="B284" s="136">
        <v>12</v>
      </c>
      <c r="C284" s="146">
        <v>4568</v>
      </c>
      <c r="D284" s="136">
        <v>3</v>
      </c>
      <c r="E284">
        <v>802</v>
      </c>
      <c r="F284" s="136">
        <v>132</v>
      </c>
      <c r="G284" s="146">
        <v>5517</v>
      </c>
    </row>
    <row r="285" spans="1:7" ht="30" x14ac:dyDescent="0.25">
      <c r="A285" s="136" t="s">
        <v>318</v>
      </c>
      <c r="B285" s="136">
        <v>8</v>
      </c>
      <c r="C285" s="146">
        <v>1647</v>
      </c>
      <c r="E285" s="136">
        <v>347</v>
      </c>
      <c r="F285" s="136">
        <v>55</v>
      </c>
      <c r="G285" s="146">
        <v>2057</v>
      </c>
    </row>
    <row r="286" spans="1:7" x14ac:dyDescent="0.25">
      <c r="A286" s="136" t="s">
        <v>319</v>
      </c>
      <c r="B286" s="136">
        <v>7</v>
      </c>
      <c r="C286" s="146">
        <v>1420</v>
      </c>
      <c r="E286" s="136">
        <v>341</v>
      </c>
      <c r="F286" s="136">
        <v>37</v>
      </c>
      <c r="G286" s="146">
        <v>1805</v>
      </c>
    </row>
    <row r="287" spans="1:7" x14ac:dyDescent="0.25">
      <c r="A287" s="136" t="s">
        <v>320</v>
      </c>
      <c r="B287" s="136">
        <v>3</v>
      </c>
      <c r="C287" s="146">
        <v>1547</v>
      </c>
      <c r="E287" s="136">
        <v>327</v>
      </c>
      <c r="F287" s="136">
        <v>40</v>
      </c>
      <c r="G287" s="146">
        <v>1917</v>
      </c>
    </row>
    <row r="288" spans="1:7" x14ac:dyDescent="0.25">
      <c r="A288" s="136" t="s">
        <v>321</v>
      </c>
      <c r="B288" s="136">
        <v>7</v>
      </c>
      <c r="C288" s="146">
        <v>1419</v>
      </c>
      <c r="E288" s="136">
        <v>252</v>
      </c>
      <c r="F288" s="136">
        <v>52</v>
      </c>
      <c r="G288" s="146">
        <v>1730</v>
      </c>
    </row>
    <row r="289" spans="1:7" ht="30" x14ac:dyDescent="0.25">
      <c r="A289" s="136" t="s">
        <v>322</v>
      </c>
      <c r="B289" s="136">
        <v>13</v>
      </c>
      <c r="C289" s="146">
        <v>6025</v>
      </c>
      <c r="D289" s="136">
        <v>3</v>
      </c>
      <c r="E289" s="145">
        <v>1140</v>
      </c>
      <c r="F289" s="136">
        <v>162</v>
      </c>
      <c r="G289" s="146">
        <v>7343</v>
      </c>
    </row>
    <row r="290" spans="1:7" ht="30" x14ac:dyDescent="0.25">
      <c r="A290" s="136" t="s">
        <v>323</v>
      </c>
      <c r="B290" s="136">
        <v>29</v>
      </c>
      <c r="C290" s="146">
        <v>9961</v>
      </c>
      <c r="D290" s="136">
        <v>2</v>
      </c>
      <c r="E290" s="145">
        <v>2042</v>
      </c>
      <c r="F290" s="136">
        <v>292</v>
      </c>
      <c r="G290" s="146">
        <v>12326</v>
      </c>
    </row>
    <row r="291" spans="1:7" ht="30" x14ac:dyDescent="0.25">
      <c r="A291" s="136" t="s">
        <v>324</v>
      </c>
      <c r="B291" s="136">
        <v>1</v>
      </c>
      <c r="C291" s="146">
        <v>1085</v>
      </c>
      <c r="E291" s="136">
        <v>210</v>
      </c>
      <c r="F291" s="136">
        <v>28</v>
      </c>
      <c r="G291" s="146">
        <v>1324</v>
      </c>
    </row>
    <row r="292" spans="1:7" ht="30" x14ac:dyDescent="0.25">
      <c r="A292" s="136" t="s">
        <v>325</v>
      </c>
      <c r="B292" s="136">
        <v>14</v>
      </c>
      <c r="C292" s="146">
        <v>4874</v>
      </c>
      <c r="D292" s="136">
        <v>2</v>
      </c>
      <c r="E292" s="145">
        <v>1116</v>
      </c>
      <c r="F292" s="136">
        <v>128</v>
      </c>
      <c r="G292" s="146">
        <v>6134</v>
      </c>
    </row>
    <row r="293" spans="1:7" x14ac:dyDescent="0.25">
      <c r="A293" s="136" t="s">
        <v>326</v>
      </c>
      <c r="B293" s="136">
        <v>9</v>
      </c>
      <c r="C293" s="146">
        <v>3663</v>
      </c>
      <c r="D293" s="136">
        <v>2</v>
      </c>
      <c r="E293">
        <v>783</v>
      </c>
      <c r="F293" s="136">
        <v>117</v>
      </c>
      <c r="G293" s="146">
        <v>4574</v>
      </c>
    </row>
    <row r="294" spans="1:7" x14ac:dyDescent="0.25">
      <c r="A294" s="136" t="s">
        <v>327</v>
      </c>
      <c r="B294" s="136"/>
      <c r="C294" s="146">
        <v>2403</v>
      </c>
      <c r="E294" s="136">
        <v>632</v>
      </c>
      <c r="F294" s="136">
        <v>70</v>
      </c>
      <c r="G294" s="146">
        <v>3105</v>
      </c>
    </row>
    <row r="295" spans="1:7" x14ac:dyDescent="0.25">
      <c r="A295" s="136" t="s">
        <v>328</v>
      </c>
      <c r="B295" s="136">
        <v>3</v>
      </c>
      <c r="C295" s="146">
        <v>1857</v>
      </c>
      <c r="D295" s="136">
        <v>1</v>
      </c>
      <c r="E295">
        <v>467</v>
      </c>
      <c r="F295" s="136">
        <v>69</v>
      </c>
      <c r="G295" s="146">
        <v>2397</v>
      </c>
    </row>
    <row r="296" spans="1:7" x14ac:dyDescent="0.25">
      <c r="A296" s="136" t="s">
        <v>329</v>
      </c>
      <c r="B296" s="136">
        <v>10</v>
      </c>
      <c r="C296" s="146">
        <v>2325</v>
      </c>
      <c r="E296" s="136">
        <v>503</v>
      </c>
      <c r="F296" s="136">
        <v>55</v>
      </c>
      <c r="G296" s="146">
        <v>2893</v>
      </c>
    </row>
    <row r="297" spans="1:7" x14ac:dyDescent="0.25">
      <c r="A297" s="136" t="s">
        <v>330</v>
      </c>
      <c r="B297" s="136">
        <v>141</v>
      </c>
      <c r="C297" s="146">
        <v>42674</v>
      </c>
      <c r="D297" s="136">
        <v>17</v>
      </c>
      <c r="E297" s="145">
        <v>9506</v>
      </c>
      <c r="F297" s="136">
        <v>940</v>
      </c>
      <c r="G297" s="146">
        <v>53278</v>
      </c>
    </row>
    <row r="298" spans="1:7" ht="30" x14ac:dyDescent="0.25">
      <c r="A298" s="136" t="s">
        <v>331</v>
      </c>
      <c r="B298" s="136">
        <v>10</v>
      </c>
      <c r="C298" s="146">
        <v>2865</v>
      </c>
      <c r="D298" s="136">
        <v>1</v>
      </c>
      <c r="E298">
        <v>557</v>
      </c>
      <c r="F298" s="136">
        <v>59</v>
      </c>
      <c r="G298" s="146">
        <v>3492</v>
      </c>
    </row>
    <row r="299" spans="1:7" x14ac:dyDescent="0.25">
      <c r="A299" s="136" t="s">
        <v>332</v>
      </c>
      <c r="B299" s="136">
        <v>6</v>
      </c>
      <c r="C299" s="146">
        <v>1911</v>
      </c>
      <c r="E299" s="136">
        <v>467</v>
      </c>
      <c r="F299" s="136">
        <v>51</v>
      </c>
      <c r="G299" s="146">
        <v>2435</v>
      </c>
    </row>
    <row r="300" spans="1:7" x14ac:dyDescent="0.25">
      <c r="A300" s="136" t="s">
        <v>333</v>
      </c>
      <c r="B300" s="136">
        <v>13</v>
      </c>
      <c r="C300" s="146">
        <v>4227</v>
      </c>
      <c r="D300" s="136">
        <v>2</v>
      </c>
      <c r="E300" s="145">
        <v>1039</v>
      </c>
      <c r="F300" s="136">
        <v>81</v>
      </c>
      <c r="G300" s="146">
        <v>5362</v>
      </c>
    </row>
    <row r="301" spans="1:7" x14ac:dyDescent="0.25">
      <c r="A301" s="136" t="s">
        <v>334</v>
      </c>
      <c r="B301" s="136">
        <v>27</v>
      </c>
      <c r="C301" s="146">
        <v>7246</v>
      </c>
      <c r="D301" s="136">
        <v>6</v>
      </c>
      <c r="E301" s="145">
        <v>1584</v>
      </c>
      <c r="F301" s="136">
        <v>165</v>
      </c>
      <c r="G301" s="146">
        <v>9028</v>
      </c>
    </row>
    <row r="302" spans="1:7" x14ac:dyDescent="0.25">
      <c r="A302" s="136" t="s">
        <v>335</v>
      </c>
      <c r="B302" s="136">
        <v>12</v>
      </c>
      <c r="C302" s="146">
        <v>4318</v>
      </c>
      <c r="D302" s="136">
        <v>1</v>
      </c>
      <c r="E302">
        <v>899</v>
      </c>
      <c r="F302" s="136">
        <v>115</v>
      </c>
      <c r="G302" s="146">
        <v>5345</v>
      </c>
    </row>
    <row r="303" spans="1:7" x14ac:dyDescent="0.25">
      <c r="A303" s="136" t="s">
        <v>336</v>
      </c>
      <c r="B303" s="136">
        <v>18</v>
      </c>
      <c r="C303" s="146">
        <v>10264</v>
      </c>
      <c r="D303" s="136">
        <v>4</v>
      </c>
      <c r="E303" s="145">
        <v>1970</v>
      </c>
      <c r="F303" s="136">
        <v>286</v>
      </c>
      <c r="G303" s="146">
        <v>12542</v>
      </c>
    </row>
    <row r="304" spans="1:7" x14ac:dyDescent="0.25">
      <c r="A304" s="136" t="s">
        <v>28</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337</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505</v>
      </c>
      <c r="D311" s="136"/>
      <c r="G311" s="143"/>
    </row>
    <row r="312" spans="1:7" x14ac:dyDescent="0.25">
      <c r="A312" s="136" t="s">
        <v>130</v>
      </c>
      <c r="B312" s="136" t="s">
        <v>484</v>
      </c>
      <c r="C312" s="136" t="s">
        <v>485</v>
      </c>
      <c r="D312" s="136" t="s">
        <v>486</v>
      </c>
      <c r="E312" t="s">
        <v>487</v>
      </c>
      <c r="F312" s="136" t="s">
        <v>28</v>
      </c>
      <c r="G312" s="143"/>
    </row>
    <row r="313" spans="1:7" x14ac:dyDescent="0.25">
      <c r="A313" s="136"/>
      <c r="B313" s="136"/>
      <c r="C313" s="136"/>
      <c r="G313" s="143"/>
    </row>
    <row r="314" spans="1:7" x14ac:dyDescent="0.25">
      <c r="A314" s="136" t="s">
        <v>338</v>
      </c>
      <c r="B314" s="136">
        <v>15</v>
      </c>
      <c r="C314" s="146">
        <v>7617</v>
      </c>
      <c r="D314" s="136">
        <v>7</v>
      </c>
      <c r="E314" s="145">
        <v>1476</v>
      </c>
      <c r="F314" s="146">
        <v>9277</v>
      </c>
      <c r="G314" s="143"/>
    </row>
    <row r="315" spans="1:7" x14ac:dyDescent="0.25">
      <c r="A315" s="136" t="s">
        <v>339</v>
      </c>
      <c r="B315" s="136">
        <v>17</v>
      </c>
      <c r="C315" s="146">
        <v>5174</v>
      </c>
      <c r="D315" s="136">
        <v>2</v>
      </c>
      <c r="E315">
        <v>959</v>
      </c>
      <c r="F315" s="146">
        <v>6285</v>
      </c>
      <c r="G315" s="143"/>
    </row>
    <row r="316" spans="1:7" x14ac:dyDescent="0.25">
      <c r="A316" s="136" t="s">
        <v>340</v>
      </c>
      <c r="B316" s="136">
        <v>16</v>
      </c>
      <c r="C316" s="146">
        <v>7188</v>
      </c>
      <c r="D316" s="136">
        <v>8</v>
      </c>
      <c r="E316" s="145">
        <v>1675</v>
      </c>
      <c r="F316" s="146">
        <v>9051</v>
      </c>
      <c r="G316" s="143"/>
    </row>
    <row r="317" spans="1:7" x14ac:dyDescent="0.25">
      <c r="A317" s="136" t="s">
        <v>341</v>
      </c>
      <c r="B317" s="136">
        <v>1</v>
      </c>
      <c r="C317" s="136">
        <v>540</v>
      </c>
      <c r="E317" s="136">
        <v>90</v>
      </c>
      <c r="F317" s="136">
        <v>647</v>
      </c>
      <c r="G317" s="143"/>
    </row>
    <row r="318" spans="1:7" x14ac:dyDescent="0.25">
      <c r="A318" s="136" t="s">
        <v>342</v>
      </c>
      <c r="B318" s="136">
        <v>9</v>
      </c>
      <c r="C318" s="146">
        <v>2331</v>
      </c>
      <c r="D318" s="136">
        <v>1</v>
      </c>
      <c r="E318">
        <v>386</v>
      </c>
      <c r="F318" s="146">
        <v>2768</v>
      </c>
      <c r="G318" s="143"/>
    </row>
    <row r="319" spans="1:7" x14ac:dyDescent="0.25">
      <c r="A319" s="136" t="s">
        <v>343</v>
      </c>
      <c r="B319" s="136">
        <v>2</v>
      </c>
      <c r="C319" s="136">
        <v>711</v>
      </c>
      <c r="D319" s="136">
        <v>1</v>
      </c>
      <c r="E319">
        <v>116</v>
      </c>
      <c r="F319" s="136">
        <v>846</v>
      </c>
      <c r="G319" s="143"/>
    </row>
    <row r="320" spans="1:7" ht="30" x14ac:dyDescent="0.25">
      <c r="A320" s="136" t="s">
        <v>344</v>
      </c>
      <c r="B320" s="136">
        <v>1</v>
      </c>
      <c r="C320" s="136">
        <v>675</v>
      </c>
      <c r="E320" s="136">
        <v>110</v>
      </c>
      <c r="F320" s="136">
        <v>802</v>
      </c>
      <c r="G320" s="143"/>
    </row>
    <row r="321" spans="1:7" x14ac:dyDescent="0.25">
      <c r="A321" s="136" t="s">
        <v>345</v>
      </c>
      <c r="B321" s="136">
        <v>4</v>
      </c>
      <c r="C321" s="146">
        <v>1923</v>
      </c>
      <c r="D321" s="136">
        <v>3</v>
      </c>
      <c r="E321">
        <v>322</v>
      </c>
      <c r="F321" s="146">
        <v>2306</v>
      </c>
      <c r="G321" s="143"/>
    </row>
    <row r="322" spans="1:7" x14ac:dyDescent="0.25">
      <c r="A322" s="136" t="s">
        <v>346</v>
      </c>
      <c r="B322" s="136">
        <v>12</v>
      </c>
      <c r="C322" s="146">
        <v>2347</v>
      </c>
      <c r="E322" s="136">
        <v>468</v>
      </c>
      <c r="F322" s="146">
        <v>2879</v>
      </c>
      <c r="G322" s="143"/>
    </row>
    <row r="323" spans="1:7" x14ac:dyDescent="0.25">
      <c r="A323" s="136" t="s">
        <v>347</v>
      </c>
      <c r="B323" s="136">
        <v>8</v>
      </c>
      <c r="C323" s="146">
        <v>3125</v>
      </c>
      <c r="D323" s="136">
        <v>2</v>
      </c>
      <c r="E323">
        <v>583</v>
      </c>
      <c r="F323" s="146">
        <v>3791</v>
      </c>
      <c r="G323" s="143"/>
    </row>
    <row r="324" spans="1:7" x14ac:dyDescent="0.25">
      <c r="A324" s="136" t="s">
        <v>348</v>
      </c>
      <c r="B324" s="136">
        <v>1</v>
      </c>
      <c r="C324" s="136">
        <v>410</v>
      </c>
      <c r="E324" s="136">
        <v>57</v>
      </c>
      <c r="F324" s="136">
        <v>479</v>
      </c>
      <c r="G324" s="143"/>
    </row>
    <row r="325" spans="1:7" x14ac:dyDescent="0.25">
      <c r="A325" s="136" t="s">
        <v>349</v>
      </c>
      <c r="B325" s="136">
        <v>5</v>
      </c>
      <c r="C325" s="146">
        <v>1234</v>
      </c>
      <c r="E325" s="136">
        <v>289</v>
      </c>
      <c r="F325" s="146">
        <v>1567</v>
      </c>
      <c r="G325" s="143"/>
    </row>
    <row r="326" spans="1:7" ht="30" x14ac:dyDescent="0.25">
      <c r="A326" s="136" t="s">
        <v>350</v>
      </c>
      <c r="B326" s="136">
        <v>6</v>
      </c>
      <c r="C326" s="146">
        <v>3044</v>
      </c>
      <c r="D326" s="136">
        <v>1</v>
      </c>
      <c r="E326">
        <v>704</v>
      </c>
      <c r="F326" s="146">
        <v>3820</v>
      </c>
      <c r="G326" s="143"/>
    </row>
    <row r="327" spans="1:7" ht="30" x14ac:dyDescent="0.25">
      <c r="A327" s="136" t="s">
        <v>351</v>
      </c>
      <c r="B327" s="136">
        <v>8</v>
      </c>
      <c r="C327" s="146">
        <v>3285</v>
      </c>
      <c r="D327" s="136">
        <v>1</v>
      </c>
      <c r="E327">
        <v>846</v>
      </c>
      <c r="F327" s="146">
        <v>4215</v>
      </c>
      <c r="G327" s="143"/>
    </row>
    <row r="328" spans="1:7" x14ac:dyDescent="0.25">
      <c r="A328" s="136" t="s">
        <v>352</v>
      </c>
      <c r="B328" s="136">
        <v>12</v>
      </c>
      <c r="C328" s="146">
        <v>2909</v>
      </c>
      <c r="D328" s="136">
        <v>1</v>
      </c>
      <c r="E328">
        <v>602</v>
      </c>
      <c r="F328" s="146">
        <v>3603</v>
      </c>
      <c r="G328" s="143"/>
    </row>
    <row r="329" spans="1:7" x14ac:dyDescent="0.25">
      <c r="A329" s="136" t="s">
        <v>353</v>
      </c>
      <c r="B329" s="136">
        <v>91</v>
      </c>
      <c r="C329" s="146">
        <v>29501</v>
      </c>
      <c r="D329" s="136">
        <v>5</v>
      </c>
      <c r="E329" s="145">
        <v>4407</v>
      </c>
      <c r="F329" s="146">
        <v>34740</v>
      </c>
      <c r="G329" s="143"/>
    </row>
    <row r="330" spans="1:7" x14ac:dyDescent="0.25">
      <c r="A330" s="136" t="s">
        <v>354</v>
      </c>
      <c r="B330" s="136">
        <v>2</v>
      </c>
      <c r="C330" s="136">
        <v>405</v>
      </c>
      <c r="D330" s="136">
        <v>1</v>
      </c>
      <c r="E330">
        <v>65</v>
      </c>
      <c r="F330" s="136">
        <v>482</v>
      </c>
      <c r="G330" s="143"/>
    </row>
    <row r="331" spans="1:7" ht="30" x14ac:dyDescent="0.25">
      <c r="A331" s="136" t="s">
        <v>355</v>
      </c>
      <c r="B331" s="136">
        <v>83</v>
      </c>
      <c r="C331" s="146">
        <v>30044</v>
      </c>
      <c r="D331" s="136">
        <v>11</v>
      </c>
      <c r="E331" s="145">
        <v>5777</v>
      </c>
      <c r="F331" s="146">
        <v>36694</v>
      </c>
      <c r="G331" s="143"/>
    </row>
    <row r="332" spans="1:7" ht="30" x14ac:dyDescent="0.25">
      <c r="A332" s="136" t="s">
        <v>356</v>
      </c>
      <c r="B332" s="136">
        <v>1</v>
      </c>
      <c r="C332" s="146">
        <v>1477</v>
      </c>
      <c r="E332" s="136">
        <v>248</v>
      </c>
      <c r="F332" s="146">
        <v>1766</v>
      </c>
      <c r="G332" s="143"/>
    </row>
    <row r="333" spans="1:7" ht="30" x14ac:dyDescent="0.25">
      <c r="A333" s="136" t="s">
        <v>357</v>
      </c>
      <c r="B333" s="136">
        <v>12</v>
      </c>
      <c r="C333" s="146">
        <v>5493</v>
      </c>
      <c r="D333" s="136">
        <v>6</v>
      </c>
      <c r="E333" s="145">
        <v>1168</v>
      </c>
      <c r="F333" s="146">
        <v>6845</v>
      </c>
      <c r="G333" s="143"/>
    </row>
    <row r="334" spans="1:7" ht="30" x14ac:dyDescent="0.25">
      <c r="A334" s="136" t="s">
        <v>358</v>
      </c>
      <c r="B334" s="136">
        <v>5</v>
      </c>
      <c r="C334" s="136">
        <v>717</v>
      </c>
      <c r="E334" s="136">
        <v>171</v>
      </c>
      <c r="F334" s="136">
        <v>906</v>
      </c>
      <c r="G334" s="143"/>
    </row>
    <row r="335" spans="1:7" ht="30" x14ac:dyDescent="0.25">
      <c r="A335" s="136" t="s">
        <v>359</v>
      </c>
      <c r="B335" s="136">
        <v>14</v>
      </c>
      <c r="C335" s="146">
        <v>4588</v>
      </c>
      <c r="E335" s="136">
        <v>603</v>
      </c>
      <c r="F335" s="146">
        <v>5321</v>
      </c>
      <c r="G335" s="143"/>
    </row>
    <row r="336" spans="1:7" x14ac:dyDescent="0.25">
      <c r="A336" s="136" t="s">
        <v>360</v>
      </c>
      <c r="B336" s="136">
        <v>4</v>
      </c>
      <c r="C336" s="146">
        <v>2166</v>
      </c>
      <c r="D336" s="136">
        <v>1</v>
      </c>
      <c r="E336">
        <v>380</v>
      </c>
      <c r="F336" s="146">
        <v>2617</v>
      </c>
      <c r="G336" s="143"/>
    </row>
    <row r="337" spans="1:7" x14ac:dyDescent="0.25">
      <c r="A337" s="136" t="s">
        <v>361</v>
      </c>
      <c r="B337" s="136">
        <v>4</v>
      </c>
      <c r="C337" s="136">
        <v>884</v>
      </c>
      <c r="D337" s="136">
        <v>1</v>
      </c>
      <c r="E337">
        <v>119</v>
      </c>
      <c r="F337" s="146">
        <v>1025</v>
      </c>
      <c r="G337" s="143"/>
    </row>
    <row r="338" spans="1:7" x14ac:dyDescent="0.25">
      <c r="A338" s="136" t="s">
        <v>362</v>
      </c>
      <c r="B338" s="136">
        <v>10</v>
      </c>
      <c r="C338" s="146">
        <v>3070</v>
      </c>
      <c r="D338" s="136">
        <v>2</v>
      </c>
      <c r="E338">
        <v>592</v>
      </c>
      <c r="F338" s="146">
        <v>3771</v>
      </c>
      <c r="G338" s="143"/>
    </row>
    <row r="339" spans="1:7" x14ac:dyDescent="0.25">
      <c r="A339" s="136" t="s">
        <v>363</v>
      </c>
      <c r="B339" s="136">
        <v>2</v>
      </c>
      <c r="C339" s="146">
        <v>1388</v>
      </c>
      <c r="D339" s="136">
        <v>1</v>
      </c>
      <c r="E339" s="145">
        <v>254</v>
      </c>
      <c r="F339" s="146">
        <v>1671</v>
      </c>
      <c r="G339" s="143"/>
    </row>
    <row r="340" spans="1:7" x14ac:dyDescent="0.25">
      <c r="A340" s="136" t="s">
        <v>364</v>
      </c>
      <c r="B340" s="136">
        <v>6</v>
      </c>
      <c r="C340" s="146">
        <v>1458</v>
      </c>
      <c r="D340" s="136">
        <v>1</v>
      </c>
      <c r="E340">
        <v>366</v>
      </c>
      <c r="F340" s="146">
        <v>1867</v>
      </c>
      <c r="G340" s="143"/>
    </row>
    <row r="341" spans="1:7" x14ac:dyDescent="0.25">
      <c r="A341" s="136" t="s">
        <v>365</v>
      </c>
      <c r="B341" s="136">
        <v>14</v>
      </c>
      <c r="C341" s="146">
        <v>2959</v>
      </c>
      <c r="D341" s="136">
        <v>2</v>
      </c>
      <c r="E341">
        <v>426</v>
      </c>
      <c r="F341" s="146">
        <v>3465</v>
      </c>
      <c r="G341" s="143"/>
    </row>
    <row r="342" spans="1:7" ht="45" x14ac:dyDescent="0.25">
      <c r="A342" s="136" t="s">
        <v>366</v>
      </c>
      <c r="B342" s="136">
        <v>9</v>
      </c>
      <c r="C342" s="146">
        <v>1697</v>
      </c>
      <c r="E342" s="136">
        <v>292</v>
      </c>
      <c r="F342" s="146">
        <v>2052</v>
      </c>
    </row>
    <row r="343" spans="1:7" x14ac:dyDescent="0.25">
      <c r="A343" s="136" t="s">
        <v>367</v>
      </c>
      <c r="B343" s="136">
        <v>8</v>
      </c>
      <c r="C343" s="146">
        <v>2247</v>
      </c>
      <c r="D343" s="136">
        <v>1</v>
      </c>
      <c r="E343" s="145">
        <v>300</v>
      </c>
      <c r="F343" s="146">
        <v>2627</v>
      </c>
      <c r="G343" s="143"/>
    </row>
    <row r="344" spans="1:7" x14ac:dyDescent="0.25">
      <c r="A344" s="136"/>
      <c r="G344" s="143"/>
    </row>
    <row r="345" spans="1:7" x14ac:dyDescent="0.25">
      <c r="A345" s="136" t="s">
        <v>28</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506</v>
      </c>
      <c r="B348" s="136" t="s">
        <v>507</v>
      </c>
      <c r="C348" s="136">
        <v>11</v>
      </c>
      <c r="D348" s="154"/>
      <c r="E348" s="154"/>
      <c r="F348" s="155"/>
    </row>
    <row r="349" spans="1:7" x14ac:dyDescent="0.25">
      <c r="A349" s="136"/>
      <c r="B349" s="136"/>
      <c r="C349" s="136"/>
      <c r="D349" s="136"/>
      <c r="F349" s="143"/>
    </row>
    <row r="350" spans="1:7" ht="30" x14ac:dyDescent="0.25">
      <c r="A350" s="136"/>
      <c r="B350" s="136"/>
      <c r="C350" s="136" t="s">
        <v>505</v>
      </c>
      <c r="D350" s="136"/>
      <c r="F350" s="143"/>
    </row>
    <row r="351" spans="1:7" x14ac:dyDescent="0.25">
      <c r="A351" s="136" t="s">
        <v>130</v>
      </c>
      <c r="B351" s="136" t="s">
        <v>484</v>
      </c>
      <c r="C351" s="136" t="s">
        <v>485</v>
      </c>
      <c r="D351" s="136" t="s">
        <v>486</v>
      </c>
      <c r="E351" t="s">
        <v>487</v>
      </c>
      <c r="F351" s="136" t="s">
        <v>488</v>
      </c>
      <c r="G351" s="136" t="s">
        <v>28</v>
      </c>
    </row>
    <row r="352" spans="1:7" x14ac:dyDescent="0.25">
      <c r="A352" s="136"/>
      <c r="B352" s="136"/>
      <c r="C352" s="136"/>
      <c r="G352" s="143"/>
    </row>
    <row r="353" spans="1:7" ht="30" x14ac:dyDescent="0.25">
      <c r="A353" s="136" t="s">
        <v>368</v>
      </c>
      <c r="B353" s="136">
        <v>3</v>
      </c>
      <c r="C353" s="146">
        <v>1159</v>
      </c>
      <c r="D353" s="136">
        <v>1</v>
      </c>
      <c r="E353">
        <v>200</v>
      </c>
      <c r="F353" s="136">
        <v>33</v>
      </c>
      <c r="G353" s="146">
        <v>1396</v>
      </c>
    </row>
    <row r="354" spans="1:7" x14ac:dyDescent="0.25">
      <c r="A354" s="136" t="s">
        <v>369</v>
      </c>
      <c r="B354" s="136">
        <v>3</v>
      </c>
      <c r="C354" s="136">
        <v>644</v>
      </c>
      <c r="D354" s="136">
        <v>1</v>
      </c>
      <c r="E354">
        <v>143</v>
      </c>
      <c r="F354" s="136">
        <v>16</v>
      </c>
      <c r="G354" s="136">
        <v>807</v>
      </c>
    </row>
    <row r="355" spans="1:7" x14ac:dyDescent="0.25">
      <c r="A355" s="136" t="s">
        <v>370</v>
      </c>
      <c r="B355" s="136">
        <v>3</v>
      </c>
      <c r="C355" s="136">
        <v>473</v>
      </c>
      <c r="D355" s="136">
        <v>2</v>
      </c>
      <c r="E355">
        <v>89</v>
      </c>
      <c r="F355" s="136">
        <v>15</v>
      </c>
      <c r="G355" s="136">
        <v>582</v>
      </c>
    </row>
    <row r="356" spans="1:7" x14ac:dyDescent="0.25">
      <c r="A356" s="136" t="s">
        <v>371</v>
      </c>
      <c r="B356" s="136">
        <v>26</v>
      </c>
      <c r="C356" s="146">
        <v>7403</v>
      </c>
      <c r="D356" s="136">
        <v>4</v>
      </c>
      <c r="E356" s="145">
        <v>1966</v>
      </c>
      <c r="F356" s="136">
        <v>194</v>
      </c>
      <c r="G356" s="146">
        <v>9593</v>
      </c>
    </row>
    <row r="357" spans="1:7" x14ac:dyDescent="0.25">
      <c r="A357" s="136" t="s">
        <v>372</v>
      </c>
      <c r="B357" s="136"/>
      <c r="C357" s="136">
        <v>153</v>
      </c>
      <c r="E357" s="136">
        <v>27</v>
      </c>
      <c r="F357" s="136">
        <v>3</v>
      </c>
      <c r="G357" s="136">
        <v>183</v>
      </c>
    </row>
    <row r="358" spans="1:7" ht="30" x14ac:dyDescent="0.25">
      <c r="A358" s="136" t="s">
        <v>373</v>
      </c>
      <c r="B358" s="136"/>
      <c r="C358" s="136">
        <v>158</v>
      </c>
      <c r="E358" s="136">
        <v>17</v>
      </c>
      <c r="F358" s="136">
        <v>3</v>
      </c>
      <c r="G358" s="136">
        <v>178</v>
      </c>
    </row>
    <row r="359" spans="1:7" x14ac:dyDescent="0.25">
      <c r="A359" s="136" t="s">
        <v>374</v>
      </c>
      <c r="B359" s="136"/>
      <c r="C359" s="136">
        <v>44</v>
      </c>
      <c r="E359" s="136">
        <v>5</v>
      </c>
      <c r="F359" s="136">
        <v>1</v>
      </c>
      <c r="G359" s="136">
        <v>50</v>
      </c>
    </row>
    <row r="360" spans="1:7" ht="30" x14ac:dyDescent="0.25">
      <c r="A360" s="136" t="s">
        <v>375</v>
      </c>
      <c r="B360" s="136">
        <v>7</v>
      </c>
      <c r="C360" s="146">
        <v>3013</v>
      </c>
      <c r="D360" s="136">
        <v>3</v>
      </c>
      <c r="E360">
        <v>662</v>
      </c>
      <c r="F360" s="136">
        <v>54</v>
      </c>
      <c r="G360" s="146">
        <v>3739</v>
      </c>
    </row>
    <row r="361" spans="1:7" x14ac:dyDescent="0.25">
      <c r="A361" s="136" t="s">
        <v>501</v>
      </c>
      <c r="B361" s="136">
        <v>2</v>
      </c>
      <c r="C361" s="136">
        <v>469</v>
      </c>
      <c r="E361" s="136">
        <v>83</v>
      </c>
      <c r="F361" s="136">
        <v>13</v>
      </c>
      <c r="G361" s="136">
        <v>567</v>
      </c>
    </row>
    <row r="362" spans="1:7" x14ac:dyDescent="0.25">
      <c r="A362" s="136" t="s">
        <v>376</v>
      </c>
      <c r="B362" s="136"/>
      <c r="C362" s="136">
        <v>41</v>
      </c>
      <c r="E362" s="136">
        <v>7</v>
      </c>
      <c r="F362" s="136">
        <v>1</v>
      </c>
      <c r="G362" s="136">
        <v>49</v>
      </c>
    </row>
    <row r="363" spans="1:7" x14ac:dyDescent="0.25">
      <c r="A363" s="136" t="s">
        <v>28</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506</v>
      </c>
      <c r="B368" s="136" t="s">
        <v>507</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505</v>
      </c>
      <c r="C371" s="156"/>
      <c r="F371" s="143"/>
      <c r="G371" s="156"/>
    </row>
    <row r="372" spans="1:9" x14ac:dyDescent="0.25">
      <c r="A372" s="159" t="s">
        <v>130</v>
      </c>
      <c r="B372" s="159" t="s">
        <v>484</v>
      </c>
      <c r="C372" s="159" t="s">
        <v>485</v>
      </c>
      <c r="D372" s="159" t="s">
        <v>486</v>
      </c>
      <c r="E372" s="152" t="s">
        <v>487</v>
      </c>
      <c r="F372" s="159" t="s">
        <v>488</v>
      </c>
      <c r="G372" s="159" t="s">
        <v>28</v>
      </c>
    </row>
    <row r="373" spans="1:9" x14ac:dyDescent="0.25">
      <c r="A373" s="159"/>
      <c r="B373" s="159"/>
      <c r="C373" s="159"/>
      <c r="D373" s="152"/>
      <c r="E373" s="152"/>
      <c r="F373" s="152"/>
      <c r="G373" s="152"/>
      <c r="H373" s="158"/>
    </row>
    <row r="374" spans="1:9" ht="30" x14ac:dyDescent="0.25">
      <c r="A374" s="159" t="s">
        <v>377</v>
      </c>
      <c r="B374" s="159">
        <v>1</v>
      </c>
      <c r="C374" s="159">
        <v>101</v>
      </c>
      <c r="D374" s="152"/>
      <c r="E374" s="159">
        <v>33</v>
      </c>
      <c r="F374" s="159">
        <v>4</v>
      </c>
      <c r="G374" s="159">
        <v>139</v>
      </c>
    </row>
    <row r="375" spans="1:9" ht="30" x14ac:dyDescent="0.25">
      <c r="A375" s="159" t="s">
        <v>378</v>
      </c>
      <c r="C375" s="159">
        <v>4</v>
      </c>
      <c r="D375" s="152"/>
      <c r="E375" s="152"/>
      <c r="F375" s="152"/>
      <c r="G375" s="159">
        <v>4</v>
      </c>
    </row>
    <row r="376" spans="1:9" ht="30" x14ac:dyDescent="0.25">
      <c r="A376" s="159" t="s">
        <v>379</v>
      </c>
      <c r="C376" s="159">
        <v>19</v>
      </c>
      <c r="E376" s="159">
        <v>4</v>
      </c>
      <c r="F376" s="159">
        <v>2</v>
      </c>
      <c r="G376" s="159">
        <v>25</v>
      </c>
      <c r="H376" s="171"/>
    </row>
    <row r="377" spans="1:9" x14ac:dyDescent="0.25">
      <c r="A377" s="159" t="s">
        <v>380</v>
      </c>
      <c r="B377" s="159">
        <v>7</v>
      </c>
      <c r="C377" s="172">
        <v>4322</v>
      </c>
      <c r="D377" s="159">
        <v>7</v>
      </c>
      <c r="E377" s="152">
        <v>872</v>
      </c>
      <c r="F377" s="159">
        <v>107</v>
      </c>
      <c r="G377" s="175">
        <v>5315</v>
      </c>
      <c r="H377" s="171"/>
    </row>
    <row r="378" spans="1:9" x14ac:dyDescent="0.25">
      <c r="A378" s="159" t="s">
        <v>381</v>
      </c>
      <c r="B378" s="159">
        <v>3</v>
      </c>
      <c r="C378" s="159">
        <v>918</v>
      </c>
      <c r="E378" s="159">
        <v>182</v>
      </c>
      <c r="F378" s="159">
        <v>17</v>
      </c>
      <c r="G378" s="175">
        <v>1120</v>
      </c>
    </row>
    <row r="379" spans="1:9" ht="30" x14ac:dyDescent="0.25">
      <c r="A379" s="159" t="s">
        <v>382</v>
      </c>
      <c r="B379" s="159"/>
      <c r="C379" s="159">
        <v>65</v>
      </c>
      <c r="E379" s="159">
        <v>13</v>
      </c>
      <c r="F379" s="159">
        <v>2</v>
      </c>
      <c r="G379" s="176">
        <v>80</v>
      </c>
      <c r="I379" s="171"/>
    </row>
    <row r="380" spans="1:9" ht="30" x14ac:dyDescent="0.25">
      <c r="A380" s="159" t="s">
        <v>383</v>
      </c>
      <c r="B380" s="159">
        <v>71</v>
      </c>
      <c r="C380" s="172">
        <v>19979</v>
      </c>
      <c r="D380" s="159">
        <v>32</v>
      </c>
      <c r="E380" s="173">
        <v>4673</v>
      </c>
      <c r="F380" s="159">
        <v>454</v>
      </c>
      <c r="G380" s="175">
        <v>25209</v>
      </c>
    </row>
    <row r="381" spans="1:9" x14ac:dyDescent="0.25">
      <c r="A381" s="159" t="s">
        <v>384</v>
      </c>
      <c r="B381" s="159"/>
      <c r="C381" s="159">
        <v>15</v>
      </c>
      <c r="F381" s="159">
        <v>1</v>
      </c>
      <c r="G381" s="176">
        <v>16</v>
      </c>
    </row>
    <row r="382" spans="1:9" ht="30" x14ac:dyDescent="0.25">
      <c r="A382" s="159" t="s">
        <v>385</v>
      </c>
      <c r="B382" s="159"/>
      <c r="C382" s="159">
        <v>28</v>
      </c>
      <c r="E382" s="159">
        <v>7</v>
      </c>
      <c r="G382" s="176">
        <v>35</v>
      </c>
    </row>
    <row r="383" spans="1:9" x14ac:dyDescent="0.25">
      <c r="A383" s="159" t="s">
        <v>386</v>
      </c>
      <c r="B383" s="159"/>
      <c r="C383" s="159">
        <v>3</v>
      </c>
      <c r="D383" s="159"/>
      <c r="E383" s="159"/>
      <c r="F383" s="159">
        <v>1</v>
      </c>
      <c r="G383" s="176">
        <v>4</v>
      </c>
    </row>
    <row r="384" spans="1:9" ht="30" x14ac:dyDescent="0.25">
      <c r="A384" s="159" t="s">
        <v>387</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28</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388</v>
      </c>
      <c r="B390" s="154"/>
      <c r="C390" s="154"/>
      <c r="D390" s="154"/>
      <c r="E390" s="154"/>
      <c r="F390" s="155"/>
    </row>
    <row r="391" spans="1:8" x14ac:dyDescent="0.25">
      <c r="A391" s="136"/>
      <c r="B391" s="136"/>
      <c r="C391" s="136"/>
      <c r="F391" s="143"/>
    </row>
    <row r="392" spans="1:8" ht="30" x14ac:dyDescent="0.25">
      <c r="A392" s="136"/>
      <c r="B392" s="136" t="s">
        <v>505</v>
      </c>
      <c r="C392" s="136"/>
      <c r="F392" s="143"/>
    </row>
    <row r="393" spans="1:8" x14ac:dyDescent="0.25">
      <c r="A393" s="136" t="s">
        <v>130</v>
      </c>
      <c r="B393" s="136" t="s">
        <v>484</v>
      </c>
      <c r="C393" s="136" t="s">
        <v>485</v>
      </c>
      <c r="D393" s="136" t="s">
        <v>486</v>
      </c>
      <c r="E393" t="s">
        <v>487</v>
      </c>
      <c r="F393" s="136" t="s">
        <v>488</v>
      </c>
      <c r="G393" s="136" t="s">
        <v>28</v>
      </c>
    </row>
    <row r="394" spans="1:8" x14ac:dyDescent="0.25">
      <c r="A394" s="136"/>
      <c r="B394" s="136"/>
      <c r="C394" s="136"/>
      <c r="G394" s="143"/>
    </row>
    <row r="395" spans="1:8" x14ac:dyDescent="0.25">
      <c r="A395" s="136" t="s">
        <v>389</v>
      </c>
      <c r="B395" s="136">
        <v>1</v>
      </c>
      <c r="C395" s="136">
        <v>924</v>
      </c>
      <c r="D395" s="136">
        <v>1</v>
      </c>
      <c r="E395">
        <v>119</v>
      </c>
      <c r="F395" s="136">
        <v>21</v>
      </c>
      <c r="G395" s="146">
        <v>1066</v>
      </c>
    </row>
    <row r="396" spans="1:8" x14ac:dyDescent="0.25">
      <c r="A396" s="136" t="s">
        <v>390</v>
      </c>
      <c r="B396" s="136">
        <v>17</v>
      </c>
      <c r="C396" s="146">
        <v>12230</v>
      </c>
      <c r="D396" s="136">
        <v>9</v>
      </c>
      <c r="E396" s="145">
        <v>1993</v>
      </c>
      <c r="F396" s="136">
        <v>282</v>
      </c>
      <c r="G396" s="146">
        <v>14531</v>
      </c>
    </row>
    <row r="397" spans="1:8" ht="30" x14ac:dyDescent="0.25">
      <c r="A397" s="136" t="s">
        <v>391</v>
      </c>
      <c r="B397" s="136">
        <v>6</v>
      </c>
      <c r="C397" s="146">
        <v>2917</v>
      </c>
      <c r="D397" s="136">
        <v>1</v>
      </c>
      <c r="E397">
        <v>571</v>
      </c>
      <c r="F397" s="136">
        <v>86</v>
      </c>
      <c r="G397" s="146">
        <v>3581</v>
      </c>
    </row>
    <row r="398" spans="1:8" x14ac:dyDescent="0.25">
      <c r="A398" s="136" t="s">
        <v>392</v>
      </c>
      <c r="B398" s="136">
        <v>38</v>
      </c>
      <c r="C398" s="146">
        <v>13179</v>
      </c>
      <c r="D398" s="136">
        <v>5</v>
      </c>
      <c r="E398" s="145">
        <v>2692</v>
      </c>
      <c r="F398" s="136">
        <v>261</v>
      </c>
      <c r="G398" s="146">
        <v>16175</v>
      </c>
    </row>
    <row r="399" spans="1:8" ht="30" x14ac:dyDescent="0.25">
      <c r="A399" s="136" t="s">
        <v>393</v>
      </c>
      <c r="B399" s="136">
        <v>62</v>
      </c>
      <c r="C399" s="146">
        <v>25815</v>
      </c>
      <c r="D399" s="136">
        <v>11</v>
      </c>
      <c r="E399" s="145">
        <v>3671</v>
      </c>
      <c r="F399" s="136">
        <v>485</v>
      </c>
      <c r="G399" s="146">
        <v>30044</v>
      </c>
    </row>
    <row r="400" spans="1:8" x14ac:dyDescent="0.25">
      <c r="A400" s="136" t="s">
        <v>394</v>
      </c>
      <c r="B400" s="136">
        <v>29</v>
      </c>
      <c r="C400" s="146">
        <v>12648</v>
      </c>
      <c r="D400" s="136">
        <v>7</v>
      </c>
      <c r="E400" s="145">
        <v>2490</v>
      </c>
      <c r="F400" s="136">
        <v>406</v>
      </c>
      <c r="G400" s="146">
        <v>15580</v>
      </c>
    </row>
    <row r="401" spans="1:7" x14ac:dyDescent="0.25">
      <c r="A401" s="136" t="s">
        <v>395</v>
      </c>
      <c r="B401" s="136">
        <v>66</v>
      </c>
      <c r="C401" s="146">
        <v>25984</v>
      </c>
      <c r="D401" s="136">
        <v>9</v>
      </c>
      <c r="E401" s="145">
        <v>4636</v>
      </c>
      <c r="F401" s="136">
        <v>488</v>
      </c>
      <c r="G401" s="146">
        <v>31183</v>
      </c>
    </row>
    <row r="402" spans="1:7" x14ac:dyDescent="0.25">
      <c r="A402" s="136" t="s">
        <v>396</v>
      </c>
      <c r="B402" s="136">
        <v>4</v>
      </c>
      <c r="C402" s="146">
        <v>5170</v>
      </c>
      <c r="D402" s="136">
        <v>1</v>
      </c>
      <c r="E402">
        <v>887</v>
      </c>
      <c r="F402" s="136">
        <v>158</v>
      </c>
      <c r="G402" s="146">
        <v>6220</v>
      </c>
    </row>
    <row r="403" spans="1:7" x14ac:dyDescent="0.25">
      <c r="A403" s="136" t="s">
        <v>397</v>
      </c>
      <c r="B403" s="136">
        <v>60</v>
      </c>
      <c r="C403" s="146">
        <v>28734</v>
      </c>
      <c r="D403" s="136">
        <v>22</v>
      </c>
      <c r="E403" s="145">
        <v>4750</v>
      </c>
      <c r="F403" s="136">
        <v>584</v>
      </c>
      <c r="G403" s="146">
        <v>34150</v>
      </c>
    </row>
    <row r="404" spans="1:7" x14ac:dyDescent="0.25">
      <c r="A404" s="136" t="s">
        <v>398</v>
      </c>
      <c r="B404" s="136">
        <v>16</v>
      </c>
      <c r="C404" s="146">
        <v>5174</v>
      </c>
      <c r="D404" s="136">
        <v>2</v>
      </c>
      <c r="E404">
        <v>822</v>
      </c>
      <c r="F404" s="136">
        <v>144</v>
      </c>
      <c r="G404" s="146">
        <v>6158</v>
      </c>
    </row>
    <row r="405" spans="1:7" ht="30" x14ac:dyDescent="0.25">
      <c r="A405" s="136" t="s">
        <v>399</v>
      </c>
      <c r="B405" s="136">
        <v>58</v>
      </c>
      <c r="C405" s="146">
        <v>24111</v>
      </c>
      <c r="D405" s="136">
        <v>18</v>
      </c>
      <c r="E405" s="145">
        <v>4393</v>
      </c>
      <c r="F405" s="136">
        <v>550</v>
      </c>
      <c r="G405" s="146">
        <v>29130</v>
      </c>
    </row>
    <row r="406" spans="1:7" ht="30" x14ac:dyDescent="0.25">
      <c r="A406" s="136" t="s">
        <v>400</v>
      </c>
      <c r="B406" s="136">
        <v>39</v>
      </c>
      <c r="C406" s="146">
        <v>12333</v>
      </c>
      <c r="D406" s="136">
        <v>7</v>
      </c>
      <c r="E406" s="145">
        <v>2733</v>
      </c>
      <c r="F406" s="136">
        <v>301</v>
      </c>
      <c r="G406" s="146">
        <v>15413</v>
      </c>
    </row>
    <row r="407" spans="1:7" ht="30" x14ac:dyDescent="0.25">
      <c r="A407" s="136" t="s">
        <v>401</v>
      </c>
      <c r="B407" s="136">
        <v>33</v>
      </c>
      <c r="C407" s="146">
        <v>14458</v>
      </c>
      <c r="D407" s="136">
        <v>11</v>
      </c>
      <c r="E407" s="145">
        <v>2637</v>
      </c>
      <c r="F407" s="136">
        <v>377</v>
      </c>
      <c r="G407" s="146">
        <v>17516</v>
      </c>
    </row>
    <row r="408" spans="1:7" ht="30" x14ac:dyDescent="0.25">
      <c r="A408" s="136" t="s">
        <v>402</v>
      </c>
      <c r="B408" s="136">
        <v>7</v>
      </c>
      <c r="C408" s="146">
        <v>5267</v>
      </c>
      <c r="D408" s="136">
        <v>2</v>
      </c>
      <c r="E408">
        <v>771</v>
      </c>
      <c r="F408" s="136">
        <v>127</v>
      </c>
      <c r="G408" s="146">
        <v>6174</v>
      </c>
    </row>
    <row r="409" spans="1:7" ht="30" x14ac:dyDescent="0.25">
      <c r="A409" s="136" t="s">
        <v>403</v>
      </c>
      <c r="B409" s="136">
        <v>40</v>
      </c>
      <c r="C409" s="146">
        <v>16217</v>
      </c>
      <c r="D409" s="136">
        <v>5</v>
      </c>
      <c r="E409" s="145">
        <v>2774</v>
      </c>
      <c r="F409" s="136">
        <v>315</v>
      </c>
      <c r="G409" s="146">
        <v>19351</v>
      </c>
    </row>
    <row r="410" spans="1:7" x14ac:dyDescent="0.25">
      <c r="A410" s="136" t="s">
        <v>404</v>
      </c>
      <c r="B410" s="136">
        <v>143</v>
      </c>
      <c r="C410" s="146">
        <v>60425</v>
      </c>
      <c r="D410" s="136">
        <v>33</v>
      </c>
      <c r="E410" s="145">
        <v>13569</v>
      </c>
      <c r="F410" s="146">
        <v>1419</v>
      </c>
      <c r="G410" s="146">
        <v>75589</v>
      </c>
    </row>
    <row r="411" spans="1:7" x14ac:dyDescent="0.25">
      <c r="A411" s="136" t="s">
        <v>405</v>
      </c>
      <c r="B411" s="136">
        <v>56</v>
      </c>
      <c r="C411" s="146">
        <v>22154</v>
      </c>
      <c r="D411" s="136">
        <v>8</v>
      </c>
      <c r="E411" s="145">
        <v>3556</v>
      </c>
      <c r="F411" s="136">
        <v>449</v>
      </c>
      <c r="G411" s="146">
        <v>26223</v>
      </c>
    </row>
    <row r="412" spans="1:7" ht="30" x14ac:dyDescent="0.25">
      <c r="A412" s="136" t="s">
        <v>406</v>
      </c>
      <c r="B412" s="136">
        <v>74</v>
      </c>
      <c r="C412" s="146">
        <v>28470</v>
      </c>
      <c r="D412" s="136">
        <v>6</v>
      </c>
      <c r="E412" s="145">
        <v>3852</v>
      </c>
      <c r="F412" s="136">
        <v>642</v>
      </c>
      <c r="G412" s="146">
        <v>33044</v>
      </c>
    </row>
    <row r="413" spans="1:7" x14ac:dyDescent="0.25">
      <c r="A413" s="136" t="s">
        <v>407</v>
      </c>
      <c r="B413" s="136">
        <v>18</v>
      </c>
      <c r="C413" s="146">
        <v>10581</v>
      </c>
      <c r="D413" s="136">
        <v>3</v>
      </c>
      <c r="E413" s="145">
        <v>2744</v>
      </c>
      <c r="F413" s="136">
        <v>327</v>
      </c>
      <c r="G413" s="146">
        <v>13673</v>
      </c>
    </row>
    <row r="414" spans="1:7" x14ac:dyDescent="0.25">
      <c r="A414" s="136" t="s">
        <v>408</v>
      </c>
      <c r="B414" s="136">
        <v>22</v>
      </c>
      <c r="C414" s="146">
        <v>8601</v>
      </c>
      <c r="D414" s="136">
        <v>4</v>
      </c>
      <c r="E414" s="145">
        <v>1394</v>
      </c>
      <c r="F414" s="136">
        <v>378</v>
      </c>
      <c r="G414" s="146">
        <v>10399</v>
      </c>
    </row>
    <row r="415" spans="1:7" ht="30" x14ac:dyDescent="0.25">
      <c r="A415" s="136" t="s">
        <v>409</v>
      </c>
      <c r="B415" s="136">
        <v>47</v>
      </c>
      <c r="C415" s="146">
        <v>25934</v>
      </c>
      <c r="D415" s="136">
        <v>19</v>
      </c>
      <c r="E415" s="145">
        <v>11809</v>
      </c>
      <c r="F415" s="136">
        <v>995</v>
      </c>
      <c r="G415" s="146">
        <v>38804</v>
      </c>
    </row>
    <row r="416" spans="1:7" ht="45" x14ac:dyDescent="0.25">
      <c r="A416" s="136" t="s">
        <v>410</v>
      </c>
      <c r="B416" s="136">
        <v>13</v>
      </c>
      <c r="C416" s="146">
        <v>5898</v>
      </c>
      <c r="D416" s="136">
        <v>3</v>
      </c>
      <c r="E416" s="145">
        <v>1373</v>
      </c>
      <c r="F416" s="136">
        <v>225</v>
      </c>
      <c r="G416" s="146">
        <v>7512</v>
      </c>
    </row>
    <row r="417" spans="1:7" x14ac:dyDescent="0.25">
      <c r="A417" s="136" t="s">
        <v>411</v>
      </c>
      <c r="B417" s="136">
        <v>66</v>
      </c>
      <c r="C417" s="146">
        <v>19232</v>
      </c>
      <c r="D417" s="136">
        <v>7</v>
      </c>
      <c r="E417" s="145">
        <v>2796</v>
      </c>
      <c r="F417" s="136">
        <v>398</v>
      </c>
      <c r="G417" s="146">
        <v>22499</v>
      </c>
    </row>
    <row r="418" spans="1:7" x14ac:dyDescent="0.25">
      <c r="A418" s="136" t="s">
        <v>412</v>
      </c>
      <c r="B418" s="136">
        <v>56</v>
      </c>
      <c r="C418" s="146">
        <v>19634</v>
      </c>
      <c r="D418" s="136">
        <v>8</v>
      </c>
      <c r="E418" s="145">
        <v>3323</v>
      </c>
      <c r="F418" s="136">
        <v>387</v>
      </c>
      <c r="G418" s="146">
        <v>23408</v>
      </c>
    </row>
    <row r="419" spans="1:7" x14ac:dyDescent="0.25">
      <c r="A419" s="136" t="s">
        <v>413</v>
      </c>
      <c r="B419" s="136">
        <v>39</v>
      </c>
      <c r="C419" s="146">
        <v>20899</v>
      </c>
      <c r="D419" s="136">
        <v>11</v>
      </c>
      <c r="E419" s="145">
        <v>3948</v>
      </c>
      <c r="F419" s="136">
        <v>426</v>
      </c>
      <c r="G419" s="146">
        <v>25323</v>
      </c>
    </row>
    <row r="420" spans="1:7" x14ac:dyDescent="0.25">
      <c r="A420" s="136" t="s">
        <v>414</v>
      </c>
      <c r="B420" s="136">
        <v>181</v>
      </c>
      <c r="C420" s="146">
        <v>72617</v>
      </c>
      <c r="D420" s="136">
        <v>61</v>
      </c>
      <c r="E420" s="145">
        <v>16053</v>
      </c>
      <c r="F420" s="146">
        <v>1674</v>
      </c>
      <c r="G420" s="146">
        <v>90586</v>
      </c>
    </row>
    <row r="421" spans="1:7" ht="30" x14ac:dyDescent="0.25">
      <c r="A421" s="136" t="s">
        <v>415</v>
      </c>
      <c r="B421" s="136">
        <v>8</v>
      </c>
      <c r="C421" s="146">
        <v>2095</v>
      </c>
      <c r="E421" s="136">
        <v>515</v>
      </c>
      <c r="F421" s="136">
        <v>49</v>
      </c>
      <c r="G421" s="146">
        <v>2667</v>
      </c>
    </row>
    <row r="422" spans="1:7" x14ac:dyDescent="0.25">
      <c r="A422" s="136" t="s">
        <v>416</v>
      </c>
      <c r="B422" s="136">
        <v>54</v>
      </c>
      <c r="C422" s="146">
        <v>21093</v>
      </c>
      <c r="D422" s="136">
        <v>13</v>
      </c>
      <c r="E422" s="145">
        <v>3862</v>
      </c>
      <c r="F422" s="136">
        <v>467</v>
      </c>
      <c r="G422" s="146">
        <v>25489</v>
      </c>
    </row>
    <row r="423" spans="1:7" ht="30" x14ac:dyDescent="0.25">
      <c r="A423" s="136" t="s">
        <v>417</v>
      </c>
      <c r="B423" s="136">
        <v>20</v>
      </c>
      <c r="C423" s="146">
        <v>8171</v>
      </c>
      <c r="D423" s="136">
        <v>2</v>
      </c>
      <c r="E423" s="145">
        <v>1386</v>
      </c>
      <c r="F423" s="136">
        <v>233</v>
      </c>
      <c r="G423" s="146">
        <v>9812</v>
      </c>
    </row>
    <row r="424" spans="1:7" x14ac:dyDescent="0.25">
      <c r="A424" s="136" t="s">
        <v>418</v>
      </c>
      <c r="B424" s="136">
        <v>24</v>
      </c>
      <c r="C424" s="146">
        <v>9511</v>
      </c>
      <c r="D424" s="136">
        <v>2</v>
      </c>
      <c r="E424" s="145">
        <v>1446</v>
      </c>
      <c r="F424" s="136">
        <v>258</v>
      </c>
      <c r="G424" s="146">
        <v>11241</v>
      </c>
    </row>
    <row r="425" spans="1:7" ht="45" x14ac:dyDescent="0.25">
      <c r="A425" s="136" t="s">
        <v>419</v>
      </c>
      <c r="B425" s="136">
        <v>49</v>
      </c>
      <c r="C425" s="146">
        <v>22381</v>
      </c>
      <c r="D425" s="136">
        <v>17</v>
      </c>
      <c r="E425" s="145">
        <v>3608</v>
      </c>
      <c r="F425" s="136">
        <v>479</v>
      </c>
      <c r="G425" s="146">
        <v>26534</v>
      </c>
    </row>
    <row r="426" spans="1:7" x14ac:dyDescent="0.25">
      <c r="A426" s="136" t="s">
        <v>502</v>
      </c>
      <c r="B426" s="136">
        <v>22</v>
      </c>
      <c r="C426" s="146">
        <v>13162</v>
      </c>
      <c r="D426" s="136">
        <v>7</v>
      </c>
      <c r="E426" s="145">
        <v>2639</v>
      </c>
      <c r="F426" s="136">
        <v>275</v>
      </c>
      <c r="G426" s="146">
        <v>16105</v>
      </c>
    </row>
    <row r="427" spans="1:7" x14ac:dyDescent="0.25">
      <c r="A427" s="136" t="s">
        <v>503</v>
      </c>
      <c r="B427" s="136">
        <v>78</v>
      </c>
      <c r="C427" s="146">
        <v>34107</v>
      </c>
      <c r="D427" s="136">
        <v>13</v>
      </c>
      <c r="E427" s="145">
        <v>5884</v>
      </c>
      <c r="F427" s="136">
        <v>805</v>
      </c>
      <c r="G427" s="146">
        <v>40887</v>
      </c>
    </row>
    <row r="428" spans="1:7" x14ac:dyDescent="0.25">
      <c r="A428" s="136" t="s">
        <v>420</v>
      </c>
      <c r="B428" s="136">
        <v>7</v>
      </c>
      <c r="C428" s="146">
        <v>3175</v>
      </c>
      <c r="D428" s="136">
        <v>1</v>
      </c>
      <c r="E428">
        <v>611</v>
      </c>
      <c r="F428" s="136">
        <v>103</v>
      </c>
      <c r="G428" s="146">
        <v>3897</v>
      </c>
    </row>
    <row r="429" spans="1:7" ht="30" x14ac:dyDescent="0.25">
      <c r="A429" s="136" t="s">
        <v>421</v>
      </c>
      <c r="B429" s="136">
        <v>22</v>
      </c>
      <c r="C429" s="146">
        <v>12602</v>
      </c>
      <c r="D429" s="136">
        <v>7</v>
      </c>
      <c r="E429" s="145">
        <v>4503</v>
      </c>
      <c r="F429" s="136">
        <v>493</v>
      </c>
      <c r="G429" s="146">
        <v>17627</v>
      </c>
    </row>
    <row r="430" spans="1:7" x14ac:dyDescent="0.25">
      <c r="A430" s="136" t="s">
        <v>422</v>
      </c>
      <c r="B430" s="136">
        <v>82</v>
      </c>
      <c r="C430" s="146">
        <v>31452</v>
      </c>
      <c r="D430" s="136">
        <v>25</v>
      </c>
      <c r="E430" s="145">
        <v>5262</v>
      </c>
      <c r="F430" s="136">
        <v>839</v>
      </c>
      <c r="G430" s="146">
        <v>37660</v>
      </c>
    </row>
    <row r="431" spans="1:7" ht="30" x14ac:dyDescent="0.25">
      <c r="A431" s="136" t="s">
        <v>423</v>
      </c>
      <c r="B431" s="136">
        <v>139</v>
      </c>
      <c r="C431" s="146">
        <v>71068</v>
      </c>
      <c r="D431" s="136">
        <v>25</v>
      </c>
      <c r="E431" s="145">
        <v>11252</v>
      </c>
      <c r="F431" s="146">
        <v>1837</v>
      </c>
      <c r="G431" s="146">
        <v>84321</v>
      </c>
    </row>
    <row r="432" spans="1:7" x14ac:dyDescent="0.25">
      <c r="A432" s="136" t="s">
        <v>424</v>
      </c>
      <c r="B432" s="136">
        <v>46</v>
      </c>
      <c r="C432" s="146">
        <v>18143</v>
      </c>
      <c r="D432" s="136">
        <v>6</v>
      </c>
      <c r="E432" s="145">
        <v>3143</v>
      </c>
      <c r="F432" s="136">
        <v>568</v>
      </c>
      <c r="G432" s="146">
        <v>21906</v>
      </c>
    </row>
    <row r="433" spans="1:7" ht="30" x14ac:dyDescent="0.25">
      <c r="A433" s="136" t="s">
        <v>425</v>
      </c>
      <c r="B433" s="136">
        <v>49</v>
      </c>
      <c r="C433" s="146">
        <v>21030</v>
      </c>
      <c r="D433" s="136">
        <v>4</v>
      </c>
      <c r="E433" s="145">
        <v>3207</v>
      </c>
      <c r="F433" s="136">
        <v>438</v>
      </c>
      <c r="G433" s="146">
        <v>24728</v>
      </c>
    </row>
    <row r="434" spans="1:7" x14ac:dyDescent="0.25">
      <c r="A434" s="136" t="s">
        <v>426</v>
      </c>
      <c r="B434" s="136">
        <v>89</v>
      </c>
      <c r="C434" s="146">
        <v>28084</v>
      </c>
      <c r="D434" s="136">
        <v>6</v>
      </c>
      <c r="E434" s="145">
        <v>4734</v>
      </c>
      <c r="F434" s="136">
        <v>625</v>
      </c>
      <c r="G434" s="146">
        <v>33538</v>
      </c>
    </row>
    <row r="435" spans="1:7" x14ac:dyDescent="0.25">
      <c r="A435" s="136" t="s">
        <v>427</v>
      </c>
      <c r="B435" s="136">
        <v>50</v>
      </c>
      <c r="C435" s="146">
        <v>23517</v>
      </c>
      <c r="D435" s="136">
        <v>10</v>
      </c>
      <c r="E435" s="145">
        <v>3534</v>
      </c>
      <c r="F435" s="136">
        <v>544</v>
      </c>
      <c r="G435" s="146">
        <v>27655</v>
      </c>
    </row>
    <row r="436" spans="1:7" ht="30" x14ac:dyDescent="0.25">
      <c r="A436" s="136" t="s">
        <v>428</v>
      </c>
      <c r="B436" s="136">
        <v>87</v>
      </c>
      <c r="C436" s="146">
        <v>40881</v>
      </c>
      <c r="D436" s="136">
        <v>25</v>
      </c>
      <c r="E436" s="145">
        <v>6718</v>
      </c>
      <c r="F436" s="146">
        <v>1025</v>
      </c>
      <c r="G436" s="146">
        <v>48736</v>
      </c>
    </row>
    <row r="437" spans="1:7" ht="30" x14ac:dyDescent="0.25">
      <c r="A437" s="136" t="s">
        <v>429</v>
      </c>
      <c r="B437" s="136">
        <v>50</v>
      </c>
      <c r="C437" s="146">
        <v>19809</v>
      </c>
      <c r="D437" s="136">
        <v>8</v>
      </c>
      <c r="E437" s="145">
        <v>2971</v>
      </c>
      <c r="F437" s="136">
        <v>448</v>
      </c>
      <c r="G437" s="146">
        <v>23286</v>
      </c>
    </row>
    <row r="438" spans="1:7" ht="30" x14ac:dyDescent="0.25">
      <c r="A438" s="136" t="s">
        <v>430</v>
      </c>
      <c r="B438" s="136">
        <v>3</v>
      </c>
      <c r="C438" s="146">
        <v>2383</v>
      </c>
      <c r="D438" s="136">
        <v>1</v>
      </c>
      <c r="E438">
        <v>492</v>
      </c>
      <c r="F438" s="136">
        <v>53</v>
      </c>
      <c r="G438" s="146">
        <v>2932</v>
      </c>
    </row>
    <row r="439" spans="1:7" ht="30" x14ac:dyDescent="0.25">
      <c r="A439" s="136" t="s">
        <v>431</v>
      </c>
      <c r="B439" s="136">
        <v>49</v>
      </c>
      <c r="C439" s="146">
        <v>16683</v>
      </c>
      <c r="D439" s="136">
        <v>5</v>
      </c>
      <c r="E439" s="145">
        <v>3202</v>
      </c>
      <c r="F439" s="136">
        <v>431</v>
      </c>
      <c r="G439" s="146">
        <v>20370</v>
      </c>
    </row>
    <row r="440" spans="1:7" x14ac:dyDescent="0.25">
      <c r="A440" s="136" t="s">
        <v>432</v>
      </c>
      <c r="B440" s="136">
        <v>6</v>
      </c>
      <c r="C440" s="146">
        <v>1653</v>
      </c>
      <c r="D440" s="136">
        <v>2</v>
      </c>
      <c r="E440">
        <v>321</v>
      </c>
      <c r="F440" s="136">
        <v>47</v>
      </c>
      <c r="G440" s="146">
        <v>2029</v>
      </c>
    </row>
    <row r="441" spans="1:7" ht="30" x14ac:dyDescent="0.25">
      <c r="A441" s="136" t="s">
        <v>433</v>
      </c>
      <c r="B441" s="136">
        <v>45</v>
      </c>
      <c r="C441" s="146">
        <v>17432</v>
      </c>
      <c r="D441" s="136">
        <v>5</v>
      </c>
      <c r="E441" s="145">
        <v>2147</v>
      </c>
      <c r="F441" s="136">
        <v>292</v>
      </c>
      <c r="G441" s="146">
        <v>19921</v>
      </c>
    </row>
    <row r="442" spans="1:7" x14ac:dyDescent="0.25">
      <c r="A442" s="136" t="s">
        <v>434</v>
      </c>
      <c r="B442" s="136">
        <v>420</v>
      </c>
      <c r="C442" s="146">
        <v>53928</v>
      </c>
      <c r="D442" s="136">
        <v>14</v>
      </c>
      <c r="E442" s="145">
        <v>10554</v>
      </c>
      <c r="F442" s="146">
        <v>1765</v>
      </c>
      <c r="G442" s="146">
        <v>66681</v>
      </c>
    </row>
    <row r="443" spans="1:7" x14ac:dyDescent="0.25">
      <c r="A443" s="136" t="s">
        <v>435</v>
      </c>
      <c r="B443" s="136">
        <v>22</v>
      </c>
      <c r="C443" s="146">
        <v>10410</v>
      </c>
      <c r="D443" s="136">
        <v>10</v>
      </c>
      <c r="E443" s="145">
        <v>1956</v>
      </c>
      <c r="F443" s="136">
        <v>255</v>
      </c>
      <c r="G443" s="146">
        <v>12653</v>
      </c>
    </row>
    <row r="444" spans="1:7" x14ac:dyDescent="0.25">
      <c r="A444" s="136" t="s">
        <v>436</v>
      </c>
      <c r="B444" s="136">
        <v>6</v>
      </c>
      <c r="C444" s="146">
        <v>2581</v>
      </c>
      <c r="E444" s="136">
        <v>416</v>
      </c>
      <c r="F444" s="136">
        <v>58</v>
      </c>
      <c r="G444" s="146">
        <v>3061</v>
      </c>
    </row>
    <row r="445" spans="1:7" x14ac:dyDescent="0.25">
      <c r="A445" s="136" t="s">
        <v>437</v>
      </c>
      <c r="B445" s="136">
        <v>7</v>
      </c>
      <c r="C445" s="146">
        <v>4977</v>
      </c>
      <c r="E445" s="146">
        <v>2219</v>
      </c>
      <c r="F445" s="136">
        <v>223</v>
      </c>
      <c r="G445" s="146">
        <v>7426</v>
      </c>
    </row>
    <row r="446" spans="1:7" x14ac:dyDescent="0.25">
      <c r="A446" s="136" t="s">
        <v>504</v>
      </c>
      <c r="B446" s="136">
        <v>56</v>
      </c>
      <c r="C446" s="146">
        <v>28379</v>
      </c>
      <c r="D446" s="136">
        <v>13</v>
      </c>
      <c r="E446" s="145">
        <v>7415</v>
      </c>
      <c r="F446" s="136">
        <v>772</v>
      </c>
      <c r="G446" s="146">
        <v>36635</v>
      </c>
    </row>
    <row r="447" spans="1:7" x14ac:dyDescent="0.25">
      <c r="A447" s="136"/>
      <c r="G447" s="143"/>
    </row>
    <row r="448" spans="1:7" x14ac:dyDescent="0.25">
      <c r="A448" s="136" t="s">
        <v>28</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438</v>
      </c>
      <c r="B454" s="154"/>
      <c r="C454" s="154"/>
      <c r="D454" s="154"/>
      <c r="E454" s="154"/>
      <c r="F454" s="155"/>
    </row>
    <row r="455" spans="1:7" x14ac:dyDescent="0.25">
      <c r="A455" s="136"/>
      <c r="B455" s="136"/>
      <c r="C455" s="136"/>
      <c r="F455" s="143"/>
    </row>
    <row r="456" spans="1:7" ht="30" x14ac:dyDescent="0.25">
      <c r="A456" s="136"/>
      <c r="B456" s="136" t="s">
        <v>505</v>
      </c>
      <c r="C456" s="136"/>
      <c r="F456" s="143"/>
    </row>
    <row r="457" spans="1:7" x14ac:dyDescent="0.25">
      <c r="A457" s="136" t="s">
        <v>130</v>
      </c>
      <c r="B457" s="136" t="s">
        <v>484</v>
      </c>
      <c r="C457" s="136" t="s">
        <v>485</v>
      </c>
      <c r="D457" s="136" t="s">
        <v>486</v>
      </c>
      <c r="E457" s="136" t="s">
        <v>487</v>
      </c>
      <c r="F457" s="136" t="s">
        <v>488</v>
      </c>
      <c r="G457" s="136" t="s">
        <v>28</v>
      </c>
    </row>
    <row r="458" spans="1:7" x14ac:dyDescent="0.25">
      <c r="A458" s="136"/>
      <c r="B458" s="136"/>
      <c r="C458" s="136"/>
      <c r="G458" s="143"/>
    </row>
    <row r="459" spans="1:7" x14ac:dyDescent="0.25">
      <c r="A459" s="136" t="s">
        <v>439</v>
      </c>
      <c r="B459" s="136">
        <v>2</v>
      </c>
      <c r="C459" s="146">
        <v>1040</v>
      </c>
      <c r="D459" s="136">
        <v>1</v>
      </c>
      <c r="E459" s="136">
        <v>159</v>
      </c>
      <c r="F459" s="136">
        <v>13</v>
      </c>
      <c r="G459" s="146">
        <v>1215</v>
      </c>
    </row>
    <row r="460" spans="1:7" x14ac:dyDescent="0.25">
      <c r="A460" s="136" t="s">
        <v>440</v>
      </c>
      <c r="B460" s="136">
        <v>9</v>
      </c>
      <c r="C460" s="146">
        <v>2600</v>
      </c>
      <c r="D460" s="136">
        <v>2</v>
      </c>
      <c r="E460" s="136">
        <v>421</v>
      </c>
      <c r="F460" s="136">
        <v>81</v>
      </c>
      <c r="G460" s="146">
        <v>3113</v>
      </c>
    </row>
    <row r="461" spans="1:7" x14ac:dyDescent="0.25">
      <c r="A461" s="136" t="s">
        <v>441</v>
      </c>
      <c r="B461" s="136">
        <v>22</v>
      </c>
      <c r="C461" s="146">
        <v>8352</v>
      </c>
      <c r="D461" s="136">
        <v>8</v>
      </c>
      <c r="E461" s="146">
        <v>1465</v>
      </c>
      <c r="F461" s="136">
        <v>187</v>
      </c>
      <c r="G461" s="146">
        <v>10034</v>
      </c>
    </row>
    <row r="462" spans="1:7" ht="30" x14ac:dyDescent="0.25">
      <c r="A462" s="136" t="s">
        <v>442</v>
      </c>
      <c r="B462" s="136">
        <v>5</v>
      </c>
      <c r="C462" s="146">
        <v>1993</v>
      </c>
      <c r="D462" s="136">
        <v>1</v>
      </c>
      <c r="E462" s="136">
        <v>282</v>
      </c>
      <c r="F462" s="136">
        <v>48</v>
      </c>
      <c r="G462" s="146">
        <v>2329</v>
      </c>
    </row>
    <row r="463" spans="1:7" x14ac:dyDescent="0.25">
      <c r="A463" s="136" t="s">
        <v>443</v>
      </c>
      <c r="B463" s="136">
        <v>17</v>
      </c>
      <c r="C463" s="146">
        <v>3454</v>
      </c>
      <c r="D463" s="136">
        <v>5</v>
      </c>
      <c r="E463" s="136">
        <v>556</v>
      </c>
      <c r="F463" s="136">
        <v>66</v>
      </c>
      <c r="G463" s="146">
        <v>4098</v>
      </c>
    </row>
    <row r="464" spans="1:7" x14ac:dyDescent="0.25">
      <c r="A464" s="136" t="s">
        <v>444</v>
      </c>
      <c r="B464" s="136">
        <v>10</v>
      </c>
      <c r="C464" s="146">
        <v>3912</v>
      </c>
      <c r="D464" s="136">
        <v>2</v>
      </c>
      <c r="E464" s="136">
        <v>567</v>
      </c>
      <c r="F464" s="136">
        <v>98</v>
      </c>
      <c r="G464" s="146">
        <v>4589</v>
      </c>
    </row>
    <row r="465" spans="1:7" x14ac:dyDescent="0.25">
      <c r="A465" s="136" t="s">
        <v>445</v>
      </c>
      <c r="B465" s="136">
        <v>7</v>
      </c>
      <c r="C465" s="146">
        <v>1486</v>
      </c>
      <c r="D465" s="136">
        <v>1</v>
      </c>
      <c r="E465" s="136">
        <v>250</v>
      </c>
      <c r="F465" s="136">
        <v>24</v>
      </c>
      <c r="G465" s="146">
        <v>1768</v>
      </c>
    </row>
    <row r="466" spans="1:7" x14ac:dyDescent="0.25">
      <c r="A466" s="136" t="s">
        <v>446</v>
      </c>
      <c r="B466" s="136">
        <v>19</v>
      </c>
      <c r="C466" s="146">
        <v>4468</v>
      </c>
      <c r="D466" s="136">
        <v>2</v>
      </c>
      <c r="E466" s="136">
        <v>955</v>
      </c>
      <c r="F466" s="136">
        <v>104</v>
      </c>
      <c r="G466" s="146">
        <v>5548</v>
      </c>
    </row>
    <row r="467" spans="1:7" ht="30" x14ac:dyDescent="0.25">
      <c r="A467" s="136" t="s">
        <v>447</v>
      </c>
      <c r="B467" s="136">
        <v>12</v>
      </c>
      <c r="C467" s="146">
        <v>6294</v>
      </c>
      <c r="D467" s="136">
        <v>5</v>
      </c>
      <c r="E467" s="146">
        <v>1104</v>
      </c>
      <c r="F467" s="136">
        <v>155</v>
      </c>
      <c r="G467" s="146">
        <v>7570</v>
      </c>
    </row>
    <row r="468" spans="1:7" x14ac:dyDescent="0.25">
      <c r="A468" s="136" t="s">
        <v>448</v>
      </c>
      <c r="B468" s="136">
        <v>20</v>
      </c>
      <c r="C468" s="146">
        <v>6998</v>
      </c>
      <c r="D468" s="136">
        <v>11</v>
      </c>
      <c r="E468" s="146">
        <v>1159</v>
      </c>
      <c r="F468" s="136">
        <v>156</v>
      </c>
      <c r="G468" s="146">
        <v>8344</v>
      </c>
    </row>
    <row r="469" spans="1:7" ht="60" x14ac:dyDescent="0.25">
      <c r="A469" s="136" t="s">
        <v>508</v>
      </c>
      <c r="B469" s="136">
        <v>13</v>
      </c>
      <c r="C469" s="146">
        <v>3804</v>
      </c>
      <c r="D469" s="136">
        <v>1</v>
      </c>
      <c r="E469" s="136">
        <v>560</v>
      </c>
      <c r="F469" s="136">
        <v>88</v>
      </c>
      <c r="G469" s="146">
        <v>4466</v>
      </c>
    </row>
    <row r="470" spans="1:7" x14ac:dyDescent="0.25">
      <c r="A470" s="136" t="s">
        <v>450</v>
      </c>
      <c r="B470" s="136">
        <v>97</v>
      </c>
      <c r="C470" s="146">
        <v>27778</v>
      </c>
      <c r="D470" s="136">
        <v>29</v>
      </c>
      <c r="E470" s="146">
        <v>4913</v>
      </c>
      <c r="F470" s="136">
        <v>600</v>
      </c>
      <c r="G470" s="146">
        <v>33417</v>
      </c>
    </row>
    <row r="471" spans="1:7" x14ac:dyDescent="0.25">
      <c r="A471" s="136"/>
      <c r="G471" s="143"/>
    </row>
    <row r="472" spans="1:7" x14ac:dyDescent="0.25">
      <c r="A472" s="136" t="s">
        <v>28</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506</v>
      </c>
      <c r="B478" s="136" t="s">
        <v>507</v>
      </c>
      <c r="C478" s="136">
        <v>15</v>
      </c>
      <c r="D478" s="154"/>
      <c r="E478" s="154"/>
      <c r="F478" s="155"/>
    </row>
    <row r="479" spans="1:7" x14ac:dyDescent="0.25">
      <c r="A479" s="136"/>
      <c r="B479" s="136"/>
      <c r="C479" s="136"/>
      <c r="D479" s="136"/>
      <c r="F479" s="143"/>
    </row>
    <row r="480" spans="1:7" ht="30" x14ac:dyDescent="0.25">
      <c r="A480" s="136"/>
      <c r="B480" s="136"/>
      <c r="C480" s="136" t="s">
        <v>505</v>
      </c>
      <c r="D480" s="136"/>
      <c r="F480" s="143"/>
    </row>
    <row r="481" spans="1:7" x14ac:dyDescent="0.25">
      <c r="A481" s="136" t="s">
        <v>130</v>
      </c>
      <c r="B481" s="136" t="s">
        <v>484</v>
      </c>
      <c r="C481" s="136" t="s">
        <v>485</v>
      </c>
      <c r="D481" s="136" t="s">
        <v>486</v>
      </c>
      <c r="E481" s="136" t="s">
        <v>487</v>
      </c>
      <c r="F481" s="136" t="s">
        <v>488</v>
      </c>
      <c r="G481" s="136" t="s">
        <v>28</v>
      </c>
    </row>
    <row r="482" spans="1:7" x14ac:dyDescent="0.25">
      <c r="A482" s="136"/>
      <c r="B482" s="136"/>
      <c r="C482" s="136"/>
      <c r="G482" s="143"/>
    </row>
    <row r="483" spans="1:7" x14ac:dyDescent="0.25">
      <c r="A483" s="136" t="s">
        <v>451</v>
      </c>
      <c r="B483" s="136">
        <v>109</v>
      </c>
      <c r="C483" s="146">
        <v>34285</v>
      </c>
      <c r="D483" s="136">
        <v>16</v>
      </c>
      <c r="E483" s="146">
        <v>5811</v>
      </c>
      <c r="F483" s="136">
        <v>828</v>
      </c>
      <c r="G483" s="146">
        <v>41049</v>
      </c>
    </row>
    <row r="484" spans="1:7" ht="30" x14ac:dyDescent="0.25">
      <c r="A484" s="136" t="s">
        <v>452</v>
      </c>
      <c r="B484" s="136"/>
      <c r="C484" s="136">
        <v>75</v>
      </c>
      <c r="E484" s="136">
        <v>15</v>
      </c>
      <c r="F484" s="136">
        <v>1</v>
      </c>
      <c r="G484" s="136">
        <v>91</v>
      </c>
    </row>
    <row r="485" spans="1:7" ht="30" x14ac:dyDescent="0.25">
      <c r="A485" s="136" t="s">
        <v>453</v>
      </c>
      <c r="B485" s="136">
        <v>1</v>
      </c>
      <c r="C485" s="136">
        <v>62</v>
      </c>
      <c r="E485" s="136">
        <v>21</v>
      </c>
      <c r="G485" s="136">
        <v>84</v>
      </c>
    </row>
    <row r="486" spans="1:7" x14ac:dyDescent="0.25">
      <c r="A486" s="136" t="s">
        <v>454</v>
      </c>
      <c r="B486" s="136"/>
      <c r="C486" s="136">
        <v>218</v>
      </c>
      <c r="E486" s="136">
        <v>58</v>
      </c>
      <c r="F486" s="136">
        <v>8</v>
      </c>
      <c r="G486" s="136">
        <v>284</v>
      </c>
    </row>
    <row r="487" spans="1:7" x14ac:dyDescent="0.25">
      <c r="A487" s="136" t="s">
        <v>28</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506</v>
      </c>
      <c r="B492" s="136" t="s">
        <v>507</v>
      </c>
      <c r="C492" s="136">
        <v>16</v>
      </c>
      <c r="D492" s="154"/>
      <c r="E492" s="154"/>
      <c r="F492" s="155"/>
    </row>
    <row r="493" spans="1:7" x14ac:dyDescent="0.25">
      <c r="A493" s="136"/>
      <c r="B493" s="136"/>
      <c r="C493" s="136"/>
      <c r="D493" s="136"/>
      <c r="F493" s="143"/>
    </row>
    <row r="494" spans="1:7" ht="30" x14ac:dyDescent="0.25">
      <c r="A494" s="136"/>
      <c r="B494" s="136"/>
      <c r="C494" s="136" t="s">
        <v>505</v>
      </c>
      <c r="D494" s="136"/>
      <c r="F494" s="143"/>
    </row>
    <row r="495" spans="1:7" x14ac:dyDescent="0.25">
      <c r="A495" s="136" t="s">
        <v>130</v>
      </c>
      <c r="B495" s="136" t="s">
        <v>484</v>
      </c>
      <c r="C495" s="136" t="s">
        <v>485</v>
      </c>
      <c r="D495" s="136" t="s">
        <v>486</v>
      </c>
      <c r="E495" s="136" t="s">
        <v>487</v>
      </c>
      <c r="F495" s="136" t="s">
        <v>488</v>
      </c>
      <c r="G495" s="136" t="s">
        <v>28</v>
      </c>
    </row>
    <row r="496" spans="1:7" x14ac:dyDescent="0.25">
      <c r="A496" s="136"/>
      <c r="B496" s="136"/>
      <c r="C496" s="136"/>
      <c r="G496" s="143"/>
    </row>
    <row r="497" spans="1:7" x14ac:dyDescent="0.25">
      <c r="A497" s="136" t="s">
        <v>455</v>
      </c>
      <c r="B497" s="136">
        <v>13</v>
      </c>
      <c r="C497" s="146">
        <v>4610</v>
      </c>
      <c r="D497" s="136">
        <v>1</v>
      </c>
      <c r="E497" s="146">
        <v>1258</v>
      </c>
      <c r="F497" s="136">
        <v>132</v>
      </c>
      <c r="G497" s="146">
        <v>6014</v>
      </c>
    </row>
    <row r="498" spans="1:7" x14ac:dyDescent="0.25">
      <c r="A498" s="136" t="s">
        <v>456</v>
      </c>
      <c r="B498" s="136">
        <v>107</v>
      </c>
      <c r="C498" s="146">
        <v>35823</v>
      </c>
      <c r="D498" s="136">
        <v>9</v>
      </c>
      <c r="E498" s="146">
        <v>8805</v>
      </c>
      <c r="F498" s="136">
        <v>912</v>
      </c>
      <c r="G498" s="146">
        <v>45656</v>
      </c>
    </row>
    <row r="499" spans="1:7" ht="30" x14ac:dyDescent="0.25">
      <c r="A499" s="136" t="s">
        <v>457</v>
      </c>
      <c r="B499" s="136">
        <v>18</v>
      </c>
      <c r="C499" s="146">
        <v>4008</v>
      </c>
      <c r="E499" s="136">
        <v>891</v>
      </c>
      <c r="F499" s="136">
        <v>106</v>
      </c>
      <c r="G499" s="146">
        <v>5023</v>
      </c>
    </row>
    <row r="500" spans="1:7" ht="30" x14ac:dyDescent="0.25">
      <c r="A500" s="136" t="s">
        <v>458</v>
      </c>
      <c r="B500" s="136">
        <v>5</v>
      </c>
      <c r="C500" s="146">
        <v>1172</v>
      </c>
      <c r="E500" s="136">
        <v>277</v>
      </c>
      <c r="F500" s="136">
        <v>24</v>
      </c>
      <c r="G500" s="146">
        <v>1478</v>
      </c>
    </row>
    <row r="501" spans="1:7" x14ac:dyDescent="0.25">
      <c r="A501" s="136" t="s">
        <v>459</v>
      </c>
      <c r="B501" s="136">
        <v>5</v>
      </c>
      <c r="C501" s="146">
        <v>3897</v>
      </c>
      <c r="E501" s="136">
        <v>822</v>
      </c>
      <c r="F501" s="136">
        <v>74</v>
      </c>
      <c r="G501" s="146">
        <v>4798</v>
      </c>
    </row>
    <row r="502" spans="1:7" x14ac:dyDescent="0.25">
      <c r="A502" s="136" t="s">
        <v>460</v>
      </c>
      <c r="B502" s="136">
        <v>18</v>
      </c>
      <c r="C502" s="146">
        <v>4370</v>
      </c>
      <c r="D502" s="136">
        <v>1</v>
      </c>
      <c r="E502" s="146">
        <v>1431</v>
      </c>
      <c r="F502" s="136">
        <v>147</v>
      </c>
      <c r="G502" s="146">
        <v>5967</v>
      </c>
    </row>
    <row r="503" spans="1:7" x14ac:dyDescent="0.25">
      <c r="A503" s="136" t="s">
        <v>461</v>
      </c>
      <c r="B503" s="136">
        <v>10</v>
      </c>
      <c r="C503" s="146">
        <v>2703</v>
      </c>
      <c r="D503" s="136">
        <v>1</v>
      </c>
      <c r="E503" s="136">
        <v>848</v>
      </c>
      <c r="F503" s="136">
        <v>73</v>
      </c>
      <c r="G503" s="146">
        <v>3635</v>
      </c>
    </row>
    <row r="504" spans="1:7" x14ac:dyDescent="0.25">
      <c r="A504" s="136" t="s">
        <v>462</v>
      </c>
      <c r="B504" s="136">
        <v>3</v>
      </c>
      <c r="C504" s="146">
        <v>1384</v>
      </c>
      <c r="E504" s="136">
        <v>494</v>
      </c>
      <c r="F504" s="136">
        <v>28</v>
      </c>
      <c r="G504" s="146">
        <v>1909</v>
      </c>
    </row>
    <row r="505" spans="1:7" x14ac:dyDescent="0.25">
      <c r="A505" s="136" t="s">
        <v>463</v>
      </c>
      <c r="B505" s="136">
        <v>2</v>
      </c>
      <c r="C505" s="146">
        <v>1686</v>
      </c>
      <c r="E505" s="136">
        <v>551</v>
      </c>
      <c r="F505" s="136">
        <v>51</v>
      </c>
      <c r="G505" s="146">
        <v>2290</v>
      </c>
    </row>
    <row r="506" spans="1:7" x14ac:dyDescent="0.25">
      <c r="A506" s="136" t="s">
        <v>464</v>
      </c>
      <c r="B506" s="136">
        <v>5</v>
      </c>
      <c r="C506" s="146">
        <v>2316</v>
      </c>
      <c r="E506" s="136">
        <v>695</v>
      </c>
      <c r="F506" s="136">
        <v>81</v>
      </c>
      <c r="G506" s="146">
        <v>3097</v>
      </c>
    </row>
    <row r="507" spans="1:7" ht="30" x14ac:dyDescent="0.25">
      <c r="A507" s="136" t="s">
        <v>465</v>
      </c>
      <c r="B507" s="136">
        <v>4</v>
      </c>
      <c r="C507" s="146">
        <v>1278</v>
      </c>
      <c r="E507" s="136">
        <v>260</v>
      </c>
      <c r="F507" s="136">
        <v>26</v>
      </c>
      <c r="G507" s="146">
        <v>1568</v>
      </c>
    </row>
    <row r="508" spans="1:7" x14ac:dyDescent="0.25">
      <c r="A508" s="136" t="s">
        <v>466</v>
      </c>
      <c r="B508" s="136">
        <v>15</v>
      </c>
      <c r="C508" s="146">
        <v>4075</v>
      </c>
      <c r="D508" s="136">
        <v>3</v>
      </c>
      <c r="E508" s="136">
        <v>910</v>
      </c>
      <c r="F508" s="136">
        <v>132</v>
      </c>
      <c r="G508" s="146">
        <v>5135</v>
      </c>
    </row>
    <row r="509" spans="1:7" x14ac:dyDescent="0.25">
      <c r="A509" s="136" t="s">
        <v>467</v>
      </c>
      <c r="B509" s="136">
        <v>9</v>
      </c>
      <c r="C509" s="146">
        <v>2735</v>
      </c>
      <c r="E509" s="136">
        <v>605</v>
      </c>
      <c r="F509" s="136">
        <v>57</v>
      </c>
      <c r="G509" s="146">
        <v>3406</v>
      </c>
    </row>
    <row r="510" spans="1:7" x14ac:dyDescent="0.25">
      <c r="A510" s="136" t="s">
        <v>468</v>
      </c>
      <c r="B510" s="136">
        <v>4</v>
      </c>
      <c r="C510" s="146">
        <v>1532</v>
      </c>
      <c r="D510" s="136">
        <v>1</v>
      </c>
      <c r="E510" s="136">
        <v>322</v>
      </c>
      <c r="F510" s="136">
        <v>37</v>
      </c>
      <c r="G510" s="146">
        <v>1896</v>
      </c>
    </row>
    <row r="511" spans="1:7" ht="30" x14ac:dyDescent="0.25">
      <c r="A511" s="136" t="s">
        <v>469</v>
      </c>
      <c r="B511" s="136">
        <v>34</v>
      </c>
      <c r="C511" s="146">
        <v>11662</v>
      </c>
      <c r="D511" s="136">
        <v>6</v>
      </c>
      <c r="E511" s="146">
        <v>2801</v>
      </c>
      <c r="F511" s="136">
        <v>253</v>
      </c>
      <c r="G511" s="146">
        <v>14756</v>
      </c>
    </row>
    <row r="512" spans="1:7" ht="30" x14ac:dyDescent="0.25">
      <c r="A512" s="136" t="s">
        <v>470</v>
      </c>
      <c r="B512" s="136">
        <v>2</v>
      </c>
      <c r="C512" s="136">
        <v>915</v>
      </c>
      <c r="E512" s="136">
        <v>208</v>
      </c>
      <c r="F512" s="136">
        <v>24</v>
      </c>
      <c r="G512" s="146">
        <v>1149</v>
      </c>
    </row>
    <row r="513" spans="1:7" ht="30" x14ac:dyDescent="0.25">
      <c r="A513" s="136" t="s">
        <v>471</v>
      </c>
      <c r="B513" s="136">
        <v>16</v>
      </c>
      <c r="C513" s="146">
        <v>3685</v>
      </c>
      <c r="E513" s="146">
        <v>1109</v>
      </c>
      <c r="F513" s="136">
        <v>141</v>
      </c>
      <c r="G513" s="146">
        <v>4951</v>
      </c>
    </row>
    <row r="514" spans="1:7" ht="30" x14ac:dyDescent="0.25">
      <c r="A514" s="136" t="s">
        <v>472</v>
      </c>
      <c r="B514" s="136">
        <v>10</v>
      </c>
      <c r="C514" s="146">
        <v>2256</v>
      </c>
      <c r="D514" s="136">
        <v>1</v>
      </c>
      <c r="E514" s="136">
        <v>614</v>
      </c>
      <c r="F514" s="136">
        <v>62</v>
      </c>
      <c r="G514" s="146">
        <v>2943</v>
      </c>
    </row>
    <row r="515" spans="1:7" x14ac:dyDescent="0.25">
      <c r="A515" s="136" t="s">
        <v>473</v>
      </c>
      <c r="B515" s="136">
        <v>5</v>
      </c>
      <c r="C515" s="146">
        <v>1271</v>
      </c>
      <c r="D515" s="136">
        <v>1</v>
      </c>
      <c r="E515" s="136">
        <v>240</v>
      </c>
      <c r="F515" s="136">
        <v>33</v>
      </c>
      <c r="G515" s="146">
        <v>1550</v>
      </c>
    </row>
    <row r="516" spans="1:7" x14ac:dyDescent="0.25">
      <c r="A516" s="136" t="s">
        <v>474</v>
      </c>
      <c r="B516" s="136">
        <v>11</v>
      </c>
      <c r="C516" s="146">
        <v>3744</v>
      </c>
      <c r="E516" s="136">
        <v>854</v>
      </c>
      <c r="F516" s="136">
        <v>95</v>
      </c>
      <c r="G516" s="146">
        <v>4704</v>
      </c>
    </row>
    <row r="517" spans="1:7" x14ac:dyDescent="0.25">
      <c r="A517" s="136" t="s">
        <v>475</v>
      </c>
      <c r="B517" s="136">
        <v>3</v>
      </c>
      <c r="C517" s="146">
        <v>2785</v>
      </c>
      <c r="D517" s="136">
        <v>1</v>
      </c>
      <c r="E517" s="136">
        <v>811</v>
      </c>
      <c r="F517" s="136">
        <v>75</v>
      </c>
      <c r="G517" s="146">
        <v>3675</v>
      </c>
    </row>
    <row r="518" spans="1:7" x14ac:dyDescent="0.25">
      <c r="A518" s="136" t="s">
        <v>28</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61"/>
  <sheetViews>
    <sheetView showGridLines="0" workbookViewId="0"/>
    <sheetView workbookViewId="1">
      <selection activeCell="B18" sqref="B18"/>
    </sheetView>
  </sheetViews>
  <sheetFormatPr baseColWidth="10" defaultRowHeight="15" x14ac:dyDescent="0.25"/>
  <cols>
    <col min="1" max="1" width="14.42578125" customWidth="1"/>
  </cols>
  <sheetData>
    <row r="1" spans="2:13" x14ac:dyDescent="0.25">
      <c r="B1" s="388" t="s">
        <v>715</v>
      </c>
      <c r="C1" s="389"/>
      <c r="D1" s="389"/>
      <c r="E1" s="389"/>
      <c r="F1" s="389"/>
      <c r="G1" s="389"/>
      <c r="H1" s="389"/>
      <c r="I1" s="389"/>
      <c r="J1" s="389"/>
      <c r="K1" s="389"/>
      <c r="L1" s="389"/>
      <c r="M1" s="389"/>
    </row>
    <row r="2" spans="2:13" x14ac:dyDescent="0.25">
      <c r="B2" s="389"/>
      <c r="C2" s="389"/>
      <c r="D2" s="389"/>
      <c r="E2" s="389"/>
      <c r="F2" s="389"/>
      <c r="G2" s="389"/>
      <c r="H2" s="389"/>
      <c r="I2" s="389"/>
      <c r="J2" s="389"/>
      <c r="K2" s="389"/>
      <c r="L2" s="389"/>
      <c r="M2" s="389"/>
    </row>
    <row r="3" spans="2:13" x14ac:dyDescent="0.25">
      <c r="B3" s="389"/>
      <c r="C3" s="389"/>
      <c r="D3" s="389"/>
      <c r="E3" s="389"/>
      <c r="F3" s="389"/>
      <c r="G3" s="389"/>
      <c r="H3" s="389"/>
      <c r="I3" s="389"/>
      <c r="J3" s="389"/>
      <c r="K3" s="389"/>
      <c r="L3" s="389"/>
      <c r="M3" s="389"/>
    </row>
    <row r="4" spans="2:13" x14ac:dyDescent="0.25">
      <c r="B4" s="389"/>
      <c r="C4" s="389"/>
      <c r="D4" s="389"/>
      <c r="E4" s="389"/>
      <c r="F4" s="389"/>
      <c r="G4" s="389"/>
      <c r="H4" s="389"/>
      <c r="I4" s="389"/>
      <c r="J4" s="389"/>
      <c r="K4" s="389"/>
      <c r="L4" s="389"/>
      <c r="M4" s="389"/>
    </row>
    <row r="5" spans="2:13" x14ac:dyDescent="0.25">
      <c r="B5" s="389"/>
      <c r="C5" s="389"/>
      <c r="D5" s="389"/>
      <c r="E5" s="389"/>
      <c r="F5" s="389"/>
      <c r="G5" s="389"/>
      <c r="H5" s="389"/>
      <c r="I5" s="389"/>
      <c r="J5" s="389"/>
      <c r="K5" s="389"/>
      <c r="L5" s="389"/>
      <c r="M5" s="389"/>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19" t="s">
        <v>714</v>
      </c>
      <c r="C9" s="420"/>
      <c r="D9" s="420"/>
      <c r="E9" s="420"/>
      <c r="F9" s="420"/>
      <c r="G9" s="420"/>
      <c r="H9" s="420"/>
      <c r="I9" s="420"/>
      <c r="J9" s="420"/>
      <c r="K9" s="420"/>
      <c r="L9" s="420"/>
      <c r="M9" s="421"/>
    </row>
    <row r="10" spans="2:13" ht="15.75" x14ac:dyDescent="0.25">
      <c r="B10" s="395" t="s">
        <v>856</v>
      </c>
      <c r="C10" s="395"/>
      <c r="D10" s="395"/>
      <c r="E10" s="395"/>
      <c r="F10" s="395"/>
      <c r="G10" s="395"/>
      <c r="H10" s="395"/>
      <c r="I10" s="395"/>
      <c r="J10" s="395"/>
      <c r="K10" s="395"/>
      <c r="L10" s="395"/>
      <c r="M10" s="395"/>
    </row>
    <row r="11" spans="2:13" x14ac:dyDescent="0.25">
      <c r="B11" s="390"/>
      <c r="C11" s="390"/>
      <c r="D11" s="390"/>
      <c r="E11" s="390"/>
      <c r="F11" s="390"/>
      <c r="G11" s="390"/>
      <c r="H11" s="390"/>
      <c r="I11" s="390"/>
      <c r="J11" s="390"/>
      <c r="K11" s="390"/>
      <c r="L11" s="390"/>
      <c r="M11" s="390"/>
    </row>
    <row r="12" spans="2:13" ht="18.75" x14ac:dyDescent="0.3">
      <c r="B12" s="402" t="s">
        <v>776</v>
      </c>
      <c r="C12" s="402"/>
      <c r="D12" s="402"/>
      <c r="E12" s="402"/>
      <c r="F12" s="402"/>
      <c r="G12" s="402"/>
      <c r="H12" s="402"/>
      <c r="I12" s="402"/>
      <c r="J12" s="402"/>
      <c r="K12" s="402"/>
      <c r="L12" s="402"/>
      <c r="M12" s="402"/>
    </row>
    <row r="13" spans="2:13" x14ac:dyDescent="0.25">
      <c r="B13" s="391" t="s">
        <v>821</v>
      </c>
      <c r="C13" s="391"/>
      <c r="D13" s="391"/>
      <c r="E13" s="391"/>
      <c r="F13" s="391"/>
      <c r="G13" s="391"/>
      <c r="H13" s="391"/>
      <c r="I13" s="391"/>
      <c r="J13" s="391"/>
      <c r="K13" s="391"/>
      <c r="L13" s="391"/>
      <c r="M13" s="391"/>
    </row>
    <row r="14" spans="2:13" x14ac:dyDescent="0.25">
      <c r="B14" s="391" t="s">
        <v>822</v>
      </c>
      <c r="C14" s="391"/>
      <c r="D14" s="391"/>
      <c r="E14" s="391"/>
      <c r="F14" s="391"/>
      <c r="G14" s="391"/>
      <c r="H14" s="391"/>
      <c r="I14" s="391"/>
      <c r="J14" s="391"/>
      <c r="K14" s="391"/>
      <c r="L14" s="391"/>
      <c r="M14" s="391"/>
    </row>
    <row r="15" spans="2:13" ht="18.75" x14ac:dyDescent="0.3">
      <c r="B15" s="402" t="s">
        <v>777</v>
      </c>
      <c r="C15" s="402"/>
      <c r="D15" s="402"/>
      <c r="E15" s="402"/>
      <c r="F15" s="402"/>
      <c r="G15" s="402"/>
      <c r="H15" s="402"/>
      <c r="I15" s="402"/>
      <c r="J15" s="402"/>
      <c r="K15" s="402"/>
      <c r="L15" s="402"/>
      <c r="M15" s="402"/>
    </row>
    <row r="16" spans="2:13" x14ac:dyDescent="0.25">
      <c r="B16" s="391" t="s">
        <v>823</v>
      </c>
      <c r="C16" s="391"/>
      <c r="D16" s="391"/>
      <c r="E16" s="391"/>
      <c r="F16" s="391"/>
      <c r="G16" s="391"/>
      <c r="H16" s="391"/>
      <c r="I16" s="391"/>
      <c r="J16" s="391"/>
      <c r="K16" s="391"/>
      <c r="L16" s="391"/>
      <c r="M16" s="391"/>
    </row>
    <row r="17" spans="2:13" x14ac:dyDescent="0.25">
      <c r="B17" s="391" t="s">
        <v>824</v>
      </c>
      <c r="C17" s="391"/>
      <c r="D17" s="391"/>
      <c r="E17" s="391"/>
      <c r="F17" s="391"/>
      <c r="G17" s="391"/>
      <c r="H17" s="391"/>
      <c r="I17" s="391"/>
      <c r="J17" s="391"/>
      <c r="K17" s="391"/>
      <c r="L17" s="391"/>
      <c r="M17" s="391"/>
    </row>
    <row r="18" spans="2:13" x14ac:dyDescent="0.25">
      <c r="B18" s="391" t="s">
        <v>878</v>
      </c>
      <c r="C18" s="391"/>
      <c r="D18" s="391"/>
      <c r="E18" s="391"/>
      <c r="F18" s="391"/>
      <c r="G18" s="391"/>
      <c r="H18" s="391"/>
      <c r="I18" s="391"/>
      <c r="J18" s="391"/>
      <c r="K18" s="391"/>
      <c r="L18" s="391"/>
      <c r="M18" s="391"/>
    </row>
    <row r="19" spans="2:13" x14ac:dyDescent="0.25">
      <c r="B19" s="391" t="s">
        <v>879</v>
      </c>
      <c r="C19" s="391"/>
      <c r="D19" s="391"/>
      <c r="E19" s="391"/>
      <c r="F19" s="391"/>
      <c r="G19" s="391"/>
      <c r="H19" s="391"/>
      <c r="I19" s="391"/>
      <c r="J19" s="391"/>
      <c r="K19" s="391"/>
      <c r="L19" s="391"/>
      <c r="M19" s="391"/>
    </row>
    <row r="20" spans="2:13" x14ac:dyDescent="0.25">
      <c r="B20" s="391" t="s">
        <v>880</v>
      </c>
      <c r="C20" s="391"/>
      <c r="D20" s="391"/>
      <c r="E20" s="391"/>
      <c r="F20" s="391"/>
      <c r="G20" s="391"/>
      <c r="H20" s="391"/>
      <c r="I20" s="391"/>
      <c r="J20" s="391"/>
      <c r="K20" s="391"/>
      <c r="L20" s="391"/>
      <c r="M20" s="391"/>
    </row>
    <row r="21" spans="2:13" x14ac:dyDescent="0.25">
      <c r="B21" s="391" t="s">
        <v>881</v>
      </c>
      <c r="C21" s="391"/>
      <c r="D21" s="391"/>
      <c r="E21" s="391"/>
      <c r="F21" s="391"/>
      <c r="G21" s="391"/>
      <c r="H21" s="391"/>
      <c r="I21" s="391"/>
      <c r="J21" s="391"/>
      <c r="K21" s="391"/>
      <c r="L21" s="391"/>
      <c r="M21" s="391"/>
    </row>
    <row r="22" spans="2:13" x14ac:dyDescent="0.25">
      <c r="B22" s="391" t="s">
        <v>882</v>
      </c>
      <c r="C22" s="391"/>
      <c r="D22" s="391"/>
      <c r="E22" s="391"/>
      <c r="F22" s="391"/>
      <c r="G22" s="391"/>
      <c r="H22" s="391"/>
      <c r="I22" s="391"/>
      <c r="J22" s="391"/>
      <c r="K22" s="391"/>
      <c r="L22" s="391"/>
      <c r="M22" s="391"/>
    </row>
    <row r="23" spans="2:13" x14ac:dyDescent="0.25">
      <c r="B23" s="391" t="s">
        <v>883</v>
      </c>
      <c r="C23" s="391"/>
      <c r="D23" s="391"/>
      <c r="E23" s="391"/>
      <c r="F23" s="391"/>
      <c r="G23" s="391"/>
      <c r="H23" s="391"/>
      <c r="I23" s="391"/>
      <c r="J23" s="391"/>
      <c r="K23" s="391"/>
      <c r="L23" s="391"/>
      <c r="M23" s="391"/>
    </row>
    <row r="24" spans="2:13" x14ac:dyDescent="0.25">
      <c r="B24" s="391" t="s">
        <v>884</v>
      </c>
      <c r="C24" s="391"/>
      <c r="D24" s="391"/>
      <c r="E24" s="391"/>
      <c r="F24" s="391"/>
      <c r="G24" s="391"/>
      <c r="H24" s="391"/>
      <c r="I24" s="391"/>
      <c r="J24" s="391"/>
      <c r="K24" s="391"/>
      <c r="L24" s="391"/>
      <c r="M24" s="391"/>
    </row>
    <row r="25" spans="2:13" x14ac:dyDescent="0.25">
      <c r="B25" s="391" t="s">
        <v>885</v>
      </c>
      <c r="C25" s="391"/>
      <c r="D25" s="391"/>
      <c r="E25" s="391"/>
      <c r="F25" s="391"/>
      <c r="G25" s="391"/>
      <c r="H25" s="391"/>
      <c r="I25" s="391"/>
      <c r="J25" s="391"/>
      <c r="K25" s="391"/>
      <c r="L25" s="391"/>
      <c r="M25" s="391"/>
    </row>
    <row r="26" spans="2:13" x14ac:dyDescent="0.25">
      <c r="B26" s="391" t="s">
        <v>886</v>
      </c>
      <c r="C26" s="391"/>
      <c r="D26" s="391"/>
      <c r="E26" s="391"/>
      <c r="F26" s="391"/>
      <c r="G26" s="391"/>
      <c r="H26" s="391"/>
      <c r="I26" s="391"/>
      <c r="J26" s="391"/>
      <c r="K26" s="391"/>
      <c r="L26" s="391"/>
      <c r="M26" s="391"/>
    </row>
    <row r="27" spans="2:13" x14ac:dyDescent="0.25">
      <c r="B27" s="391" t="s">
        <v>887</v>
      </c>
      <c r="C27" s="391"/>
      <c r="D27" s="391"/>
      <c r="E27" s="391"/>
      <c r="F27" s="391"/>
      <c r="G27" s="391"/>
      <c r="H27" s="391"/>
      <c r="I27" s="391"/>
      <c r="J27" s="391"/>
      <c r="K27" s="391"/>
      <c r="L27" s="391"/>
      <c r="M27" s="391"/>
    </row>
    <row r="28" spans="2:13" x14ac:dyDescent="0.25">
      <c r="B28" s="391" t="s">
        <v>888</v>
      </c>
      <c r="C28" s="391"/>
      <c r="D28" s="391"/>
      <c r="E28" s="391"/>
      <c r="F28" s="391"/>
      <c r="G28" s="391"/>
      <c r="H28" s="391"/>
      <c r="I28" s="391"/>
      <c r="J28" s="391"/>
      <c r="K28" s="391"/>
      <c r="L28" s="391"/>
      <c r="M28" s="391"/>
    </row>
    <row r="29" spans="2:13" x14ac:dyDescent="0.25">
      <c r="B29" s="391" t="s">
        <v>889</v>
      </c>
      <c r="C29" s="391"/>
      <c r="D29" s="391"/>
      <c r="E29" s="391"/>
      <c r="F29" s="391"/>
      <c r="G29" s="391"/>
      <c r="H29" s="391"/>
      <c r="I29" s="391"/>
      <c r="J29" s="391"/>
      <c r="K29" s="391"/>
      <c r="L29" s="391"/>
      <c r="M29" s="391"/>
    </row>
    <row r="30" spans="2:13" x14ac:dyDescent="0.25">
      <c r="B30" s="391" t="s">
        <v>890</v>
      </c>
      <c r="C30" s="391"/>
      <c r="D30" s="391"/>
      <c r="E30" s="391"/>
      <c r="F30" s="391"/>
      <c r="G30" s="391"/>
      <c r="H30" s="391"/>
      <c r="I30" s="391"/>
      <c r="J30" s="391"/>
      <c r="K30" s="391"/>
      <c r="L30" s="391"/>
      <c r="M30" s="391"/>
    </row>
    <row r="31" spans="2:13" x14ac:dyDescent="0.25">
      <c r="B31" s="391" t="s">
        <v>891</v>
      </c>
      <c r="C31" s="391"/>
      <c r="D31" s="391"/>
      <c r="E31" s="391"/>
      <c r="F31" s="391"/>
      <c r="G31" s="391"/>
      <c r="H31" s="391"/>
      <c r="I31" s="391"/>
      <c r="J31" s="391"/>
      <c r="K31" s="391"/>
      <c r="L31" s="391"/>
      <c r="M31" s="391"/>
    </row>
    <row r="32" spans="2:13" x14ac:dyDescent="0.25">
      <c r="B32" s="391" t="s">
        <v>892</v>
      </c>
      <c r="C32" s="391"/>
      <c r="D32" s="391"/>
      <c r="E32" s="391"/>
      <c r="F32" s="391"/>
      <c r="G32" s="391"/>
      <c r="H32" s="391"/>
      <c r="I32" s="391"/>
      <c r="J32" s="391"/>
      <c r="K32" s="391"/>
      <c r="L32" s="391"/>
      <c r="M32" s="391"/>
    </row>
    <row r="33" spans="2:13" x14ac:dyDescent="0.25">
      <c r="B33" s="391" t="s">
        <v>893</v>
      </c>
      <c r="C33" s="391"/>
      <c r="D33" s="391"/>
      <c r="E33" s="391"/>
      <c r="F33" s="391"/>
      <c r="G33" s="391"/>
      <c r="H33" s="391"/>
      <c r="I33" s="391"/>
      <c r="J33" s="391"/>
      <c r="K33" s="391"/>
      <c r="L33" s="391"/>
      <c r="M33" s="391"/>
    </row>
    <row r="34" spans="2:13" ht="18.75" x14ac:dyDescent="0.3">
      <c r="B34" s="402" t="s">
        <v>778</v>
      </c>
      <c r="C34" s="402"/>
      <c r="D34" s="402"/>
      <c r="E34" s="402"/>
      <c r="F34" s="402"/>
      <c r="G34" s="402"/>
      <c r="H34" s="402"/>
      <c r="I34" s="402"/>
      <c r="J34" s="402"/>
      <c r="K34" s="402"/>
      <c r="L34" s="402"/>
      <c r="M34" s="402"/>
    </row>
    <row r="35" spans="2:13" x14ac:dyDescent="0.25">
      <c r="B35" s="391" t="s">
        <v>825</v>
      </c>
      <c r="C35" s="391"/>
      <c r="D35" s="391"/>
      <c r="E35" s="391"/>
      <c r="F35" s="391"/>
      <c r="G35" s="391"/>
      <c r="H35" s="391"/>
      <c r="I35" s="391"/>
      <c r="J35" s="391"/>
      <c r="K35" s="391"/>
      <c r="L35" s="391"/>
      <c r="M35" s="391"/>
    </row>
    <row r="36" spans="2:13" x14ac:dyDescent="0.25">
      <c r="B36" s="391" t="s">
        <v>826</v>
      </c>
      <c r="C36" s="391"/>
      <c r="D36" s="391"/>
      <c r="E36" s="391"/>
      <c r="F36" s="391"/>
      <c r="G36" s="391"/>
      <c r="H36" s="391"/>
      <c r="I36" s="391"/>
      <c r="J36" s="391"/>
      <c r="K36" s="391"/>
      <c r="L36" s="391"/>
      <c r="M36" s="391"/>
    </row>
    <row r="37" spans="2:13" ht="18.75" x14ac:dyDescent="0.3">
      <c r="B37" s="402" t="s">
        <v>779</v>
      </c>
      <c r="C37" s="402"/>
      <c r="D37" s="402"/>
      <c r="E37" s="402"/>
      <c r="F37" s="402"/>
      <c r="G37" s="402"/>
      <c r="H37" s="402"/>
      <c r="I37" s="402"/>
      <c r="J37" s="402"/>
      <c r="K37" s="402"/>
      <c r="L37" s="402"/>
      <c r="M37" s="402"/>
    </row>
    <row r="38" spans="2:13" x14ac:dyDescent="0.25">
      <c r="B38" s="391" t="s">
        <v>827</v>
      </c>
      <c r="C38" s="391"/>
      <c r="D38" s="391"/>
      <c r="E38" s="391"/>
      <c r="F38" s="391"/>
      <c r="G38" s="391"/>
      <c r="H38" s="391"/>
      <c r="I38" s="391"/>
      <c r="J38" s="391"/>
      <c r="K38" s="391"/>
      <c r="L38" s="391"/>
      <c r="M38" s="391"/>
    </row>
    <row r="39" spans="2:13" x14ac:dyDescent="0.25">
      <c r="B39" s="391" t="s">
        <v>828</v>
      </c>
      <c r="C39" s="391"/>
      <c r="D39" s="391"/>
      <c r="E39" s="391"/>
      <c r="F39" s="391"/>
      <c r="G39" s="391"/>
      <c r="H39" s="391"/>
      <c r="I39" s="391"/>
      <c r="J39" s="391"/>
      <c r="K39" s="391"/>
      <c r="L39" s="391"/>
      <c r="M39" s="391"/>
    </row>
    <row r="40" spans="2:13" x14ac:dyDescent="0.25">
      <c r="B40" s="391" t="s">
        <v>878</v>
      </c>
      <c r="C40" s="391"/>
      <c r="D40" s="391"/>
      <c r="E40" s="391"/>
      <c r="F40" s="391"/>
      <c r="G40" s="391"/>
      <c r="H40" s="391"/>
      <c r="I40" s="391"/>
      <c r="J40" s="391"/>
      <c r="K40" s="391"/>
      <c r="L40" s="391"/>
      <c r="M40" s="391"/>
    </row>
    <row r="41" spans="2:13" x14ac:dyDescent="0.25">
      <c r="B41" s="391" t="s">
        <v>879</v>
      </c>
      <c r="C41" s="391"/>
      <c r="D41" s="391"/>
      <c r="E41" s="391"/>
      <c r="F41" s="391"/>
      <c r="G41" s="391"/>
      <c r="H41" s="391"/>
      <c r="I41" s="391"/>
      <c r="J41" s="391"/>
      <c r="K41" s="391"/>
      <c r="L41" s="391"/>
      <c r="M41" s="391"/>
    </row>
    <row r="42" spans="2:13" x14ac:dyDescent="0.25">
      <c r="B42" s="391" t="s">
        <v>880</v>
      </c>
      <c r="C42" s="391"/>
      <c r="D42" s="391"/>
      <c r="E42" s="391"/>
      <c r="F42" s="391"/>
      <c r="G42" s="391"/>
      <c r="H42" s="391"/>
      <c r="I42" s="391"/>
      <c r="J42" s="391"/>
      <c r="K42" s="391"/>
      <c r="L42" s="391"/>
      <c r="M42" s="391"/>
    </row>
    <row r="43" spans="2:13" x14ac:dyDescent="0.25">
      <c r="B43" s="391" t="s">
        <v>881</v>
      </c>
      <c r="C43" s="391"/>
      <c r="D43" s="391"/>
      <c r="E43" s="391"/>
      <c r="F43" s="391"/>
      <c r="G43" s="391"/>
      <c r="H43" s="391"/>
      <c r="I43" s="391"/>
      <c r="J43" s="391"/>
      <c r="K43" s="391"/>
      <c r="L43" s="391"/>
      <c r="M43" s="391"/>
    </row>
    <row r="44" spans="2:13" x14ac:dyDescent="0.25">
      <c r="B44" s="391" t="s">
        <v>882</v>
      </c>
      <c r="C44" s="391"/>
      <c r="D44" s="391"/>
      <c r="E44" s="391"/>
      <c r="F44" s="391"/>
      <c r="G44" s="391"/>
      <c r="H44" s="391"/>
      <c r="I44" s="391"/>
      <c r="J44" s="391"/>
      <c r="K44" s="391"/>
      <c r="L44" s="391"/>
      <c r="M44" s="391"/>
    </row>
    <row r="45" spans="2:13" x14ac:dyDescent="0.25">
      <c r="B45" s="391" t="s">
        <v>883</v>
      </c>
      <c r="C45" s="391"/>
      <c r="D45" s="391"/>
      <c r="E45" s="391"/>
      <c r="F45" s="391"/>
      <c r="G45" s="391"/>
      <c r="H45" s="391"/>
      <c r="I45" s="391"/>
      <c r="J45" s="391"/>
      <c r="K45" s="391"/>
      <c r="L45" s="391"/>
      <c r="M45" s="391"/>
    </row>
    <row r="46" spans="2:13" x14ac:dyDescent="0.25">
      <c r="B46" s="391" t="s">
        <v>884</v>
      </c>
      <c r="C46" s="391"/>
      <c r="D46" s="391"/>
      <c r="E46" s="391"/>
      <c r="F46" s="391"/>
      <c r="G46" s="391"/>
      <c r="H46" s="391"/>
      <c r="I46" s="391"/>
      <c r="J46" s="391"/>
      <c r="K46" s="391"/>
      <c r="L46" s="391"/>
      <c r="M46" s="391"/>
    </row>
    <row r="47" spans="2:13" x14ac:dyDescent="0.25">
      <c r="B47" s="391" t="s">
        <v>885</v>
      </c>
      <c r="C47" s="391"/>
      <c r="D47" s="391"/>
      <c r="E47" s="391"/>
      <c r="F47" s="391"/>
      <c r="G47" s="391"/>
      <c r="H47" s="391"/>
      <c r="I47" s="391"/>
      <c r="J47" s="391"/>
      <c r="K47" s="391"/>
      <c r="L47" s="391"/>
      <c r="M47" s="391"/>
    </row>
    <row r="48" spans="2:13" x14ac:dyDescent="0.25">
      <c r="B48" s="391" t="s">
        <v>886</v>
      </c>
      <c r="C48" s="391"/>
      <c r="D48" s="391"/>
      <c r="E48" s="391"/>
      <c r="F48" s="391"/>
      <c r="G48" s="391"/>
      <c r="H48" s="391"/>
      <c r="I48" s="391"/>
      <c r="J48" s="391"/>
      <c r="K48" s="391"/>
      <c r="L48" s="391"/>
      <c r="M48" s="391"/>
    </row>
    <row r="49" spans="2:13" x14ac:dyDescent="0.25">
      <c r="B49" s="391" t="s">
        <v>887</v>
      </c>
      <c r="C49" s="391"/>
      <c r="D49" s="391"/>
      <c r="E49" s="391"/>
      <c r="F49" s="391"/>
      <c r="G49" s="391"/>
      <c r="H49" s="391"/>
      <c r="I49" s="391"/>
      <c r="J49" s="391"/>
      <c r="K49" s="391"/>
      <c r="L49" s="391"/>
      <c r="M49" s="391"/>
    </row>
    <row r="50" spans="2:13" x14ac:dyDescent="0.25">
      <c r="B50" s="391" t="s">
        <v>888</v>
      </c>
      <c r="C50" s="391"/>
      <c r="D50" s="391"/>
      <c r="E50" s="391"/>
      <c r="F50" s="391"/>
      <c r="G50" s="391"/>
      <c r="H50" s="391"/>
      <c r="I50" s="391"/>
      <c r="J50" s="391"/>
      <c r="K50" s="391"/>
      <c r="L50" s="391"/>
      <c r="M50" s="391"/>
    </row>
    <row r="51" spans="2:13" x14ac:dyDescent="0.25">
      <c r="B51" s="391" t="s">
        <v>889</v>
      </c>
      <c r="C51" s="391"/>
      <c r="D51" s="391"/>
      <c r="E51" s="391"/>
      <c r="F51" s="391"/>
      <c r="G51" s="391"/>
      <c r="H51" s="391"/>
      <c r="I51" s="391"/>
      <c r="J51" s="391"/>
      <c r="K51" s="391"/>
      <c r="L51" s="391"/>
      <c r="M51" s="391"/>
    </row>
    <row r="52" spans="2:13" x14ac:dyDescent="0.25">
      <c r="B52" s="391" t="s">
        <v>890</v>
      </c>
      <c r="C52" s="391"/>
      <c r="D52" s="391"/>
      <c r="E52" s="391"/>
      <c r="F52" s="391"/>
      <c r="G52" s="391"/>
      <c r="H52" s="391"/>
      <c r="I52" s="391"/>
      <c r="J52" s="391"/>
      <c r="K52" s="391"/>
      <c r="L52" s="391"/>
      <c r="M52" s="391"/>
    </row>
    <row r="53" spans="2:13" x14ac:dyDescent="0.25">
      <c r="B53" s="391" t="s">
        <v>891</v>
      </c>
      <c r="C53" s="391"/>
      <c r="D53" s="391"/>
      <c r="E53" s="391"/>
      <c r="F53" s="391"/>
      <c r="G53" s="391"/>
      <c r="H53" s="391"/>
      <c r="I53" s="391"/>
      <c r="J53" s="391"/>
      <c r="K53" s="391"/>
      <c r="L53" s="391"/>
      <c r="M53" s="391"/>
    </row>
    <row r="54" spans="2:13" x14ac:dyDescent="0.25">
      <c r="B54" s="391" t="s">
        <v>892</v>
      </c>
      <c r="C54" s="391"/>
      <c r="D54" s="391"/>
      <c r="E54" s="391"/>
      <c r="F54" s="391"/>
      <c r="G54" s="391"/>
      <c r="H54" s="391"/>
      <c r="I54" s="391"/>
      <c r="J54" s="391"/>
      <c r="K54" s="391"/>
      <c r="L54" s="391"/>
      <c r="M54" s="391"/>
    </row>
    <row r="55" spans="2:13" x14ac:dyDescent="0.25">
      <c r="B55" s="391" t="s">
        <v>893</v>
      </c>
      <c r="C55" s="391"/>
      <c r="D55" s="391"/>
      <c r="E55" s="391"/>
      <c r="F55" s="391"/>
      <c r="G55" s="391"/>
      <c r="H55" s="391"/>
      <c r="I55" s="391"/>
      <c r="J55" s="391"/>
      <c r="K55" s="391"/>
      <c r="L55" s="391"/>
      <c r="M55" s="391"/>
    </row>
    <row r="56" spans="2:13" ht="18.75" x14ac:dyDescent="0.3">
      <c r="B56" s="402" t="s">
        <v>780</v>
      </c>
      <c r="C56" s="402"/>
      <c r="D56" s="402"/>
      <c r="E56" s="402"/>
      <c r="F56" s="402"/>
      <c r="G56" s="402"/>
      <c r="H56" s="402"/>
      <c r="I56" s="402"/>
      <c r="J56" s="402"/>
      <c r="K56" s="402"/>
      <c r="L56" s="402"/>
      <c r="M56" s="402"/>
    </row>
    <row r="57" spans="2:13" x14ac:dyDescent="0.25">
      <c r="B57" s="391" t="s">
        <v>829</v>
      </c>
      <c r="C57" s="391"/>
      <c r="D57" s="391"/>
      <c r="E57" s="391"/>
      <c r="F57" s="391"/>
      <c r="G57" s="391"/>
      <c r="H57" s="391"/>
      <c r="I57" s="391"/>
      <c r="J57" s="391"/>
      <c r="K57" s="391"/>
      <c r="L57" s="391"/>
      <c r="M57" s="391"/>
    </row>
    <row r="58" spans="2:13" x14ac:dyDescent="0.25">
      <c r="B58" s="391" t="s">
        <v>830</v>
      </c>
      <c r="C58" s="391"/>
      <c r="D58" s="391"/>
      <c r="E58" s="391"/>
      <c r="F58" s="391"/>
      <c r="G58" s="391"/>
      <c r="H58" s="391"/>
      <c r="I58" s="391"/>
      <c r="J58" s="391"/>
      <c r="K58" s="391"/>
      <c r="L58" s="391"/>
      <c r="M58" s="391"/>
    </row>
    <row r="59" spans="2:13" ht="18.75" x14ac:dyDescent="0.3">
      <c r="B59" s="402" t="s">
        <v>781</v>
      </c>
      <c r="C59" s="402"/>
      <c r="D59" s="402"/>
      <c r="E59" s="402"/>
      <c r="F59" s="402"/>
      <c r="G59" s="402"/>
      <c r="H59" s="402"/>
      <c r="I59" s="402"/>
      <c r="J59" s="402"/>
      <c r="K59" s="402"/>
      <c r="L59" s="402"/>
      <c r="M59" s="402"/>
    </row>
    <row r="60" spans="2:13" x14ac:dyDescent="0.25">
      <c r="B60" s="391" t="s">
        <v>831</v>
      </c>
      <c r="C60" s="391"/>
      <c r="D60" s="391"/>
      <c r="E60" s="391"/>
      <c r="F60" s="391"/>
      <c r="G60" s="391"/>
      <c r="H60" s="391"/>
      <c r="I60" s="391"/>
      <c r="J60" s="391"/>
      <c r="K60" s="391"/>
      <c r="L60" s="391"/>
      <c r="M60" s="391"/>
    </row>
    <row r="61" spans="2:13" ht="15" customHeight="1" x14ac:dyDescent="0.25">
      <c r="B61" s="391" t="s">
        <v>832</v>
      </c>
      <c r="C61" s="391"/>
      <c r="D61" s="391"/>
      <c r="E61" s="391"/>
      <c r="F61" s="391"/>
      <c r="G61" s="391"/>
      <c r="H61" s="391"/>
      <c r="I61" s="391"/>
      <c r="J61" s="391"/>
      <c r="K61" s="391"/>
      <c r="L61" s="391"/>
      <c r="M61" s="391"/>
    </row>
  </sheetData>
  <mergeCells count="54">
    <mergeCell ref="B54:M54"/>
    <mergeCell ref="B55:M55"/>
    <mergeCell ref="B49:M49"/>
    <mergeCell ref="B50:M50"/>
    <mergeCell ref="B51:M51"/>
    <mergeCell ref="B52:M52"/>
    <mergeCell ref="B53:M53"/>
    <mergeCell ref="B44:M44"/>
    <mergeCell ref="B45:M45"/>
    <mergeCell ref="B46:M46"/>
    <mergeCell ref="B47:M47"/>
    <mergeCell ref="B48:M48"/>
    <mergeCell ref="B32:M32"/>
    <mergeCell ref="B33:M33"/>
    <mergeCell ref="B41:M41"/>
    <mergeCell ref="B42:M42"/>
    <mergeCell ref="B43:M43"/>
    <mergeCell ref="B59:M59"/>
    <mergeCell ref="B18:M18"/>
    <mergeCell ref="B40:M40"/>
    <mergeCell ref="B19:M19"/>
    <mergeCell ref="B20:M20"/>
    <mergeCell ref="B21:M21"/>
    <mergeCell ref="B22:M22"/>
    <mergeCell ref="B23:M23"/>
    <mergeCell ref="B24:M24"/>
    <mergeCell ref="B25:M25"/>
    <mergeCell ref="B26:M26"/>
    <mergeCell ref="B27:M27"/>
    <mergeCell ref="B28:M28"/>
    <mergeCell ref="B29:M29"/>
    <mergeCell ref="B30:M30"/>
    <mergeCell ref="B31:M31"/>
    <mergeCell ref="B14:M14"/>
    <mergeCell ref="B61:M61"/>
    <mergeCell ref="B12:M12"/>
    <mergeCell ref="B15:M15"/>
    <mergeCell ref="B34:M34"/>
    <mergeCell ref="B37:M37"/>
    <mergeCell ref="B56:M56"/>
    <mergeCell ref="B16:M16"/>
    <mergeCell ref="B17:M17"/>
    <mergeCell ref="B35:M35"/>
    <mergeCell ref="B36:M36"/>
    <mergeCell ref="B38:M38"/>
    <mergeCell ref="B39:M39"/>
    <mergeCell ref="B60:M60"/>
    <mergeCell ref="B57:M57"/>
    <mergeCell ref="B58:M58"/>
    <mergeCell ref="B1:M5"/>
    <mergeCell ref="B9:M9"/>
    <mergeCell ref="B10:M10"/>
    <mergeCell ref="B11:M11"/>
    <mergeCell ref="B13:M13"/>
  </mergeCells>
  <hyperlinks>
    <hyperlink ref="B12:M12" location="'2.1'!A1" display="1. Solicitudes del Pilar No Contributivo a nivel nacional" xr:uid="{F0CD6D55-03C5-4097-8FC6-8DA15D5744FA}"/>
    <hyperlink ref="B15:M15" location="'2.2'!A1" display="2. Solicitudes del Pilar No Contributivo a nivel regional y comunal" xr:uid="{0BBF9435-F7CB-42B5-8F75-FEA728774609}"/>
    <hyperlink ref="B34:M34" location="'2.3'!A1" display="3. Solicitudes concedidas del Pilar No Contributivo a nivel nacional" xr:uid="{340C2423-79D6-43C2-A2B5-127138CE9936}"/>
    <hyperlink ref="B37:M37" location="'2.4'!A1" display="4. Solicitudes concedidas del Pilar No Contributivo a nivel regional y comunal" xr:uid="{7B3299D4-47F4-4DE4-B44C-A457DEF87006}"/>
    <hyperlink ref="B56:M56" location="'2.5'!A1" display="5. Solicitudes Rechazadas del Pilar No Contributivo" xr:uid="{B37B303C-0DE9-41FB-BCC9-4E833886EC68}"/>
    <hyperlink ref="B59:M59" location="'2.6'!A1" display="6. Tasas de concesión de solicitudes" xr:uid="{BEE9BADB-C12C-4A5A-906B-10B97D1B5DFC}"/>
    <hyperlink ref="B13" location="'Solicitudes Nacional'!B4" display="i. Resumen trimestral de número y estado de solicitudes en T4 2022, según tipo y sexo" xr:uid="{32B0199E-2C78-4F93-AAE1-A9F202516397}"/>
    <hyperlink ref="B14" location="'Solicitudes Nacional'!B62" display="iii. Serie resumen de solicitudes de beneficios, por tipo y sexo" xr:uid="{0BF9EFC0-25A9-4BF7-89DA-2BD1E7BBFCDE}"/>
    <hyperlink ref="B16" location="'Solicitudes Regional y Comunal'!B4" display="i. Resumen trimestral de solicitudes por región en T4 2022, según tipo y sexo" xr:uid="{55971BC8-47CE-4A6B-9386-4B147711FF71}"/>
    <hyperlink ref="B17" location="'Solicitudes Regional y Comunal'!B52" display="iii. Número de solicitudes por comuna en T4 2022, según tipo y sexo" xr:uid="{017D5618-5210-4130-8BCB-5E6CF2723ADE}"/>
    <hyperlink ref="B35" location="'Concesiones Nacional'!B4" display="i. Resumen trimestral de concesiones de beneficios del Pilar No Contributivo (Incluye Ex Pasis) en T4 2022" xr:uid="{4DF11B12-F624-4F0D-B7E1-9E02B2BCB962}"/>
    <hyperlink ref="B36" location="'Concesiones Nacional'!B36" display="iii. Serie resumen de solicitudes concedidas de beneficios, por tipo y sexo" xr:uid="{B940E59A-B84B-4ABD-A392-5B10F8003B45}"/>
    <hyperlink ref="B38" location="'Concesiones Regional y Comunal'!B4" display="i. Resumen trimestral de solicitudes concedidas por región en T4 2022, según tipo y sexo" xr:uid="{4E1C7BA1-DA4A-40BB-BDDA-24F594962EA8}"/>
    <hyperlink ref="B39" location="'Concesiones Regional y Comunal'!B52" display="iii. Número de solicitudes concedidas por comuna en T4 2022, según tipo y sexo" xr:uid="{543044E5-8413-4ADC-B635-C10E9D896E27}"/>
    <hyperlink ref="B57" location="Rechazadas!B4" display="i. Resumen trimestral de solicitudes rechazadas de beneficios en T4 2022" xr:uid="{0C4F5F9F-0F26-4177-8719-C6525142F16D}"/>
    <hyperlink ref="B58" location="Rechazadas!B57" display="iii. Serie resumen de solicitudes rechazadas de beneficios, por tipo y sexo" xr:uid="{F7002CF2-ABC1-4730-A583-63EAADD39A53}"/>
    <hyperlink ref="B60" location="'Tasas de concesión'!B4" display="i. Resumen trimestral de tasas de concesiones de beneficios por región en T4 2022, según tipo y sexo" xr:uid="{F34F6B34-46FD-4B68-9569-E8B3082C925C}"/>
    <hyperlink ref="B61" location="'Tasas de concesión'!B52" display="iii. Serie resumen de tasas de concesión de solicitudes por tipo y sexo" xr:uid="{7649460E-220E-488E-BA93-A54175799C5A}"/>
    <hyperlink ref="B13:M13" location="'2.1'!B4" display="i. Resumen trimestral de número y estado de solicitudes, según tipo de beneficio y sexo" xr:uid="{F9840F9C-17B3-447A-A8A0-856E3BCFF962}"/>
    <hyperlink ref="B14:M14" location="'2.1'!B27" display="ii. Serie resumen de solicitudes de beneficios, por tipo de beneficio y sexo" xr:uid="{DBF3D3B9-66FD-48EE-B6B0-D35D3D01F240}"/>
    <hyperlink ref="B16:M16" location="'2.2'!B4" display="i. Resumen trimestral de solicitudes por región en T4 2022, según tipo y sexo" xr:uid="{BAB2D28D-8101-4853-A1D1-E324CEF9DBFC}"/>
    <hyperlink ref="B17:M17" location="'2.2'!B29" display="ii. Número de solicitudes trimestrales por comuna, según tipo de beneficio y sexo" xr:uid="{D01281FE-EF48-4FBA-8CEC-5F67E2CB8641}"/>
    <hyperlink ref="B35:M35" location="'2.3'!B4" display="i. Resumen trimestral de concesiones de beneficios del Pilar No Contributivo" xr:uid="{10B80E02-079D-4A59-8AFA-8AA35497416C}"/>
    <hyperlink ref="B36:M36" location="'2.3'!B16" display="ii. Serie resumen de solicitudes concedidas de beneficios, por tipo de beneficio y sexo" xr:uid="{6790C714-06FD-4571-9E21-FA18F2254C4C}"/>
    <hyperlink ref="B38:M38" location="'2.4'!B4" display="i. Resumen trimestral de solicitudes concedidas por región, según tipo de beneficio y sexo" xr:uid="{6380B1F6-A73E-4188-812D-A6046C1BFEF2}"/>
    <hyperlink ref="B39:M39" location="'2.4'!B29" display="ii. Número de solicitudes concedidas trimestrales por comuna, según tipo de beneficio y sexo" xr:uid="{D978FCDD-0BD7-4043-82AB-A88A975C32B8}"/>
    <hyperlink ref="B57:M57" location="'2.5'!B4" display="i. Resumen trimestral de solicitudes de beneficios rechazadas" xr:uid="{A58F2DDA-DE46-49A7-926C-961E27F66792}"/>
    <hyperlink ref="B58:M58" location="'2.5'!B28" display="ii. Serie resumen de solicitudes de beneficios rechazadas, por tipo de beneficio y sexo" xr:uid="{BE9870C7-2E6D-4F57-99E1-9C35453CF827}"/>
    <hyperlink ref="B60:M60" location="'2.6'!B4" display="i. Resumen trimestral de tasas de concesiones de beneficios por región, según tipo de beneficio y sexo" xr:uid="{181F72DD-945F-4E5F-B1EC-629B4A4FB9B4}"/>
    <hyperlink ref="B61:M61" location="'2.6'!B29" display="ii. Serie resumen de tasas de concesión de solicitudes por tipo de beneficio y sexo" xr:uid="{3F3ED18E-C3A4-4CC2-9A7C-4498ABBF89A5}"/>
    <hyperlink ref="B18:M18" location="'2.2'!B32" display="   Región de Arica y Parinacota" xr:uid="{092248F3-144E-4BA1-B6DE-1F9E857AB56B}"/>
    <hyperlink ref="B19:M19" location="'2.2'!B44" display="   Región de Tarapacá" xr:uid="{ECB2B07B-D8B2-45BD-8B24-4B00BEE41FBE}"/>
    <hyperlink ref="B20:M20" location="'2.2'!B59" display="   Región de Antofagasta" xr:uid="{1759C82E-009A-4CFC-80B4-F301D5B32EDF}"/>
    <hyperlink ref="B21:M21" location="'2.2'!B76" display="   Región de Atacama" xr:uid="{7D343CC8-51F4-435F-A61C-91CD1C4A2312}"/>
    <hyperlink ref="B22:M22" location="'2.2'!B93" display="   Región de Coquimbo" xr:uid="{B90D3761-B165-40C4-A089-B285865C41B5}"/>
    <hyperlink ref="B23:M23" location="'2.2'!B116" display="   Región de Valparaíso" xr:uid="{C75180C4-4D92-4A21-94DC-D6FA78DAC8CC}"/>
    <hyperlink ref="B24:M24" location="'2.2'!B162" display="   Región Metropolitana de Santiago" xr:uid="{DB04CAE9-B18F-431B-B684-71020BC68933}"/>
    <hyperlink ref="B25:M25" location="'2.2'!B222" display="   Región del Libertador General Bernardo O’Higgins" xr:uid="{11726AE1-6812-4D58-8298-382243D7D0D2}"/>
    <hyperlink ref="B26:M26" location="'2.2'!B263" display="   Región del Maule" xr:uid="{C8D4A653-311F-4E59-989E-E9B9E06C6A5C}"/>
    <hyperlink ref="B27:M27" location="'2.2'!B302" display="   Región del Ñuble" xr:uid="{A86CA090-B98E-4D75-B685-1DF9924F5D3D}"/>
    <hyperlink ref="B28:M28" location="'2.2'!B332" display="   Región del Bio-bío" xr:uid="{40B88621-D17E-4F87-A89D-712F763D08D9}"/>
    <hyperlink ref="B29:M29" location="'2.2'!B373" display="   Región de La Araucanía" xr:uid="{8BCEDA3A-E00D-426E-B50B-4A461C42724C}"/>
    <hyperlink ref="B30:M30" location="'2.2'!B414" display="   Región de Los Ríos" xr:uid="{6BFB83B1-C369-48BB-8DF4-315F0E4A1BF5}"/>
    <hyperlink ref="B31:M31" location="'2.2'!B435" display="   Región de Los Lagos" xr:uid="{01153CBD-1836-4534-9543-EC6BDFF3C8B5}"/>
    <hyperlink ref="B32:M32" location="'2.2'!B473" display="   Región Aysén del General Carlos Ibáñez del Campo" xr:uid="{66B27D0B-64B3-4322-AFDC-4F48F6502E5B}"/>
    <hyperlink ref="B33:M33" location="'2.2'!B490" display="   Región de Magallanes y Antártica Chilena" xr:uid="{6CC0E2E9-BFED-4D7E-86A6-9E3E7455A877}"/>
    <hyperlink ref="B40:M40" location="'2.4'!B32" display="   Región de Arica y Parinacota" xr:uid="{2326B1EF-815C-4C05-BCCF-C82980562154}"/>
    <hyperlink ref="B41" location="'2.4'!B44" display="   Región de Tarapacá" xr:uid="{0760172C-588F-4558-8E82-CC8F4411C2C0}"/>
    <hyperlink ref="B42" location="'2.4'!B59" display="   Región de Antofagasta" xr:uid="{E4F24C25-2B67-4B5E-BE2A-BDCE25FF13B6}"/>
    <hyperlink ref="B43" location="'2.4'!B76" display="   Región de Atacama" xr:uid="{5BB5305D-5843-47CD-8E0F-7C0F9527DB30}"/>
    <hyperlink ref="B44" location="'2.4'!B93" display="   Región de Coquimbo" xr:uid="{25E4F4B3-9631-42B5-BFA6-8FEB9D015710}"/>
    <hyperlink ref="B45" location="'2.4'!B116" display="   Región de Valparaíso" xr:uid="{D8CF7360-7476-4473-B422-DD826297EA2A}"/>
    <hyperlink ref="B46" location="'2.4'!B162" display="   Región Metropolitana de Santiago" xr:uid="{736B9A2C-9590-485C-904D-36D924EEEBB8}"/>
    <hyperlink ref="B47" location="'2.4'!B223" display="   Región del Libertador General Bernardo O’Higgins" xr:uid="{D0B8900F-64A5-4855-A56B-C52006E91FCE}"/>
    <hyperlink ref="B48" location="'2.4'!B264" display="   Región del Maule" xr:uid="{B4AD08E4-64DB-4F16-BF7E-B8205D2CB3E5}"/>
    <hyperlink ref="B49" location="'2.4'!B303" display="   Región del Ñuble" xr:uid="{E59E42A8-921B-4E0A-AF93-1A22298F5876}"/>
    <hyperlink ref="B50" location="'2.4'!B333" display="   Región del Bio-bío" xr:uid="{97D3E1AE-D841-4B1C-B07D-1E5CCD39C0D9}"/>
    <hyperlink ref="B51" location="'2.4'!B374" display="   Región de La Araucanía" xr:uid="{42E52C13-E5DB-4A8C-B002-DD996E58420B}"/>
    <hyperlink ref="B52" location="'2.4'!B415" display="   Región de Los Ríos" xr:uid="{DA53AB2B-1041-4B48-9D77-BD7DBF16C067}"/>
    <hyperlink ref="B53" location="'2.4'!B436" display="   Región de Los Lagos" xr:uid="{047C7DC6-CC3C-4EF5-9246-60AAE21C22C3}"/>
    <hyperlink ref="B54" location="'2.4'!B474" display="   Región Aysén del General Carlos Ibáñez del Campo" xr:uid="{1C9ED4C7-9962-463D-A9C3-897B8435C4CB}"/>
    <hyperlink ref="B55" location="'2.4'!B489" display="   Región de Magallanes y Antártica Chilena" xr:uid="{8831ED3E-7F09-4AB8-80C6-767E9231A3A6}"/>
  </hyperlinks>
  <pageMargins left="0.7" right="0.7" top="0.75" bottom="0.75" header="0.3" footer="0.3"/>
  <pageSetup paperSize="9" orientation="portrait" horizontalDpi="1200" verticalDpi="12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280"/>
  <sheetViews>
    <sheetView showGridLines="0" zoomScaleNormal="100" workbookViewId="0"/>
    <sheetView workbookViewId="1"/>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2.140625" style="7" bestFit="1"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725</v>
      </c>
    </row>
    <row r="4" spans="2:20" ht="18.75" x14ac:dyDescent="0.3">
      <c r="B4" s="2" t="s">
        <v>807</v>
      </c>
      <c r="C4" s="8"/>
      <c r="D4" s="8"/>
      <c r="E4" s="8"/>
      <c r="F4" s="8"/>
      <c r="G4" s="8"/>
      <c r="H4" s="8"/>
    </row>
    <row r="5" spans="2:20" x14ac:dyDescent="0.25">
      <c r="B5" s="15" t="s">
        <v>857</v>
      </c>
    </row>
    <row r="6" spans="2:20" x14ac:dyDescent="0.25">
      <c r="B6" s="15"/>
    </row>
    <row r="7" spans="2:20" x14ac:dyDescent="0.25">
      <c r="B7" s="423" t="s">
        <v>481</v>
      </c>
      <c r="C7" s="426" t="s">
        <v>594</v>
      </c>
      <c r="D7" s="422" t="s">
        <v>696</v>
      </c>
      <c r="E7" s="422"/>
      <c r="F7" s="422"/>
      <c r="G7" s="422"/>
      <c r="H7" s="422"/>
      <c r="I7" s="422"/>
      <c r="J7" s="422"/>
      <c r="K7" s="422"/>
      <c r="L7" s="422"/>
      <c r="M7" s="422"/>
      <c r="N7" s="422"/>
      <c r="O7" s="422"/>
      <c r="P7" s="13"/>
    </row>
    <row r="8" spans="2:20" x14ac:dyDescent="0.25">
      <c r="B8" s="424"/>
      <c r="C8" s="426"/>
      <c r="D8" s="426" t="s">
        <v>18</v>
      </c>
      <c r="E8" s="426"/>
      <c r="F8" s="426" t="s">
        <v>15</v>
      </c>
      <c r="G8" s="426"/>
      <c r="H8" s="426" t="s">
        <v>19</v>
      </c>
      <c r="I8" s="426"/>
      <c r="J8" s="426" t="s">
        <v>16</v>
      </c>
      <c r="K8" s="426"/>
      <c r="L8" s="426" t="s">
        <v>17</v>
      </c>
      <c r="M8" s="426"/>
      <c r="N8" s="427" t="s">
        <v>491</v>
      </c>
      <c r="O8" s="427"/>
      <c r="P8" s="13"/>
      <c r="Q8" s="13"/>
      <c r="R8" s="13"/>
      <c r="S8" s="13"/>
      <c r="T8" s="13"/>
    </row>
    <row r="9" spans="2:20" x14ac:dyDescent="0.25">
      <c r="B9" s="425"/>
      <c r="C9" s="426"/>
      <c r="D9" s="161" t="s">
        <v>2</v>
      </c>
      <c r="E9" s="161" t="s">
        <v>8</v>
      </c>
      <c r="F9" s="161" t="s">
        <v>2</v>
      </c>
      <c r="G9" s="161" t="s">
        <v>8</v>
      </c>
      <c r="H9" s="161" t="s">
        <v>2</v>
      </c>
      <c r="I9" s="161" t="s">
        <v>8</v>
      </c>
      <c r="J9" s="161" t="s">
        <v>2</v>
      </c>
      <c r="K9" s="161" t="s">
        <v>8</v>
      </c>
      <c r="L9" s="161" t="s">
        <v>2</v>
      </c>
      <c r="M9" s="161" t="s">
        <v>8</v>
      </c>
      <c r="N9" s="328" t="s">
        <v>2</v>
      </c>
      <c r="O9" s="328" t="s">
        <v>8</v>
      </c>
      <c r="P9" s="13"/>
      <c r="Q9" s="13"/>
      <c r="R9" s="13"/>
      <c r="S9" s="13"/>
      <c r="T9" s="13"/>
    </row>
    <row r="10" spans="2:20" x14ac:dyDescent="0.25">
      <c r="B10" s="430" t="s">
        <v>658</v>
      </c>
      <c r="C10" s="230" t="s">
        <v>76</v>
      </c>
      <c r="D10" s="253">
        <v>6</v>
      </c>
      <c r="E10" s="270">
        <f>D10/$N10</f>
        <v>1.1478859766596518E-3</v>
      </c>
      <c r="F10" s="253">
        <v>2111</v>
      </c>
      <c r="G10" s="270">
        <f>F10/$N10</f>
        <v>0.40386454945475414</v>
      </c>
      <c r="H10" s="253">
        <v>9</v>
      </c>
      <c r="I10" s="270">
        <f>H10/$N10</f>
        <v>1.7218289649894778E-3</v>
      </c>
      <c r="J10" s="253">
        <v>15</v>
      </c>
      <c r="K10" s="270">
        <f>J10/$N10</f>
        <v>2.8697149416491295E-3</v>
      </c>
      <c r="L10" s="253">
        <v>3086</v>
      </c>
      <c r="M10" s="270">
        <f>L10/$N10</f>
        <v>0.59039602066194763</v>
      </c>
      <c r="N10" s="323">
        <v>5227</v>
      </c>
      <c r="O10" s="331">
        <f>SUM(D10,F10,H10,J10,L10)/$N10</f>
        <v>1</v>
      </c>
      <c r="P10" s="13"/>
      <c r="Q10" s="13"/>
      <c r="R10" s="13"/>
      <c r="S10" s="13"/>
      <c r="T10" s="13"/>
    </row>
    <row r="11" spans="2:20" x14ac:dyDescent="0.25">
      <c r="B11" s="431"/>
      <c r="C11" s="230" t="s">
        <v>77</v>
      </c>
      <c r="D11" s="253">
        <v>9</v>
      </c>
      <c r="E11" s="270">
        <f t="shared" ref="E11:G24" si="0">D11/$N11</f>
        <v>2.0780420226275687E-3</v>
      </c>
      <c r="F11" s="253">
        <v>792</v>
      </c>
      <c r="G11" s="270">
        <f t="shared" si="0"/>
        <v>0.18286769799122604</v>
      </c>
      <c r="H11" s="253"/>
      <c r="I11" s="270">
        <f t="shared" ref="I11" si="1">H11/$N11</f>
        <v>0</v>
      </c>
      <c r="J11" s="253">
        <v>19</v>
      </c>
      <c r="K11" s="270">
        <f t="shared" ref="K11" si="2">J11/$N11</f>
        <v>4.3869776033248669E-3</v>
      </c>
      <c r="L11" s="253">
        <v>3511</v>
      </c>
      <c r="M11" s="270">
        <f t="shared" ref="M11" si="3">L11/$N11</f>
        <v>0.81066728238282149</v>
      </c>
      <c r="N11" s="323">
        <v>4331</v>
      </c>
      <c r="O11" s="331">
        <f t="shared" ref="O11:O24" si="4">SUM(D11,F11,H11,J11,L11)/$N11</f>
        <v>1</v>
      </c>
      <c r="P11" s="13"/>
      <c r="Q11" s="13"/>
      <c r="R11" s="13"/>
      <c r="S11" s="13"/>
      <c r="T11" s="13"/>
    </row>
    <row r="12" spans="2:20" x14ac:dyDescent="0.25">
      <c r="B12" s="432"/>
      <c r="C12" s="230" t="s">
        <v>593</v>
      </c>
      <c r="D12" s="253">
        <v>15</v>
      </c>
      <c r="E12" s="270">
        <f t="shared" si="0"/>
        <v>1.5693659761456371E-3</v>
      </c>
      <c r="F12" s="253">
        <v>2903</v>
      </c>
      <c r="G12" s="270">
        <f t="shared" si="0"/>
        <v>0.30372462858338567</v>
      </c>
      <c r="H12" s="253">
        <v>9</v>
      </c>
      <c r="I12" s="270">
        <f t="shared" ref="I12" si="5">H12/$N12</f>
        <v>9.4161958568738226E-4</v>
      </c>
      <c r="J12" s="253">
        <v>34</v>
      </c>
      <c r="K12" s="270">
        <f t="shared" ref="K12" si="6">J12/$N12</f>
        <v>3.5572295459301109E-3</v>
      </c>
      <c r="L12" s="253">
        <v>6597</v>
      </c>
      <c r="M12" s="270">
        <f t="shared" ref="M12" si="7">L12/$N12</f>
        <v>0.69020715630885121</v>
      </c>
      <c r="N12" s="323">
        <v>9558</v>
      </c>
      <c r="O12" s="331">
        <f t="shared" si="4"/>
        <v>1</v>
      </c>
      <c r="P12" s="13"/>
      <c r="Q12" s="13"/>
      <c r="R12" s="13"/>
      <c r="S12" s="13"/>
      <c r="T12" s="13"/>
    </row>
    <row r="13" spans="2:20" x14ac:dyDescent="0.25">
      <c r="B13" s="430" t="s">
        <v>490</v>
      </c>
      <c r="C13" s="230" t="s">
        <v>76</v>
      </c>
      <c r="D13" s="179">
        <v>13</v>
      </c>
      <c r="E13" s="270">
        <f t="shared" si="0"/>
        <v>4.1721492987579833E-4</v>
      </c>
      <c r="F13" s="253">
        <v>20335</v>
      </c>
      <c r="G13" s="270">
        <f t="shared" si="0"/>
        <v>0.65262043069418141</v>
      </c>
      <c r="H13" s="253">
        <v>8</v>
      </c>
      <c r="I13" s="270">
        <f t="shared" ref="I13" si="8">H13/$N13</f>
        <v>2.5674764915433742E-4</v>
      </c>
      <c r="J13" s="253">
        <v>1594</v>
      </c>
      <c r="K13" s="270">
        <f t="shared" ref="K13" si="9">J13/$N13</f>
        <v>5.1156969094001734E-2</v>
      </c>
      <c r="L13" s="253">
        <v>9209</v>
      </c>
      <c r="M13" s="270">
        <f t="shared" ref="M13" si="10">L13/$N13</f>
        <v>0.29554863763278666</v>
      </c>
      <c r="N13" s="323">
        <v>31159</v>
      </c>
      <c r="O13" s="331">
        <f t="shared" si="4"/>
        <v>1</v>
      </c>
      <c r="P13" s="13"/>
      <c r="Q13" s="13"/>
      <c r="R13" s="13"/>
      <c r="S13" s="13"/>
      <c r="T13" s="13"/>
    </row>
    <row r="14" spans="2:20" x14ac:dyDescent="0.25">
      <c r="B14" s="431"/>
      <c r="C14" s="230" t="s">
        <v>77</v>
      </c>
      <c r="D14" s="179">
        <v>15</v>
      </c>
      <c r="E14" s="270">
        <f t="shared" si="0"/>
        <v>5.7438253877082138E-4</v>
      </c>
      <c r="F14" s="253">
        <v>17349</v>
      </c>
      <c r="G14" s="270">
        <f t="shared" si="0"/>
        <v>0.66433084434233203</v>
      </c>
      <c r="H14" s="253"/>
      <c r="I14" s="270">
        <f t="shared" ref="I14" si="11">H14/$N14</f>
        <v>0</v>
      </c>
      <c r="J14" s="253">
        <v>2434</v>
      </c>
      <c r="K14" s="270">
        <f t="shared" ref="K14" si="12">J14/$N14</f>
        <v>9.3203139957878614E-2</v>
      </c>
      <c r="L14" s="253">
        <v>6317</v>
      </c>
      <c r="M14" s="270">
        <f t="shared" ref="M14" si="13">L14/$N14</f>
        <v>0.24189163316101858</v>
      </c>
      <c r="N14" s="323">
        <v>26115</v>
      </c>
      <c r="O14" s="331">
        <f t="shared" si="4"/>
        <v>1</v>
      </c>
      <c r="P14" s="13"/>
      <c r="Q14" s="13"/>
      <c r="R14" s="13"/>
      <c r="S14" s="13"/>
      <c r="T14" s="13"/>
    </row>
    <row r="15" spans="2:20" x14ac:dyDescent="0.25">
      <c r="B15" s="432"/>
      <c r="C15" s="230" t="s">
        <v>593</v>
      </c>
      <c r="D15" s="179">
        <v>28</v>
      </c>
      <c r="E15" s="270">
        <f t="shared" si="0"/>
        <v>4.8887802493277925E-4</v>
      </c>
      <c r="F15" s="253">
        <v>37684</v>
      </c>
      <c r="G15" s="270">
        <f t="shared" si="0"/>
        <v>0.65795998184167337</v>
      </c>
      <c r="H15" s="253">
        <v>8</v>
      </c>
      <c r="I15" s="270">
        <f t="shared" ref="I15" si="14">H15/$N15</f>
        <v>1.3967943569507979E-4</v>
      </c>
      <c r="J15" s="253">
        <v>4028</v>
      </c>
      <c r="K15" s="270">
        <f t="shared" ref="K15" si="15">J15/$N15</f>
        <v>7.0328595872472671E-2</v>
      </c>
      <c r="L15" s="253">
        <v>15526</v>
      </c>
      <c r="M15" s="270">
        <f t="shared" ref="M15" si="16">L15/$N15</f>
        <v>0.27108286482522609</v>
      </c>
      <c r="N15" s="323">
        <v>57274</v>
      </c>
      <c r="O15" s="331">
        <f t="shared" si="4"/>
        <v>1</v>
      </c>
      <c r="P15" s="13"/>
      <c r="Q15" s="13"/>
      <c r="R15" s="13"/>
      <c r="S15" s="13"/>
      <c r="T15" s="13"/>
    </row>
    <row r="16" spans="2:20" x14ac:dyDescent="0.25">
      <c r="B16" s="430" t="s">
        <v>4</v>
      </c>
      <c r="C16" s="230" t="s">
        <v>76</v>
      </c>
      <c r="D16" s="253">
        <v>19</v>
      </c>
      <c r="E16" s="270">
        <f t="shared" si="0"/>
        <v>3.5283194057567318E-3</v>
      </c>
      <c r="F16" s="253">
        <v>247</v>
      </c>
      <c r="G16" s="270">
        <f t="shared" si="0"/>
        <v>4.5868152274837509E-2</v>
      </c>
      <c r="H16" s="253">
        <v>3</v>
      </c>
      <c r="I16" s="270">
        <f t="shared" ref="I16" si="17">H16/$N16</f>
        <v>5.5710306406685239E-4</v>
      </c>
      <c r="J16" s="253">
        <v>26</v>
      </c>
      <c r="K16" s="270">
        <f t="shared" ref="K16" si="18">J16/$N16</f>
        <v>4.8282265552460537E-3</v>
      </c>
      <c r="L16" s="253">
        <v>5090</v>
      </c>
      <c r="M16" s="270">
        <f t="shared" ref="M16" si="19">L16/$N16</f>
        <v>0.94521819870009283</v>
      </c>
      <c r="N16" s="323">
        <v>5385</v>
      </c>
      <c r="O16" s="331">
        <f t="shared" si="4"/>
        <v>1</v>
      </c>
      <c r="P16" s="13"/>
      <c r="Q16" s="13"/>
      <c r="R16" s="13"/>
      <c r="S16" s="13"/>
      <c r="T16" s="13"/>
    </row>
    <row r="17" spans="2:30" x14ac:dyDescent="0.25">
      <c r="B17" s="431"/>
      <c r="C17" s="230" t="s">
        <v>77</v>
      </c>
      <c r="D17" s="253">
        <v>2</v>
      </c>
      <c r="E17" s="270">
        <f t="shared" si="0"/>
        <v>8.5836909871244631E-4</v>
      </c>
      <c r="F17" s="253">
        <v>207</v>
      </c>
      <c r="G17" s="270">
        <f t="shared" si="0"/>
        <v>8.8841201716738191E-2</v>
      </c>
      <c r="H17" s="253">
        <v>1</v>
      </c>
      <c r="I17" s="270">
        <f t="shared" ref="I17" si="20">H17/$N17</f>
        <v>4.2918454935622315E-4</v>
      </c>
      <c r="J17" s="253">
        <v>4</v>
      </c>
      <c r="K17" s="270">
        <f t="shared" ref="K17" si="21">J17/$N17</f>
        <v>1.7167381974248926E-3</v>
      </c>
      <c r="L17" s="253">
        <v>2116</v>
      </c>
      <c r="M17" s="270">
        <f t="shared" ref="M17" si="22">L17/$N17</f>
        <v>0.90815450643776829</v>
      </c>
      <c r="N17" s="323">
        <v>2330</v>
      </c>
      <c r="O17" s="331">
        <f t="shared" si="4"/>
        <v>1</v>
      </c>
      <c r="P17" s="13"/>
      <c r="Q17" s="13"/>
      <c r="R17" s="13"/>
      <c r="S17" s="13"/>
      <c r="T17" s="13"/>
    </row>
    <row r="18" spans="2:30" x14ac:dyDescent="0.25">
      <c r="B18" s="432"/>
      <c r="C18" s="230" t="s">
        <v>593</v>
      </c>
      <c r="D18" s="253">
        <v>21</v>
      </c>
      <c r="E18" s="270">
        <f t="shared" si="0"/>
        <v>2.7219701879455608E-3</v>
      </c>
      <c r="F18" s="253">
        <v>454</v>
      </c>
      <c r="G18" s="270">
        <f t="shared" si="0"/>
        <v>5.8846403110823071E-2</v>
      </c>
      <c r="H18" s="253">
        <v>4</v>
      </c>
      <c r="I18" s="270">
        <f t="shared" ref="I18" si="23">H18/$N18</f>
        <v>5.1847051198963064E-4</v>
      </c>
      <c r="J18" s="253">
        <v>30</v>
      </c>
      <c r="K18" s="270">
        <f t="shared" ref="K18" si="24">J18/$N18</f>
        <v>3.8885288399222295E-3</v>
      </c>
      <c r="L18" s="253">
        <v>7206</v>
      </c>
      <c r="M18" s="270">
        <f t="shared" ref="M18" si="25">L18/$N18</f>
        <v>0.93402462734931946</v>
      </c>
      <c r="N18" s="323">
        <v>7715</v>
      </c>
      <c r="O18" s="331">
        <f t="shared" si="4"/>
        <v>1</v>
      </c>
      <c r="P18" s="13"/>
      <c r="Q18" s="13"/>
      <c r="R18" s="13"/>
      <c r="S18" s="13"/>
      <c r="T18" s="13"/>
    </row>
    <row r="19" spans="2:30" x14ac:dyDescent="0.25">
      <c r="B19" s="430" t="s">
        <v>6</v>
      </c>
      <c r="C19" s="230" t="s">
        <v>76</v>
      </c>
      <c r="D19" s="253">
        <v>2</v>
      </c>
      <c r="E19" s="270">
        <f t="shared" si="0"/>
        <v>1.3522650439486139E-3</v>
      </c>
      <c r="F19" s="253">
        <v>620</v>
      </c>
      <c r="G19" s="270">
        <f t="shared" si="0"/>
        <v>0.41920216362407031</v>
      </c>
      <c r="H19" s="92"/>
      <c r="I19" s="270">
        <f t="shared" ref="I19" si="26">H19/$N19</f>
        <v>0</v>
      </c>
      <c r="J19" s="253">
        <v>62</v>
      </c>
      <c r="K19" s="270">
        <f t="shared" ref="K19" si="27">J19/$N19</f>
        <v>4.1920216362407031E-2</v>
      </c>
      <c r="L19" s="253">
        <v>795</v>
      </c>
      <c r="M19" s="270">
        <f t="shared" ref="M19" si="28">L19/$N19</f>
        <v>0.53752535496957399</v>
      </c>
      <c r="N19" s="323">
        <v>1479</v>
      </c>
      <c r="O19" s="331">
        <f t="shared" si="4"/>
        <v>1</v>
      </c>
      <c r="P19" s="13"/>
      <c r="Q19" s="13"/>
      <c r="R19" s="13"/>
      <c r="S19" s="13"/>
      <c r="T19" s="13"/>
      <c r="U19" s="13"/>
      <c r="V19" s="226"/>
      <c r="W19" s="226"/>
      <c r="X19" s="90"/>
      <c r="Y19" s="229"/>
      <c r="Z19" s="229"/>
      <c r="AA19" s="229"/>
      <c r="AB19" s="229"/>
      <c r="AC19" s="229"/>
      <c r="AD19" s="229"/>
    </row>
    <row r="20" spans="2:30" x14ac:dyDescent="0.25">
      <c r="B20" s="431"/>
      <c r="C20" s="230" t="s">
        <v>77</v>
      </c>
      <c r="D20" s="253">
        <v>5</v>
      </c>
      <c r="E20" s="270">
        <f t="shared" si="0"/>
        <v>2.181500872600349E-3</v>
      </c>
      <c r="F20" s="253">
        <v>1120</v>
      </c>
      <c r="G20" s="270">
        <f t="shared" si="0"/>
        <v>0.48865619546247818</v>
      </c>
      <c r="H20" s="253"/>
      <c r="I20" s="270">
        <f t="shared" ref="I20" si="29">H20/$N20</f>
        <v>0</v>
      </c>
      <c r="J20" s="253">
        <v>112</v>
      </c>
      <c r="K20" s="270">
        <f t="shared" ref="K20" si="30">J20/$N20</f>
        <v>4.8865619546247817E-2</v>
      </c>
      <c r="L20" s="253">
        <v>1055</v>
      </c>
      <c r="M20" s="270">
        <f t="shared" ref="M20" si="31">L20/$N20</f>
        <v>0.46029668411867364</v>
      </c>
      <c r="N20" s="323">
        <v>2292</v>
      </c>
      <c r="O20" s="331">
        <f t="shared" si="4"/>
        <v>1</v>
      </c>
      <c r="P20" s="13"/>
      <c r="Q20" s="13"/>
      <c r="R20" s="13"/>
      <c r="S20" s="13"/>
      <c r="T20" s="13"/>
      <c r="U20" s="13"/>
      <c r="V20" s="226"/>
      <c r="W20" s="226"/>
      <c r="X20" s="90"/>
      <c r="Y20" s="229"/>
      <c r="Z20" s="229"/>
      <c r="AA20" s="229"/>
      <c r="AB20" s="229"/>
      <c r="AC20" s="229"/>
      <c r="AD20" s="229"/>
    </row>
    <row r="21" spans="2:30" x14ac:dyDescent="0.25">
      <c r="B21" s="432"/>
      <c r="C21" s="230" t="s">
        <v>593</v>
      </c>
      <c r="D21" s="253">
        <v>7</v>
      </c>
      <c r="E21" s="270">
        <f t="shared" si="0"/>
        <v>1.8562715460090163E-3</v>
      </c>
      <c r="F21" s="253">
        <v>1740</v>
      </c>
      <c r="G21" s="270">
        <f t="shared" si="0"/>
        <v>0.46141607000795543</v>
      </c>
      <c r="H21" s="253"/>
      <c r="I21" s="270">
        <f t="shared" ref="I21" si="32">H21/$N21</f>
        <v>0</v>
      </c>
      <c r="J21" s="253">
        <v>174</v>
      </c>
      <c r="K21" s="270">
        <f t="shared" ref="K21" si="33">J21/$N21</f>
        <v>4.6141607000795545E-2</v>
      </c>
      <c r="L21" s="253">
        <v>1850</v>
      </c>
      <c r="M21" s="270">
        <f t="shared" ref="M21" si="34">L21/$N21</f>
        <v>0.49058605144523998</v>
      </c>
      <c r="N21" s="323">
        <v>3771</v>
      </c>
      <c r="O21" s="331">
        <f t="shared" si="4"/>
        <v>1</v>
      </c>
      <c r="P21" s="13"/>
      <c r="Q21" s="13"/>
      <c r="R21" s="13"/>
      <c r="S21" s="13"/>
      <c r="T21" s="13"/>
      <c r="U21" s="13"/>
      <c r="V21" s="226"/>
      <c r="W21" s="226"/>
      <c r="X21" s="90"/>
      <c r="Y21" s="229"/>
      <c r="Z21" s="229"/>
      <c r="AA21" s="229"/>
      <c r="AB21" s="229"/>
      <c r="AC21" s="229"/>
      <c r="AD21" s="229"/>
    </row>
    <row r="22" spans="2:30" x14ac:dyDescent="0.25">
      <c r="B22" s="427" t="s">
        <v>697</v>
      </c>
      <c r="C22" s="332" t="s">
        <v>76</v>
      </c>
      <c r="D22" s="323">
        <v>40</v>
      </c>
      <c r="E22" s="333">
        <f t="shared" si="0"/>
        <v>9.2485549132947974E-4</v>
      </c>
      <c r="F22" s="323">
        <v>23313</v>
      </c>
      <c r="G22" s="333">
        <f t="shared" si="0"/>
        <v>0.539028901734104</v>
      </c>
      <c r="H22" s="323">
        <v>20</v>
      </c>
      <c r="I22" s="333">
        <f t="shared" ref="I22" si="35">H22/$N22</f>
        <v>4.6242774566473987E-4</v>
      </c>
      <c r="J22" s="323">
        <v>1697</v>
      </c>
      <c r="K22" s="333">
        <f t="shared" ref="K22" si="36">J22/$N22</f>
        <v>3.9236994219653182E-2</v>
      </c>
      <c r="L22" s="323">
        <v>18180</v>
      </c>
      <c r="M22" s="333">
        <f t="shared" ref="M22" si="37">L22/$N22</f>
        <v>0.42034682080924857</v>
      </c>
      <c r="N22" s="323">
        <v>43250</v>
      </c>
      <c r="O22" s="331">
        <f t="shared" si="4"/>
        <v>1</v>
      </c>
      <c r="P22" s="13"/>
      <c r="Q22" s="13"/>
      <c r="R22" s="13"/>
      <c r="S22" s="13"/>
      <c r="T22" s="13"/>
      <c r="U22" s="13"/>
      <c r="V22" s="226"/>
      <c r="W22" s="226"/>
      <c r="X22" s="90"/>
      <c r="Y22" s="229"/>
      <c r="Z22" s="229"/>
      <c r="AA22" s="229"/>
      <c r="AB22" s="229"/>
      <c r="AC22" s="229"/>
      <c r="AD22" s="229"/>
    </row>
    <row r="23" spans="2:30" x14ac:dyDescent="0.25">
      <c r="B23" s="427"/>
      <c r="C23" s="332" t="s">
        <v>77</v>
      </c>
      <c r="D23" s="323">
        <v>31</v>
      </c>
      <c r="E23" s="333">
        <f t="shared" si="0"/>
        <v>8.8399680620508724E-4</v>
      </c>
      <c r="F23" s="323">
        <v>19468</v>
      </c>
      <c r="G23" s="333">
        <f t="shared" si="0"/>
        <v>0.55514999429679479</v>
      </c>
      <c r="H23" s="323">
        <v>1</v>
      </c>
      <c r="I23" s="333">
        <f t="shared" ref="I23" si="38">H23/$N23</f>
        <v>2.8516026006615717E-5</v>
      </c>
      <c r="J23" s="323">
        <v>2569</v>
      </c>
      <c r="K23" s="333">
        <f t="shared" ref="K23" si="39">J23/$N23</f>
        <v>7.3257670810995781E-2</v>
      </c>
      <c r="L23" s="323">
        <v>12999</v>
      </c>
      <c r="M23" s="333">
        <f t="shared" ref="M23" si="40">L23/$N23</f>
        <v>0.37067982205999772</v>
      </c>
      <c r="N23" s="323">
        <v>35068</v>
      </c>
      <c r="O23" s="331">
        <f t="shared" si="4"/>
        <v>1</v>
      </c>
      <c r="P23" s="13"/>
      <c r="Q23" s="13"/>
      <c r="R23" s="13"/>
      <c r="S23" s="13"/>
      <c r="T23" s="13"/>
      <c r="U23" s="13"/>
      <c r="V23" s="226"/>
      <c r="W23" s="226"/>
      <c r="X23" s="90"/>
      <c r="Y23" s="229"/>
      <c r="Z23" s="229"/>
      <c r="AA23" s="229"/>
      <c r="AB23" s="229"/>
      <c r="AC23" s="229"/>
      <c r="AD23" s="229"/>
    </row>
    <row r="24" spans="2:30" x14ac:dyDescent="0.25">
      <c r="B24" s="427"/>
      <c r="C24" s="332" t="s">
        <v>593</v>
      </c>
      <c r="D24" s="323">
        <v>71</v>
      </c>
      <c r="E24" s="333">
        <f t="shared" si="0"/>
        <v>9.0656043310605476E-4</v>
      </c>
      <c r="F24" s="323">
        <v>42781</v>
      </c>
      <c r="G24" s="333">
        <f t="shared" si="0"/>
        <v>0.54624735054521312</v>
      </c>
      <c r="H24" s="323">
        <v>21</v>
      </c>
      <c r="I24" s="333">
        <f t="shared" ref="I24" si="41">H24/$N24</f>
        <v>2.6813759289052324E-4</v>
      </c>
      <c r="J24" s="323">
        <v>4266</v>
      </c>
      <c r="K24" s="333">
        <f t="shared" ref="K24" si="42">J24/$N24</f>
        <v>5.4470236727189154E-2</v>
      </c>
      <c r="L24" s="323">
        <v>31179</v>
      </c>
      <c r="M24" s="333">
        <f t="shared" ref="M24" si="43">L24/$N24</f>
        <v>0.39810771470160117</v>
      </c>
      <c r="N24" s="323">
        <v>78318</v>
      </c>
      <c r="O24" s="331">
        <f t="shared" si="4"/>
        <v>1</v>
      </c>
      <c r="P24" s="13"/>
      <c r="Q24" s="13"/>
      <c r="R24" s="13"/>
      <c r="S24" s="13"/>
      <c r="T24" s="13"/>
      <c r="U24" s="13"/>
      <c r="V24" s="226"/>
      <c r="W24" s="226"/>
      <c r="X24" s="90"/>
      <c r="Y24" s="229"/>
      <c r="Z24" s="229"/>
      <c r="AA24" s="229"/>
      <c r="AB24" s="229"/>
      <c r="AC24" s="229"/>
      <c r="AD24" s="229"/>
    </row>
    <row r="25" spans="2:30" ht="110.25" customHeight="1" x14ac:dyDescent="0.25">
      <c r="B25" s="428" t="s">
        <v>814</v>
      </c>
      <c r="C25" s="428"/>
      <c r="D25" s="428"/>
      <c r="E25" s="428"/>
      <c r="F25" s="428"/>
      <c r="G25" s="428"/>
      <c r="H25" s="428"/>
      <c r="I25" s="428"/>
      <c r="J25" s="428"/>
      <c r="K25" s="428"/>
      <c r="L25" s="428"/>
      <c r="M25" s="428"/>
      <c r="N25" s="428"/>
      <c r="O25" s="428"/>
      <c r="P25" s="13"/>
      <c r="Q25" s="13"/>
      <c r="R25" s="226"/>
      <c r="S25" s="226"/>
      <c r="T25" s="90"/>
      <c r="U25" s="229"/>
      <c r="V25" s="229"/>
      <c r="W25" s="229"/>
      <c r="X25" s="229"/>
      <c r="Y25" s="229"/>
      <c r="Z25" s="229"/>
    </row>
    <row r="26" spans="2:30" x14ac:dyDescent="0.25">
      <c r="C26" s="13"/>
      <c r="D26" s="13"/>
      <c r="E26" s="13"/>
      <c r="F26" s="13"/>
      <c r="G26" s="13"/>
      <c r="H26" s="13"/>
      <c r="I26" s="13"/>
      <c r="J26" s="13"/>
      <c r="K26" s="13"/>
      <c r="L26" s="13"/>
      <c r="M26" s="13"/>
      <c r="N26" s="13"/>
      <c r="O26" s="13"/>
      <c r="P26" s="13"/>
      <c r="Q26" s="13"/>
      <c r="R26" s="226"/>
      <c r="S26" s="226"/>
      <c r="T26" s="90"/>
      <c r="U26" s="229"/>
      <c r="V26" s="229"/>
      <c r="W26" s="229"/>
      <c r="X26" s="229"/>
      <c r="Y26" s="229"/>
      <c r="Z26" s="229"/>
    </row>
    <row r="27" spans="2:30" ht="18.75" x14ac:dyDescent="0.3">
      <c r="B27" s="2" t="s">
        <v>803</v>
      </c>
      <c r="C27" s="2"/>
      <c r="D27" s="2"/>
      <c r="E27" s="2"/>
      <c r="F27" s="2"/>
      <c r="G27" s="2"/>
      <c r="H27" s="245"/>
      <c r="I27" s="13"/>
      <c r="J27" s="13"/>
      <c r="K27" s="13"/>
      <c r="L27" s="13"/>
      <c r="M27" s="13"/>
      <c r="N27" s="13"/>
      <c r="O27" s="13"/>
      <c r="P27" s="13"/>
      <c r="Q27" s="13"/>
      <c r="R27" s="13"/>
      <c r="S27" s="13"/>
      <c r="T27" s="13"/>
      <c r="U27" s="13"/>
      <c r="V27" s="13"/>
      <c r="W27" s="13"/>
      <c r="X27" s="13"/>
      <c r="Y27" s="13"/>
    </row>
    <row r="28" spans="2:30" ht="15" customHeight="1" x14ac:dyDescent="0.25">
      <c r="B28" s="387" t="s">
        <v>860</v>
      </c>
      <c r="C28" s="190"/>
      <c r="D28" s="190"/>
      <c r="E28" s="190"/>
      <c r="F28" s="190"/>
      <c r="G28" s="190"/>
      <c r="H28" s="190"/>
      <c r="I28" s="13"/>
      <c r="J28" s="13"/>
      <c r="K28" s="13"/>
      <c r="L28" s="13"/>
      <c r="M28" s="13"/>
      <c r="N28" s="13"/>
      <c r="O28" s="13"/>
      <c r="P28" s="13"/>
      <c r="Q28" s="13"/>
      <c r="R28" s="13"/>
      <c r="S28" s="13"/>
      <c r="T28" s="13"/>
      <c r="U28" s="13"/>
      <c r="V28" s="13"/>
      <c r="W28" s="13"/>
      <c r="X28" s="13"/>
      <c r="Y28" s="13"/>
    </row>
    <row r="29" spans="2:30" ht="15" customHeight="1" x14ac:dyDescent="0.25">
      <c r="B29" s="15"/>
      <c r="C29" s="190"/>
      <c r="D29" s="190"/>
      <c r="E29" s="190"/>
      <c r="F29" s="190"/>
      <c r="G29" s="190"/>
      <c r="H29" s="190"/>
      <c r="I29" s="13"/>
      <c r="J29" s="13"/>
      <c r="K29" s="13"/>
      <c r="L29" s="13"/>
      <c r="M29" s="13"/>
      <c r="N29" s="13"/>
      <c r="O29" s="13"/>
      <c r="P29" s="13"/>
      <c r="Q29" s="13"/>
      <c r="R29" s="13"/>
      <c r="S29" s="13"/>
      <c r="T29" s="13"/>
      <c r="U29" s="13"/>
      <c r="V29" s="13"/>
      <c r="W29" s="13"/>
      <c r="X29" s="13"/>
      <c r="Y29" s="13"/>
    </row>
    <row r="30" spans="2:30" ht="15" customHeight="1" x14ac:dyDescent="0.25">
      <c r="B30" s="433" t="s">
        <v>476</v>
      </c>
      <c r="C30" s="434" t="s">
        <v>481</v>
      </c>
      <c r="D30" s="435"/>
      <c r="E30" s="435"/>
      <c r="F30" s="435"/>
      <c r="G30" s="435"/>
      <c r="H30" s="435"/>
      <c r="I30" s="435"/>
      <c r="J30" s="435"/>
      <c r="K30" s="435"/>
      <c r="L30" s="435"/>
      <c r="M30" s="435"/>
      <c r="N30" s="435"/>
      <c r="O30" s="435"/>
      <c r="P30" s="435"/>
      <c r="Q30" s="435"/>
      <c r="R30" s="435"/>
      <c r="S30" s="435"/>
      <c r="T30" s="436"/>
      <c r="U30" s="429" t="s">
        <v>480</v>
      </c>
      <c r="V30" s="429"/>
      <c r="W30" s="429"/>
      <c r="X30" s="13"/>
      <c r="Y30" s="13"/>
    </row>
    <row r="31" spans="2:30" x14ac:dyDescent="0.25">
      <c r="B31" s="433"/>
      <c r="C31" s="422" t="s">
        <v>658</v>
      </c>
      <c r="D31" s="422"/>
      <c r="E31" s="422"/>
      <c r="F31" s="422" t="s">
        <v>490</v>
      </c>
      <c r="G31" s="422"/>
      <c r="H31" s="422"/>
      <c r="I31" s="422" t="s">
        <v>3</v>
      </c>
      <c r="J31" s="422"/>
      <c r="K31" s="422"/>
      <c r="L31" s="422" t="s">
        <v>4</v>
      </c>
      <c r="M31" s="422"/>
      <c r="N31" s="422"/>
      <c r="O31" s="422" t="s">
        <v>5</v>
      </c>
      <c r="P31" s="422"/>
      <c r="Q31" s="422"/>
      <c r="R31" s="422" t="s">
        <v>6</v>
      </c>
      <c r="S31" s="422"/>
      <c r="T31" s="422"/>
      <c r="U31" s="429"/>
      <c r="V31" s="429"/>
      <c r="W31" s="429"/>
      <c r="X31" s="13"/>
      <c r="Y31" s="13"/>
    </row>
    <row r="32" spans="2:30" x14ac:dyDescent="0.25">
      <c r="B32" s="433"/>
      <c r="C32" s="239" t="s">
        <v>76</v>
      </c>
      <c r="D32" s="239" t="s">
        <v>77</v>
      </c>
      <c r="E32" s="239" t="s">
        <v>28</v>
      </c>
      <c r="F32" s="239" t="s">
        <v>76</v>
      </c>
      <c r="G32" s="239" t="s">
        <v>77</v>
      </c>
      <c r="H32" s="239" t="s">
        <v>28</v>
      </c>
      <c r="I32" s="239" t="s">
        <v>76</v>
      </c>
      <c r="J32" s="239" t="s">
        <v>77</v>
      </c>
      <c r="K32" s="239" t="s">
        <v>28</v>
      </c>
      <c r="L32" s="239" t="s">
        <v>76</v>
      </c>
      <c r="M32" s="239" t="s">
        <v>77</v>
      </c>
      <c r="N32" s="239" t="s">
        <v>28</v>
      </c>
      <c r="O32" s="239" t="s">
        <v>76</v>
      </c>
      <c r="P32" s="239" t="s">
        <v>77</v>
      </c>
      <c r="Q32" s="239" t="s">
        <v>28</v>
      </c>
      <c r="R32" s="239" t="s">
        <v>76</v>
      </c>
      <c r="S32" s="239" t="s">
        <v>77</v>
      </c>
      <c r="T32" s="239" t="s">
        <v>28</v>
      </c>
      <c r="U32" s="329" t="s">
        <v>76</v>
      </c>
      <c r="V32" s="329" t="s">
        <v>77</v>
      </c>
      <c r="W32" s="329" t="s">
        <v>28</v>
      </c>
      <c r="X32" s="13"/>
      <c r="Y32" s="13"/>
    </row>
    <row r="33" spans="2:25" hidden="1" outlineLevel="1" x14ac:dyDescent="0.25">
      <c r="B33" s="362">
        <v>39630</v>
      </c>
      <c r="C33" s="365"/>
      <c r="D33" s="365"/>
      <c r="E33" s="365"/>
      <c r="F33" s="365"/>
      <c r="G33" s="365"/>
      <c r="H33" s="365"/>
      <c r="I33" s="365">
        <v>36832</v>
      </c>
      <c r="J33" s="365">
        <v>8014</v>
      </c>
      <c r="K33" s="365">
        <v>44846</v>
      </c>
      <c r="L33" s="365">
        <v>8683</v>
      </c>
      <c r="M33" s="365">
        <v>2261</v>
      </c>
      <c r="N33" s="365">
        <v>10944</v>
      </c>
      <c r="O33" s="365">
        <v>2722</v>
      </c>
      <c r="P33" s="365">
        <v>1208</v>
      </c>
      <c r="Q33" s="365">
        <v>3930</v>
      </c>
      <c r="R33" s="365">
        <v>1266</v>
      </c>
      <c r="S33" s="365">
        <v>648</v>
      </c>
      <c r="T33" s="365">
        <v>1914</v>
      </c>
      <c r="U33" s="363">
        <v>49503</v>
      </c>
      <c r="V33" s="363">
        <v>12131</v>
      </c>
      <c r="W33" s="363">
        <v>61634</v>
      </c>
      <c r="X33" s="13"/>
      <c r="Y33" s="13"/>
    </row>
    <row r="34" spans="2:25" hidden="1" outlineLevel="1" x14ac:dyDescent="0.25">
      <c r="B34" s="362">
        <v>39661</v>
      </c>
      <c r="C34" s="365"/>
      <c r="D34" s="365"/>
      <c r="E34" s="365"/>
      <c r="F34" s="365"/>
      <c r="G34" s="365"/>
      <c r="H34" s="365"/>
      <c r="I34" s="365">
        <v>9028</v>
      </c>
      <c r="J34" s="365">
        <v>2788</v>
      </c>
      <c r="K34" s="365">
        <v>11816</v>
      </c>
      <c r="L34" s="365">
        <v>6886</v>
      </c>
      <c r="M34" s="365">
        <v>1963</v>
      </c>
      <c r="N34" s="365">
        <v>8849</v>
      </c>
      <c r="O34" s="365">
        <v>1619</v>
      </c>
      <c r="P34" s="365">
        <v>781</v>
      </c>
      <c r="Q34" s="365">
        <v>2400</v>
      </c>
      <c r="R34" s="365">
        <v>970</v>
      </c>
      <c r="S34" s="365">
        <v>596</v>
      </c>
      <c r="T34" s="365">
        <v>1566</v>
      </c>
      <c r="U34" s="363">
        <v>18503</v>
      </c>
      <c r="V34" s="363">
        <v>6128</v>
      </c>
      <c r="W34" s="363">
        <v>24631</v>
      </c>
      <c r="X34" s="13"/>
      <c r="Y34" s="13"/>
    </row>
    <row r="35" spans="2:25" hidden="1" outlineLevel="1" x14ac:dyDescent="0.25">
      <c r="B35" s="362">
        <v>39692</v>
      </c>
      <c r="C35" s="365"/>
      <c r="D35" s="365"/>
      <c r="E35" s="365"/>
      <c r="F35" s="365"/>
      <c r="G35" s="365"/>
      <c r="H35" s="365"/>
      <c r="I35" s="365">
        <v>6970</v>
      </c>
      <c r="J35" s="365">
        <v>2080</v>
      </c>
      <c r="K35" s="365">
        <v>9050</v>
      </c>
      <c r="L35" s="365">
        <v>4167</v>
      </c>
      <c r="M35" s="365">
        <v>1125</v>
      </c>
      <c r="N35" s="365">
        <v>5292</v>
      </c>
      <c r="O35" s="365">
        <v>1159</v>
      </c>
      <c r="P35" s="365">
        <v>653</v>
      </c>
      <c r="Q35" s="365">
        <v>1812</v>
      </c>
      <c r="R35" s="365">
        <v>529</v>
      </c>
      <c r="S35" s="365">
        <v>307</v>
      </c>
      <c r="T35" s="365">
        <v>836</v>
      </c>
      <c r="U35" s="363">
        <v>12825</v>
      </c>
      <c r="V35" s="363">
        <v>4165</v>
      </c>
      <c r="W35" s="363">
        <v>16990</v>
      </c>
      <c r="X35" s="13"/>
      <c r="Y35" s="13"/>
    </row>
    <row r="36" spans="2:25" hidden="1" outlineLevel="1" x14ac:dyDescent="0.25">
      <c r="B36" s="362">
        <v>39722</v>
      </c>
      <c r="C36" s="365"/>
      <c r="D36" s="365"/>
      <c r="E36" s="365"/>
      <c r="F36" s="365"/>
      <c r="G36" s="365"/>
      <c r="H36" s="365"/>
      <c r="I36" s="365">
        <v>6056</v>
      </c>
      <c r="J36" s="365">
        <v>1773</v>
      </c>
      <c r="K36" s="365">
        <v>7829</v>
      </c>
      <c r="L36" s="365">
        <v>4254</v>
      </c>
      <c r="M36" s="365">
        <v>1177</v>
      </c>
      <c r="N36" s="365">
        <v>5431</v>
      </c>
      <c r="O36" s="365">
        <v>1046</v>
      </c>
      <c r="P36" s="365">
        <v>668</v>
      </c>
      <c r="Q36" s="365">
        <v>1714</v>
      </c>
      <c r="R36" s="365">
        <v>337</v>
      </c>
      <c r="S36" s="365">
        <v>184</v>
      </c>
      <c r="T36" s="365">
        <v>521</v>
      </c>
      <c r="U36" s="363">
        <v>11693</v>
      </c>
      <c r="V36" s="363">
        <v>3802</v>
      </c>
      <c r="W36" s="363">
        <v>15495</v>
      </c>
      <c r="X36" s="13"/>
      <c r="Y36" s="13"/>
    </row>
    <row r="37" spans="2:25" hidden="1" outlineLevel="1" x14ac:dyDescent="0.25">
      <c r="B37" s="362">
        <v>39753</v>
      </c>
      <c r="C37" s="365"/>
      <c r="D37" s="365"/>
      <c r="E37" s="365"/>
      <c r="F37" s="365"/>
      <c r="G37" s="365"/>
      <c r="H37" s="365"/>
      <c r="I37" s="365">
        <v>4414</v>
      </c>
      <c r="J37" s="365">
        <v>1292</v>
      </c>
      <c r="K37" s="365">
        <v>5706</v>
      </c>
      <c r="L37" s="365">
        <v>2550</v>
      </c>
      <c r="M37" s="365">
        <v>824</v>
      </c>
      <c r="N37" s="365">
        <v>3374</v>
      </c>
      <c r="O37" s="365">
        <v>844</v>
      </c>
      <c r="P37" s="365">
        <v>543</v>
      </c>
      <c r="Q37" s="365">
        <v>1387</v>
      </c>
      <c r="R37" s="365">
        <v>381</v>
      </c>
      <c r="S37" s="365">
        <v>207</v>
      </c>
      <c r="T37" s="365">
        <v>588</v>
      </c>
      <c r="U37" s="363">
        <v>8189</v>
      </c>
      <c r="V37" s="363">
        <v>2866</v>
      </c>
      <c r="W37" s="363">
        <v>11055</v>
      </c>
      <c r="X37" s="13"/>
      <c r="Y37" s="13"/>
    </row>
    <row r="38" spans="2:25" hidden="1" outlineLevel="1" x14ac:dyDescent="0.25">
      <c r="B38" s="362">
        <v>39783</v>
      </c>
      <c r="C38" s="365"/>
      <c r="D38" s="365"/>
      <c r="E38" s="365"/>
      <c r="F38" s="365"/>
      <c r="G38" s="365"/>
      <c r="H38" s="365"/>
      <c r="I38" s="365">
        <v>4103</v>
      </c>
      <c r="J38" s="365">
        <v>1230</v>
      </c>
      <c r="K38" s="365">
        <v>5333</v>
      </c>
      <c r="L38" s="365">
        <v>2523</v>
      </c>
      <c r="M38" s="365">
        <v>845</v>
      </c>
      <c r="N38" s="365">
        <v>3368</v>
      </c>
      <c r="O38" s="365">
        <v>900</v>
      </c>
      <c r="P38" s="365">
        <v>653</v>
      </c>
      <c r="Q38" s="365">
        <v>1553</v>
      </c>
      <c r="R38" s="365">
        <v>394</v>
      </c>
      <c r="S38" s="365">
        <v>233</v>
      </c>
      <c r="T38" s="365">
        <v>627</v>
      </c>
      <c r="U38" s="363">
        <v>7920</v>
      </c>
      <c r="V38" s="363">
        <v>2961</v>
      </c>
      <c r="W38" s="363">
        <v>10881</v>
      </c>
      <c r="X38" s="13"/>
      <c r="Y38" s="13"/>
    </row>
    <row r="39" spans="2:25" collapsed="1" x14ac:dyDescent="0.25">
      <c r="B39" s="364" t="s">
        <v>699</v>
      </c>
      <c r="C39" s="363" t="s">
        <v>804</v>
      </c>
      <c r="D39" s="363" t="s">
        <v>804</v>
      </c>
      <c r="E39" s="363" t="s">
        <v>804</v>
      </c>
      <c r="F39" s="363" t="s">
        <v>804</v>
      </c>
      <c r="G39" s="363" t="s">
        <v>804</v>
      </c>
      <c r="H39" s="363" t="s">
        <v>804</v>
      </c>
      <c r="I39" s="363">
        <v>11234</v>
      </c>
      <c r="J39" s="363">
        <v>2863</v>
      </c>
      <c r="K39" s="363">
        <v>14097</v>
      </c>
      <c r="L39" s="363">
        <v>4844</v>
      </c>
      <c r="M39" s="363">
        <v>1366</v>
      </c>
      <c r="N39" s="363">
        <v>6210</v>
      </c>
      <c r="O39" s="363">
        <v>1382</v>
      </c>
      <c r="P39" s="363">
        <v>751</v>
      </c>
      <c r="Q39" s="363">
        <v>2133</v>
      </c>
      <c r="R39" s="363">
        <v>646</v>
      </c>
      <c r="S39" s="363">
        <v>363</v>
      </c>
      <c r="T39" s="363">
        <v>1009</v>
      </c>
      <c r="U39" s="363">
        <v>18106</v>
      </c>
      <c r="V39" s="363">
        <v>5342</v>
      </c>
      <c r="W39" s="363">
        <v>23448</v>
      </c>
      <c r="X39" s="13"/>
      <c r="Y39" s="13"/>
    </row>
    <row r="40" spans="2:25" hidden="1" outlineLevel="1" x14ac:dyDescent="0.25">
      <c r="B40" s="362">
        <v>39814</v>
      </c>
      <c r="C40" s="365"/>
      <c r="D40" s="365"/>
      <c r="E40" s="365"/>
      <c r="F40" s="365"/>
      <c r="G40" s="365"/>
      <c r="H40" s="365"/>
      <c r="I40" s="365">
        <v>3293</v>
      </c>
      <c r="J40" s="365">
        <v>1195</v>
      </c>
      <c r="K40" s="365">
        <v>4488</v>
      </c>
      <c r="L40" s="365">
        <v>2290</v>
      </c>
      <c r="M40" s="365">
        <v>701</v>
      </c>
      <c r="N40" s="365">
        <v>2991</v>
      </c>
      <c r="O40" s="365">
        <v>794</v>
      </c>
      <c r="P40" s="365">
        <v>666</v>
      </c>
      <c r="Q40" s="365">
        <v>1460</v>
      </c>
      <c r="R40" s="365">
        <v>418</v>
      </c>
      <c r="S40" s="365">
        <v>234</v>
      </c>
      <c r="T40" s="365">
        <v>652</v>
      </c>
      <c r="U40" s="363">
        <v>6795</v>
      </c>
      <c r="V40" s="363">
        <v>2796</v>
      </c>
      <c r="W40" s="363">
        <v>9591</v>
      </c>
      <c r="X40" s="13"/>
      <c r="Y40" s="13"/>
    </row>
    <row r="41" spans="2:25" hidden="1" outlineLevel="1" x14ac:dyDescent="0.25">
      <c r="B41" s="362">
        <v>39845</v>
      </c>
      <c r="C41" s="365"/>
      <c r="D41" s="365"/>
      <c r="E41" s="365"/>
      <c r="F41" s="365"/>
      <c r="G41" s="365"/>
      <c r="H41" s="365"/>
      <c r="I41" s="365">
        <v>2479</v>
      </c>
      <c r="J41" s="365">
        <v>877</v>
      </c>
      <c r="K41" s="365">
        <v>3356</v>
      </c>
      <c r="L41" s="365">
        <v>1724</v>
      </c>
      <c r="M41" s="365">
        <v>633</v>
      </c>
      <c r="N41" s="365">
        <v>2357</v>
      </c>
      <c r="O41" s="365">
        <v>639</v>
      </c>
      <c r="P41" s="365">
        <v>529</v>
      </c>
      <c r="Q41" s="365">
        <v>1168</v>
      </c>
      <c r="R41" s="365">
        <v>370</v>
      </c>
      <c r="S41" s="365">
        <v>228</v>
      </c>
      <c r="T41" s="365">
        <v>598</v>
      </c>
      <c r="U41" s="363">
        <v>5212</v>
      </c>
      <c r="V41" s="363">
        <v>2267</v>
      </c>
      <c r="W41" s="363">
        <v>7479</v>
      </c>
      <c r="X41" s="13"/>
      <c r="Y41" s="13"/>
    </row>
    <row r="42" spans="2:25" hidden="1" outlineLevel="1" x14ac:dyDescent="0.25">
      <c r="B42" s="362">
        <v>39873</v>
      </c>
      <c r="C42" s="365"/>
      <c r="D42" s="365"/>
      <c r="E42" s="365"/>
      <c r="F42" s="365"/>
      <c r="G42" s="365"/>
      <c r="H42" s="365"/>
      <c r="I42" s="365">
        <v>3204</v>
      </c>
      <c r="J42" s="365">
        <v>1065</v>
      </c>
      <c r="K42" s="365">
        <v>4269</v>
      </c>
      <c r="L42" s="365">
        <v>2455</v>
      </c>
      <c r="M42" s="365">
        <v>760</v>
      </c>
      <c r="N42" s="365">
        <v>3215</v>
      </c>
      <c r="O42" s="365">
        <v>758</v>
      </c>
      <c r="P42" s="365">
        <v>671</v>
      </c>
      <c r="Q42" s="365">
        <v>1429</v>
      </c>
      <c r="R42" s="365">
        <v>448</v>
      </c>
      <c r="S42" s="365">
        <v>307</v>
      </c>
      <c r="T42" s="365">
        <v>755</v>
      </c>
      <c r="U42" s="363">
        <v>6865</v>
      </c>
      <c r="V42" s="363">
        <v>2803</v>
      </c>
      <c r="W42" s="363">
        <v>9668</v>
      </c>
      <c r="X42" s="13"/>
      <c r="Y42" s="13"/>
    </row>
    <row r="43" spans="2:25" hidden="1" outlineLevel="1" x14ac:dyDescent="0.25">
      <c r="B43" s="362">
        <v>39904</v>
      </c>
      <c r="C43" s="365"/>
      <c r="D43" s="365"/>
      <c r="E43" s="365"/>
      <c r="F43" s="365"/>
      <c r="G43" s="365"/>
      <c r="H43" s="365"/>
      <c r="I43" s="365">
        <v>2876</v>
      </c>
      <c r="J43" s="365">
        <v>943</v>
      </c>
      <c r="K43" s="365">
        <v>3819</v>
      </c>
      <c r="L43" s="365">
        <v>2147</v>
      </c>
      <c r="M43" s="365">
        <v>675</v>
      </c>
      <c r="N43" s="365">
        <v>2822</v>
      </c>
      <c r="O43" s="365">
        <v>706</v>
      </c>
      <c r="P43" s="365">
        <v>597</v>
      </c>
      <c r="Q43" s="365">
        <v>1303</v>
      </c>
      <c r="R43" s="365">
        <v>416</v>
      </c>
      <c r="S43" s="365">
        <v>285</v>
      </c>
      <c r="T43" s="365">
        <v>701</v>
      </c>
      <c r="U43" s="363">
        <v>6145</v>
      </c>
      <c r="V43" s="363">
        <v>2500</v>
      </c>
      <c r="W43" s="363">
        <v>8645</v>
      </c>
      <c r="X43" s="13"/>
      <c r="Y43" s="13"/>
    </row>
    <row r="44" spans="2:25" hidden="1" outlineLevel="1" x14ac:dyDescent="0.25">
      <c r="B44" s="362">
        <v>39934</v>
      </c>
      <c r="C44" s="365"/>
      <c r="D44" s="365"/>
      <c r="E44" s="365"/>
      <c r="F44" s="365"/>
      <c r="G44" s="365"/>
      <c r="H44" s="365"/>
      <c r="I44" s="365">
        <v>2667</v>
      </c>
      <c r="J44" s="365">
        <v>885</v>
      </c>
      <c r="K44" s="365">
        <v>3552</v>
      </c>
      <c r="L44" s="365">
        <v>1868</v>
      </c>
      <c r="M44" s="365">
        <v>602</v>
      </c>
      <c r="N44" s="365">
        <v>2470</v>
      </c>
      <c r="O44" s="365">
        <v>582</v>
      </c>
      <c r="P44" s="365">
        <v>576</v>
      </c>
      <c r="Q44" s="365">
        <v>1158</v>
      </c>
      <c r="R44" s="365">
        <v>442</v>
      </c>
      <c r="S44" s="365">
        <v>302</v>
      </c>
      <c r="T44" s="365">
        <v>744</v>
      </c>
      <c r="U44" s="363">
        <v>5559</v>
      </c>
      <c r="V44" s="363">
        <v>2365</v>
      </c>
      <c r="W44" s="363">
        <v>7924</v>
      </c>
      <c r="X44" s="13"/>
      <c r="Y44" s="13"/>
    </row>
    <row r="45" spans="2:25" hidden="1" outlineLevel="1" x14ac:dyDescent="0.25">
      <c r="B45" s="362">
        <v>39965</v>
      </c>
      <c r="C45" s="365"/>
      <c r="D45" s="365"/>
      <c r="E45" s="365"/>
      <c r="F45" s="365"/>
      <c r="G45" s="365"/>
      <c r="H45" s="365"/>
      <c r="I45" s="365">
        <v>1967</v>
      </c>
      <c r="J45" s="365">
        <v>1031</v>
      </c>
      <c r="K45" s="365">
        <v>2998</v>
      </c>
      <c r="L45" s="365">
        <v>2045</v>
      </c>
      <c r="M45" s="365">
        <v>735</v>
      </c>
      <c r="N45" s="365">
        <v>2780</v>
      </c>
      <c r="O45" s="365">
        <v>35936</v>
      </c>
      <c r="P45" s="365">
        <v>18546</v>
      </c>
      <c r="Q45" s="365">
        <v>54482</v>
      </c>
      <c r="R45" s="365">
        <v>410</v>
      </c>
      <c r="S45" s="365">
        <v>351</v>
      </c>
      <c r="T45" s="365">
        <v>761</v>
      </c>
      <c r="U45" s="363">
        <v>40358</v>
      </c>
      <c r="V45" s="363">
        <v>20663</v>
      </c>
      <c r="W45" s="363">
        <v>61021</v>
      </c>
      <c r="X45" s="13"/>
      <c r="Y45" s="13"/>
    </row>
    <row r="46" spans="2:25" hidden="1" outlineLevel="1" x14ac:dyDescent="0.25">
      <c r="B46" s="362">
        <v>39995</v>
      </c>
      <c r="C46" s="365"/>
      <c r="D46" s="365"/>
      <c r="E46" s="365"/>
      <c r="F46" s="365"/>
      <c r="G46" s="365"/>
      <c r="H46" s="365"/>
      <c r="I46" s="365">
        <v>8111</v>
      </c>
      <c r="J46" s="365">
        <v>1138</v>
      </c>
      <c r="K46" s="365">
        <v>9249</v>
      </c>
      <c r="L46" s="365">
        <v>2698</v>
      </c>
      <c r="M46" s="365">
        <v>734</v>
      </c>
      <c r="N46" s="365">
        <v>3432</v>
      </c>
      <c r="O46" s="365">
        <v>19474</v>
      </c>
      <c r="P46" s="365">
        <v>16617</v>
      </c>
      <c r="Q46" s="365">
        <v>36091</v>
      </c>
      <c r="R46" s="365">
        <v>400</v>
      </c>
      <c r="S46" s="365">
        <v>330</v>
      </c>
      <c r="T46" s="365">
        <v>730</v>
      </c>
      <c r="U46" s="363">
        <v>30683</v>
      </c>
      <c r="V46" s="363">
        <v>18819</v>
      </c>
      <c r="W46" s="363">
        <v>49502</v>
      </c>
      <c r="X46" s="13"/>
      <c r="Y46" s="13"/>
    </row>
    <row r="47" spans="2:25" hidden="1" outlineLevel="1" x14ac:dyDescent="0.25">
      <c r="B47" s="362">
        <v>40026</v>
      </c>
      <c r="C47" s="365"/>
      <c r="D47" s="365"/>
      <c r="E47" s="365"/>
      <c r="F47" s="365"/>
      <c r="G47" s="365"/>
      <c r="H47" s="365"/>
      <c r="I47" s="365">
        <v>5425</v>
      </c>
      <c r="J47" s="365">
        <v>1441</v>
      </c>
      <c r="K47" s="365">
        <v>6866</v>
      </c>
      <c r="L47" s="365">
        <v>2833</v>
      </c>
      <c r="M47" s="365">
        <v>859</v>
      </c>
      <c r="N47" s="365">
        <v>3692</v>
      </c>
      <c r="O47" s="365">
        <v>32515</v>
      </c>
      <c r="P47" s="365">
        <v>22745</v>
      </c>
      <c r="Q47" s="365">
        <v>55260</v>
      </c>
      <c r="R47" s="365">
        <v>889</v>
      </c>
      <c r="S47" s="365">
        <v>575</v>
      </c>
      <c r="T47" s="365">
        <v>1464</v>
      </c>
      <c r="U47" s="363">
        <v>41662</v>
      </c>
      <c r="V47" s="363">
        <v>25620</v>
      </c>
      <c r="W47" s="363">
        <v>67282</v>
      </c>
      <c r="X47" s="13"/>
      <c r="Y47" s="13"/>
    </row>
    <row r="48" spans="2:25" hidden="1" outlineLevel="1" x14ac:dyDescent="0.25">
      <c r="B48" s="362">
        <v>40057</v>
      </c>
      <c r="C48" s="365"/>
      <c r="D48" s="365"/>
      <c r="E48" s="365"/>
      <c r="F48" s="365"/>
      <c r="G48" s="365"/>
      <c r="H48" s="365"/>
      <c r="I48" s="365">
        <v>5009</v>
      </c>
      <c r="J48" s="365">
        <v>1485</v>
      </c>
      <c r="K48" s="365">
        <v>6494</v>
      </c>
      <c r="L48" s="365">
        <v>2540</v>
      </c>
      <c r="M48" s="365">
        <v>873</v>
      </c>
      <c r="N48" s="365">
        <v>3413</v>
      </c>
      <c r="O48" s="365">
        <v>42718</v>
      </c>
      <c r="P48" s="365">
        <v>30864</v>
      </c>
      <c r="Q48" s="365">
        <v>73582</v>
      </c>
      <c r="R48" s="365">
        <v>970</v>
      </c>
      <c r="S48" s="365">
        <v>777</v>
      </c>
      <c r="T48" s="365">
        <v>1747</v>
      </c>
      <c r="U48" s="363">
        <v>51237</v>
      </c>
      <c r="V48" s="363">
        <v>33999</v>
      </c>
      <c r="W48" s="363">
        <v>85236</v>
      </c>
      <c r="X48" s="13"/>
      <c r="Y48" s="13"/>
    </row>
    <row r="49" spans="2:25" hidden="1" outlineLevel="1" x14ac:dyDescent="0.25">
      <c r="B49" s="362">
        <v>40087</v>
      </c>
      <c r="C49" s="365"/>
      <c r="D49" s="365"/>
      <c r="E49" s="365"/>
      <c r="F49" s="365"/>
      <c r="G49" s="365"/>
      <c r="H49" s="365"/>
      <c r="I49" s="365">
        <v>4144</v>
      </c>
      <c r="J49" s="365">
        <v>1395</v>
      </c>
      <c r="K49" s="365">
        <v>5539</v>
      </c>
      <c r="L49" s="365">
        <v>2447</v>
      </c>
      <c r="M49" s="365">
        <v>804</v>
      </c>
      <c r="N49" s="365">
        <v>3251</v>
      </c>
      <c r="O49" s="365">
        <v>19572</v>
      </c>
      <c r="P49" s="365">
        <v>15144</v>
      </c>
      <c r="Q49" s="365">
        <v>34716</v>
      </c>
      <c r="R49" s="365">
        <v>673</v>
      </c>
      <c r="S49" s="365">
        <v>534</v>
      </c>
      <c r="T49" s="365">
        <v>1207</v>
      </c>
      <c r="U49" s="363">
        <v>26836</v>
      </c>
      <c r="V49" s="363">
        <v>17877</v>
      </c>
      <c r="W49" s="363">
        <v>44713</v>
      </c>
      <c r="X49" s="13"/>
      <c r="Y49" s="13"/>
    </row>
    <row r="50" spans="2:25" hidden="1" outlineLevel="1" x14ac:dyDescent="0.25">
      <c r="B50" s="362">
        <v>40118</v>
      </c>
      <c r="C50" s="365"/>
      <c r="D50" s="365"/>
      <c r="E50" s="365"/>
      <c r="F50" s="365"/>
      <c r="G50" s="365"/>
      <c r="H50" s="365"/>
      <c r="I50" s="365">
        <v>3427</v>
      </c>
      <c r="J50" s="365">
        <v>1141</v>
      </c>
      <c r="K50" s="365">
        <v>4568</v>
      </c>
      <c r="L50" s="365">
        <v>1993</v>
      </c>
      <c r="M50" s="365">
        <v>614</v>
      </c>
      <c r="N50" s="365">
        <v>2607</v>
      </c>
      <c r="O50" s="365">
        <v>12729</v>
      </c>
      <c r="P50" s="365">
        <v>8289</v>
      </c>
      <c r="Q50" s="365">
        <v>21018</v>
      </c>
      <c r="R50" s="365">
        <v>657</v>
      </c>
      <c r="S50" s="365">
        <v>465</v>
      </c>
      <c r="T50" s="365">
        <v>1122</v>
      </c>
      <c r="U50" s="363">
        <v>18806</v>
      </c>
      <c r="V50" s="363">
        <v>10509</v>
      </c>
      <c r="W50" s="363">
        <v>29315</v>
      </c>
      <c r="X50" s="13"/>
      <c r="Y50" s="13"/>
    </row>
    <row r="51" spans="2:25" hidden="1" outlineLevel="1" x14ac:dyDescent="0.25">
      <c r="B51" s="362">
        <v>40148</v>
      </c>
      <c r="C51" s="365"/>
      <c r="D51" s="365"/>
      <c r="E51" s="365"/>
      <c r="F51" s="365"/>
      <c r="G51" s="365"/>
      <c r="H51" s="365"/>
      <c r="I51" s="365">
        <v>3160</v>
      </c>
      <c r="J51" s="365">
        <v>961</v>
      </c>
      <c r="K51" s="365">
        <v>4121</v>
      </c>
      <c r="L51" s="365">
        <v>1868</v>
      </c>
      <c r="M51" s="365">
        <v>635</v>
      </c>
      <c r="N51" s="365">
        <v>2503</v>
      </c>
      <c r="O51" s="365">
        <v>10450</v>
      </c>
      <c r="P51" s="365">
        <v>6068</v>
      </c>
      <c r="Q51" s="365">
        <v>16518</v>
      </c>
      <c r="R51" s="365">
        <v>679</v>
      </c>
      <c r="S51" s="365">
        <v>565</v>
      </c>
      <c r="T51" s="365">
        <v>1244</v>
      </c>
      <c r="U51" s="363">
        <v>16157</v>
      </c>
      <c r="V51" s="363">
        <v>8229</v>
      </c>
      <c r="W51" s="363">
        <v>24386</v>
      </c>
      <c r="X51" s="13"/>
      <c r="Y51" s="13"/>
    </row>
    <row r="52" spans="2:25" collapsed="1" x14ac:dyDescent="0.25">
      <c r="B52" s="364" t="s">
        <v>700</v>
      </c>
      <c r="C52" s="363" t="s">
        <v>804</v>
      </c>
      <c r="D52" s="363" t="s">
        <v>804</v>
      </c>
      <c r="E52" s="363" t="s">
        <v>804</v>
      </c>
      <c r="F52" s="363" t="s">
        <v>804</v>
      </c>
      <c r="G52" s="363" t="s">
        <v>804</v>
      </c>
      <c r="H52" s="363" t="s">
        <v>804</v>
      </c>
      <c r="I52" s="363">
        <v>3814</v>
      </c>
      <c r="J52" s="363">
        <v>1130</v>
      </c>
      <c r="K52" s="363">
        <v>4943</v>
      </c>
      <c r="L52" s="363">
        <v>2242</v>
      </c>
      <c r="M52" s="363">
        <v>719</v>
      </c>
      <c r="N52" s="363">
        <v>2961</v>
      </c>
      <c r="O52" s="363">
        <v>14739</v>
      </c>
      <c r="P52" s="363">
        <v>10109</v>
      </c>
      <c r="Q52" s="363">
        <v>24849</v>
      </c>
      <c r="R52" s="363">
        <v>564</v>
      </c>
      <c r="S52" s="363">
        <v>413</v>
      </c>
      <c r="T52" s="363">
        <v>977</v>
      </c>
      <c r="U52" s="363">
        <v>21360</v>
      </c>
      <c r="V52" s="363">
        <v>12371</v>
      </c>
      <c r="W52" s="363">
        <v>33730</v>
      </c>
      <c r="X52" s="13"/>
      <c r="Y52" s="13"/>
    </row>
    <row r="53" spans="2:25" hidden="1" outlineLevel="1" x14ac:dyDescent="0.25">
      <c r="B53" s="362">
        <v>40179</v>
      </c>
      <c r="C53" s="365"/>
      <c r="D53" s="365"/>
      <c r="E53" s="365"/>
      <c r="F53" s="365"/>
      <c r="G53" s="365"/>
      <c r="H53" s="365"/>
      <c r="I53" s="365">
        <v>2810</v>
      </c>
      <c r="J53" s="365">
        <v>907</v>
      </c>
      <c r="K53" s="365">
        <v>3717</v>
      </c>
      <c r="L53" s="365">
        <v>1730</v>
      </c>
      <c r="M53" s="365">
        <v>624</v>
      </c>
      <c r="N53" s="365">
        <v>2354</v>
      </c>
      <c r="O53" s="365">
        <v>8375</v>
      </c>
      <c r="P53" s="365">
        <v>5011</v>
      </c>
      <c r="Q53" s="365">
        <v>13386</v>
      </c>
      <c r="R53" s="365">
        <v>600</v>
      </c>
      <c r="S53" s="365">
        <v>362</v>
      </c>
      <c r="T53" s="365">
        <v>962</v>
      </c>
      <c r="U53" s="363">
        <v>13515</v>
      </c>
      <c r="V53" s="363">
        <v>6904</v>
      </c>
      <c r="W53" s="363">
        <v>20419</v>
      </c>
      <c r="X53" s="13"/>
      <c r="Y53" s="13"/>
    </row>
    <row r="54" spans="2:25" hidden="1" outlineLevel="1" x14ac:dyDescent="0.25">
      <c r="B54" s="362">
        <v>40210</v>
      </c>
      <c r="C54" s="365"/>
      <c r="D54" s="365"/>
      <c r="E54" s="365"/>
      <c r="F54" s="365"/>
      <c r="G54" s="365"/>
      <c r="H54" s="365"/>
      <c r="I54" s="365">
        <v>2172</v>
      </c>
      <c r="J54" s="365">
        <v>811</v>
      </c>
      <c r="K54" s="365">
        <v>2983</v>
      </c>
      <c r="L54" s="365">
        <v>1517</v>
      </c>
      <c r="M54" s="365">
        <v>497</v>
      </c>
      <c r="N54" s="365">
        <v>2014</v>
      </c>
      <c r="O54" s="365">
        <v>6196</v>
      </c>
      <c r="P54" s="365">
        <v>3752</v>
      </c>
      <c r="Q54" s="365">
        <v>9948</v>
      </c>
      <c r="R54" s="365">
        <v>559</v>
      </c>
      <c r="S54" s="365">
        <v>370</v>
      </c>
      <c r="T54" s="365">
        <v>929</v>
      </c>
      <c r="U54" s="363">
        <v>10444</v>
      </c>
      <c r="V54" s="363">
        <v>5430</v>
      </c>
      <c r="W54" s="363">
        <v>15874</v>
      </c>
      <c r="X54" s="13"/>
      <c r="Y54" s="13"/>
    </row>
    <row r="55" spans="2:25" hidden="1" outlineLevel="1" x14ac:dyDescent="0.25">
      <c r="B55" s="362">
        <v>40238</v>
      </c>
      <c r="C55" s="365"/>
      <c r="D55" s="365"/>
      <c r="E55" s="365"/>
      <c r="F55" s="365"/>
      <c r="G55" s="365"/>
      <c r="H55" s="365"/>
      <c r="I55" s="365">
        <v>2354</v>
      </c>
      <c r="J55" s="365">
        <v>857</v>
      </c>
      <c r="K55" s="365">
        <v>3211</v>
      </c>
      <c r="L55" s="365">
        <v>1380</v>
      </c>
      <c r="M55" s="365">
        <v>507</v>
      </c>
      <c r="N55" s="365">
        <v>1887</v>
      </c>
      <c r="O55" s="365">
        <v>4953</v>
      </c>
      <c r="P55" s="365">
        <v>3424</v>
      </c>
      <c r="Q55" s="365">
        <v>8377</v>
      </c>
      <c r="R55" s="365">
        <v>645</v>
      </c>
      <c r="S55" s="365">
        <v>438</v>
      </c>
      <c r="T55" s="365">
        <v>1083</v>
      </c>
      <c r="U55" s="363">
        <v>9332</v>
      </c>
      <c r="V55" s="363">
        <v>5226</v>
      </c>
      <c r="W55" s="363">
        <v>14558</v>
      </c>
      <c r="X55" s="13"/>
      <c r="Y55" s="13"/>
    </row>
    <row r="56" spans="2:25" hidden="1" outlineLevel="1" x14ac:dyDescent="0.25">
      <c r="B56" s="362">
        <v>40269</v>
      </c>
      <c r="C56" s="365"/>
      <c r="D56" s="365"/>
      <c r="E56" s="365"/>
      <c r="F56" s="365"/>
      <c r="G56" s="365"/>
      <c r="H56" s="365"/>
      <c r="I56" s="365">
        <v>2385</v>
      </c>
      <c r="J56" s="365">
        <v>789</v>
      </c>
      <c r="K56" s="365">
        <v>3174</v>
      </c>
      <c r="L56" s="365">
        <v>1636</v>
      </c>
      <c r="M56" s="365">
        <v>594</v>
      </c>
      <c r="N56" s="365">
        <v>2230</v>
      </c>
      <c r="O56" s="365">
        <v>5795</v>
      </c>
      <c r="P56" s="365">
        <v>5114</v>
      </c>
      <c r="Q56" s="365">
        <v>10909</v>
      </c>
      <c r="R56" s="365">
        <v>634</v>
      </c>
      <c r="S56" s="365">
        <v>497</v>
      </c>
      <c r="T56" s="365">
        <v>1131</v>
      </c>
      <c r="U56" s="363">
        <v>10450</v>
      </c>
      <c r="V56" s="363">
        <v>6994</v>
      </c>
      <c r="W56" s="363">
        <v>17444</v>
      </c>
      <c r="X56" s="13"/>
      <c r="Y56" s="13"/>
    </row>
    <row r="57" spans="2:25" hidden="1" outlineLevel="1" x14ac:dyDescent="0.25">
      <c r="B57" s="362">
        <v>40299</v>
      </c>
      <c r="C57" s="365"/>
      <c r="D57" s="365"/>
      <c r="E57" s="365"/>
      <c r="F57" s="365"/>
      <c r="G57" s="365"/>
      <c r="H57" s="365"/>
      <c r="I57" s="365">
        <v>2165</v>
      </c>
      <c r="J57" s="365">
        <v>799</v>
      </c>
      <c r="K57" s="365">
        <v>2964</v>
      </c>
      <c r="L57" s="365">
        <v>1601</v>
      </c>
      <c r="M57" s="365">
        <v>533</v>
      </c>
      <c r="N57" s="365">
        <v>2134</v>
      </c>
      <c r="O57" s="365">
        <v>4804</v>
      </c>
      <c r="P57" s="365">
        <v>4788</v>
      </c>
      <c r="Q57" s="365">
        <v>9592</v>
      </c>
      <c r="R57" s="365">
        <v>586</v>
      </c>
      <c r="S57" s="365">
        <v>427</v>
      </c>
      <c r="T57" s="365">
        <v>1013</v>
      </c>
      <c r="U57" s="363">
        <v>9156</v>
      </c>
      <c r="V57" s="363">
        <v>6547</v>
      </c>
      <c r="W57" s="363">
        <v>15703</v>
      </c>
      <c r="X57" s="13"/>
      <c r="Y57" s="13"/>
    </row>
    <row r="58" spans="2:25" hidden="1" outlineLevel="1" x14ac:dyDescent="0.25">
      <c r="B58" s="362">
        <v>40330</v>
      </c>
      <c r="C58" s="365"/>
      <c r="D58" s="365"/>
      <c r="E58" s="365"/>
      <c r="F58" s="365"/>
      <c r="G58" s="365"/>
      <c r="H58" s="365"/>
      <c r="I58" s="365">
        <v>2223</v>
      </c>
      <c r="J58" s="365">
        <v>842</v>
      </c>
      <c r="K58" s="365">
        <v>3065</v>
      </c>
      <c r="L58" s="365">
        <v>1637</v>
      </c>
      <c r="M58" s="365">
        <v>536</v>
      </c>
      <c r="N58" s="365">
        <v>2173</v>
      </c>
      <c r="O58" s="365">
        <v>9030</v>
      </c>
      <c r="P58" s="365">
        <v>7038</v>
      </c>
      <c r="Q58" s="365">
        <v>16068</v>
      </c>
      <c r="R58" s="365">
        <v>547</v>
      </c>
      <c r="S58" s="365">
        <v>392</v>
      </c>
      <c r="T58" s="365">
        <v>939</v>
      </c>
      <c r="U58" s="363">
        <v>13437</v>
      </c>
      <c r="V58" s="363">
        <v>8808</v>
      </c>
      <c r="W58" s="363">
        <v>22245</v>
      </c>
      <c r="X58" s="13"/>
      <c r="Y58" s="13"/>
    </row>
    <row r="59" spans="2:25" hidden="1" outlineLevel="1" x14ac:dyDescent="0.25">
      <c r="B59" s="362">
        <v>40360</v>
      </c>
      <c r="C59" s="365"/>
      <c r="D59" s="365"/>
      <c r="E59" s="365"/>
      <c r="F59" s="365"/>
      <c r="G59" s="365"/>
      <c r="H59" s="365"/>
      <c r="I59" s="365">
        <v>2977</v>
      </c>
      <c r="J59" s="365">
        <v>946</v>
      </c>
      <c r="K59" s="365">
        <v>3923</v>
      </c>
      <c r="L59" s="365">
        <v>1649</v>
      </c>
      <c r="M59" s="365">
        <v>540</v>
      </c>
      <c r="N59" s="365">
        <v>2189</v>
      </c>
      <c r="O59" s="365">
        <v>15794</v>
      </c>
      <c r="P59" s="365">
        <v>12661</v>
      </c>
      <c r="Q59" s="365">
        <v>28455</v>
      </c>
      <c r="R59" s="365">
        <v>626</v>
      </c>
      <c r="S59" s="365">
        <v>441</v>
      </c>
      <c r="T59" s="365">
        <v>1067</v>
      </c>
      <c r="U59" s="363">
        <v>21046</v>
      </c>
      <c r="V59" s="363">
        <v>14588</v>
      </c>
      <c r="W59" s="363">
        <v>35634</v>
      </c>
      <c r="X59" s="13"/>
      <c r="Y59" s="13"/>
    </row>
    <row r="60" spans="2:25" hidden="1" outlineLevel="1" x14ac:dyDescent="0.25">
      <c r="B60" s="362">
        <v>40391</v>
      </c>
      <c r="C60" s="365"/>
      <c r="D60" s="365"/>
      <c r="E60" s="365"/>
      <c r="F60" s="365"/>
      <c r="G60" s="365"/>
      <c r="H60" s="365"/>
      <c r="I60" s="365">
        <v>3187</v>
      </c>
      <c r="J60" s="365">
        <v>1037</v>
      </c>
      <c r="K60" s="365">
        <v>4224</v>
      </c>
      <c r="L60" s="365">
        <v>1848</v>
      </c>
      <c r="M60" s="365">
        <v>635</v>
      </c>
      <c r="N60" s="365">
        <v>2483</v>
      </c>
      <c r="O60" s="365">
        <v>14051</v>
      </c>
      <c r="P60" s="365">
        <v>10734</v>
      </c>
      <c r="Q60" s="365">
        <v>24785</v>
      </c>
      <c r="R60" s="365">
        <v>613</v>
      </c>
      <c r="S60" s="365">
        <v>451</v>
      </c>
      <c r="T60" s="365">
        <v>1064</v>
      </c>
      <c r="U60" s="363">
        <v>19699</v>
      </c>
      <c r="V60" s="363">
        <v>12857</v>
      </c>
      <c r="W60" s="363">
        <v>32556</v>
      </c>
      <c r="X60" s="13"/>
      <c r="Y60" s="13"/>
    </row>
    <row r="61" spans="2:25" hidden="1" outlineLevel="1" x14ac:dyDescent="0.25">
      <c r="B61" s="362">
        <v>40422</v>
      </c>
      <c r="C61" s="365"/>
      <c r="D61" s="365"/>
      <c r="E61" s="365"/>
      <c r="F61" s="365"/>
      <c r="G61" s="365"/>
      <c r="H61" s="365"/>
      <c r="I61" s="365">
        <v>2772</v>
      </c>
      <c r="J61" s="365">
        <v>851</v>
      </c>
      <c r="K61" s="365">
        <v>3623</v>
      </c>
      <c r="L61" s="365">
        <v>1450</v>
      </c>
      <c r="M61" s="365">
        <v>487</v>
      </c>
      <c r="N61" s="365">
        <v>1937</v>
      </c>
      <c r="O61" s="365">
        <v>8638</v>
      </c>
      <c r="P61" s="365">
        <v>6017</v>
      </c>
      <c r="Q61" s="365">
        <v>14655</v>
      </c>
      <c r="R61" s="365">
        <v>520</v>
      </c>
      <c r="S61" s="365">
        <v>376</v>
      </c>
      <c r="T61" s="365">
        <v>896</v>
      </c>
      <c r="U61" s="363">
        <v>13380</v>
      </c>
      <c r="V61" s="363">
        <v>7731</v>
      </c>
      <c r="W61" s="363">
        <v>21111</v>
      </c>
      <c r="X61" s="13"/>
      <c r="Y61" s="13"/>
    </row>
    <row r="62" spans="2:25" hidden="1" outlineLevel="1" x14ac:dyDescent="0.25">
      <c r="B62" s="362">
        <v>40452</v>
      </c>
      <c r="C62" s="365"/>
      <c r="D62" s="365"/>
      <c r="E62" s="365"/>
      <c r="F62" s="365"/>
      <c r="G62" s="365"/>
      <c r="H62" s="365"/>
      <c r="I62" s="365">
        <v>2859</v>
      </c>
      <c r="J62" s="365">
        <v>872</v>
      </c>
      <c r="K62" s="365">
        <v>3731</v>
      </c>
      <c r="L62" s="365">
        <v>1578</v>
      </c>
      <c r="M62" s="365">
        <v>519</v>
      </c>
      <c r="N62" s="365">
        <v>2097</v>
      </c>
      <c r="O62" s="365">
        <v>7950</v>
      </c>
      <c r="P62" s="365">
        <v>5451</v>
      </c>
      <c r="Q62" s="365">
        <v>13401</v>
      </c>
      <c r="R62" s="365">
        <v>610</v>
      </c>
      <c r="S62" s="365">
        <v>487</v>
      </c>
      <c r="T62" s="365">
        <v>1097</v>
      </c>
      <c r="U62" s="363">
        <v>12997</v>
      </c>
      <c r="V62" s="363">
        <v>7329</v>
      </c>
      <c r="W62" s="363">
        <v>20326</v>
      </c>
      <c r="X62" s="13"/>
      <c r="Y62" s="13"/>
    </row>
    <row r="63" spans="2:25" hidden="1" outlineLevel="1" x14ac:dyDescent="0.25">
      <c r="B63" s="362">
        <v>40483</v>
      </c>
      <c r="C63" s="365"/>
      <c r="D63" s="365"/>
      <c r="E63" s="365"/>
      <c r="F63" s="365"/>
      <c r="G63" s="365"/>
      <c r="H63" s="365"/>
      <c r="I63" s="365">
        <v>2590</v>
      </c>
      <c r="J63" s="365">
        <v>812</v>
      </c>
      <c r="K63" s="365">
        <v>3402</v>
      </c>
      <c r="L63" s="365">
        <v>1560</v>
      </c>
      <c r="M63" s="365">
        <v>501</v>
      </c>
      <c r="N63" s="365">
        <v>2061</v>
      </c>
      <c r="O63" s="365">
        <v>6605</v>
      </c>
      <c r="P63" s="365">
        <v>4262</v>
      </c>
      <c r="Q63" s="365">
        <v>10867</v>
      </c>
      <c r="R63" s="365">
        <v>502</v>
      </c>
      <c r="S63" s="365">
        <v>348</v>
      </c>
      <c r="T63" s="365">
        <v>850</v>
      </c>
      <c r="U63" s="363">
        <v>11257</v>
      </c>
      <c r="V63" s="363">
        <v>5923</v>
      </c>
      <c r="W63" s="363">
        <v>17180</v>
      </c>
      <c r="X63" s="13"/>
      <c r="Y63" s="13"/>
    </row>
    <row r="64" spans="2:25" hidden="1" outlineLevel="1" x14ac:dyDescent="0.25">
      <c r="B64" s="362">
        <v>40513</v>
      </c>
      <c r="C64" s="365"/>
      <c r="D64" s="365"/>
      <c r="E64" s="365"/>
      <c r="F64" s="365"/>
      <c r="G64" s="365"/>
      <c r="H64" s="365"/>
      <c r="I64" s="365">
        <v>2048</v>
      </c>
      <c r="J64" s="365">
        <v>673</v>
      </c>
      <c r="K64" s="365">
        <v>2721</v>
      </c>
      <c r="L64" s="365">
        <v>1029</v>
      </c>
      <c r="M64" s="365">
        <v>379</v>
      </c>
      <c r="N64" s="365">
        <v>1408</v>
      </c>
      <c r="O64" s="365">
        <v>4531</v>
      </c>
      <c r="P64" s="365">
        <v>3103</v>
      </c>
      <c r="Q64" s="365">
        <v>7634</v>
      </c>
      <c r="R64" s="365">
        <v>488</v>
      </c>
      <c r="S64" s="365">
        <v>412</v>
      </c>
      <c r="T64" s="365">
        <v>900</v>
      </c>
      <c r="U64" s="363">
        <v>8096</v>
      </c>
      <c r="V64" s="363">
        <v>4567</v>
      </c>
      <c r="W64" s="363">
        <v>12663</v>
      </c>
      <c r="X64" s="13"/>
      <c r="Y64" s="13"/>
    </row>
    <row r="65" spans="2:25" collapsed="1" x14ac:dyDescent="0.25">
      <c r="B65" s="364" t="s">
        <v>701</v>
      </c>
      <c r="C65" s="363" t="s">
        <v>804</v>
      </c>
      <c r="D65" s="363" t="s">
        <v>804</v>
      </c>
      <c r="E65" s="363" t="s">
        <v>804</v>
      </c>
      <c r="F65" s="363" t="s">
        <v>804</v>
      </c>
      <c r="G65" s="363" t="s">
        <v>804</v>
      </c>
      <c r="H65" s="363" t="s">
        <v>804</v>
      </c>
      <c r="I65" s="363">
        <v>2545</v>
      </c>
      <c r="J65" s="363">
        <v>850</v>
      </c>
      <c r="K65" s="363">
        <v>3395</v>
      </c>
      <c r="L65" s="363">
        <v>1551</v>
      </c>
      <c r="M65" s="363">
        <v>529</v>
      </c>
      <c r="N65" s="363">
        <v>2081</v>
      </c>
      <c r="O65" s="363">
        <v>8060</v>
      </c>
      <c r="P65" s="363">
        <v>5946</v>
      </c>
      <c r="Q65" s="363">
        <v>14006</v>
      </c>
      <c r="R65" s="363">
        <v>578</v>
      </c>
      <c r="S65" s="363">
        <v>417</v>
      </c>
      <c r="T65" s="363">
        <v>994</v>
      </c>
      <c r="U65" s="363">
        <v>12734</v>
      </c>
      <c r="V65" s="363">
        <v>7742</v>
      </c>
      <c r="W65" s="363">
        <v>20476</v>
      </c>
      <c r="X65" s="13"/>
      <c r="Y65" s="13"/>
    </row>
    <row r="66" spans="2:25" hidden="1" outlineLevel="1" x14ac:dyDescent="0.25">
      <c r="B66" s="362">
        <v>40544</v>
      </c>
      <c r="C66" s="365"/>
      <c r="D66" s="365"/>
      <c r="E66" s="365"/>
      <c r="F66" s="365"/>
      <c r="G66" s="365"/>
      <c r="H66" s="365"/>
      <c r="I66" s="365">
        <v>2490</v>
      </c>
      <c r="J66" s="365">
        <v>896</v>
      </c>
      <c r="K66" s="365">
        <v>3386</v>
      </c>
      <c r="L66" s="365">
        <v>1397</v>
      </c>
      <c r="M66" s="365">
        <v>474</v>
      </c>
      <c r="N66" s="365">
        <v>1871</v>
      </c>
      <c r="O66" s="365">
        <v>6366</v>
      </c>
      <c r="P66" s="365">
        <v>4630</v>
      </c>
      <c r="Q66" s="365">
        <v>10996</v>
      </c>
      <c r="R66" s="365">
        <v>565</v>
      </c>
      <c r="S66" s="365">
        <v>429</v>
      </c>
      <c r="T66" s="365">
        <v>994</v>
      </c>
      <c r="U66" s="363">
        <v>10818</v>
      </c>
      <c r="V66" s="363">
        <v>6429</v>
      </c>
      <c r="W66" s="363">
        <v>17247</v>
      </c>
      <c r="X66" s="13"/>
      <c r="Y66" s="13"/>
    </row>
    <row r="67" spans="2:25" hidden="1" outlineLevel="1" x14ac:dyDescent="0.25">
      <c r="B67" s="362">
        <v>40575</v>
      </c>
      <c r="C67" s="365"/>
      <c r="D67" s="365"/>
      <c r="E67" s="365"/>
      <c r="F67" s="365"/>
      <c r="G67" s="365"/>
      <c r="H67" s="365"/>
      <c r="I67" s="365">
        <v>2187</v>
      </c>
      <c r="J67" s="365">
        <v>743</v>
      </c>
      <c r="K67" s="365">
        <v>2930</v>
      </c>
      <c r="L67" s="365">
        <v>1166</v>
      </c>
      <c r="M67" s="365">
        <v>433</v>
      </c>
      <c r="N67" s="365">
        <v>1599</v>
      </c>
      <c r="O67" s="365">
        <v>5128</v>
      </c>
      <c r="P67" s="365">
        <v>3702</v>
      </c>
      <c r="Q67" s="365">
        <v>8830</v>
      </c>
      <c r="R67" s="365">
        <v>468</v>
      </c>
      <c r="S67" s="365">
        <v>361</v>
      </c>
      <c r="T67" s="365">
        <v>829</v>
      </c>
      <c r="U67" s="363">
        <v>8949</v>
      </c>
      <c r="V67" s="363">
        <v>5239</v>
      </c>
      <c r="W67" s="363">
        <v>14188</v>
      </c>
      <c r="X67" s="13"/>
      <c r="Y67" s="13"/>
    </row>
    <row r="68" spans="2:25" hidden="1" outlineLevel="1" x14ac:dyDescent="0.25">
      <c r="B68" s="362">
        <v>40603</v>
      </c>
      <c r="C68" s="365"/>
      <c r="D68" s="365"/>
      <c r="E68" s="365"/>
      <c r="F68" s="365"/>
      <c r="G68" s="365"/>
      <c r="H68" s="365"/>
      <c r="I68" s="365">
        <v>2526</v>
      </c>
      <c r="J68" s="365">
        <v>779</v>
      </c>
      <c r="K68" s="365">
        <v>3305</v>
      </c>
      <c r="L68" s="365">
        <v>1632</v>
      </c>
      <c r="M68" s="365">
        <v>540</v>
      </c>
      <c r="N68" s="365">
        <v>2172</v>
      </c>
      <c r="O68" s="365">
        <v>5896</v>
      </c>
      <c r="P68" s="365">
        <v>3858</v>
      </c>
      <c r="Q68" s="365">
        <v>9754</v>
      </c>
      <c r="R68" s="365">
        <v>640</v>
      </c>
      <c r="S68" s="365">
        <v>445</v>
      </c>
      <c r="T68" s="365">
        <v>1085</v>
      </c>
      <c r="U68" s="363">
        <v>10694</v>
      </c>
      <c r="V68" s="363">
        <v>5622</v>
      </c>
      <c r="W68" s="363">
        <v>16316</v>
      </c>
      <c r="X68" s="13"/>
      <c r="Y68" s="13"/>
    </row>
    <row r="69" spans="2:25" hidden="1" outlineLevel="1" x14ac:dyDescent="0.25">
      <c r="B69" s="362">
        <v>40634</v>
      </c>
      <c r="C69" s="365"/>
      <c r="D69" s="365"/>
      <c r="E69" s="365"/>
      <c r="F69" s="365"/>
      <c r="G69" s="365"/>
      <c r="H69" s="365"/>
      <c r="I69" s="365">
        <v>1823</v>
      </c>
      <c r="J69" s="365">
        <v>635</v>
      </c>
      <c r="K69" s="365">
        <v>2458</v>
      </c>
      <c r="L69" s="365">
        <v>1310</v>
      </c>
      <c r="M69" s="365">
        <v>433</v>
      </c>
      <c r="N69" s="365">
        <v>1743</v>
      </c>
      <c r="O69" s="365">
        <v>4398</v>
      </c>
      <c r="P69" s="365">
        <v>2714</v>
      </c>
      <c r="Q69" s="365">
        <v>7112</v>
      </c>
      <c r="R69" s="365">
        <v>400</v>
      </c>
      <c r="S69" s="365">
        <v>325</v>
      </c>
      <c r="T69" s="365">
        <v>725</v>
      </c>
      <c r="U69" s="363">
        <v>7931</v>
      </c>
      <c r="V69" s="363">
        <v>4107</v>
      </c>
      <c r="W69" s="363">
        <v>12038</v>
      </c>
      <c r="X69" s="13"/>
      <c r="Y69" s="13"/>
    </row>
    <row r="70" spans="2:25" hidden="1" outlineLevel="1" x14ac:dyDescent="0.25">
      <c r="B70" s="362">
        <v>40664</v>
      </c>
      <c r="C70" s="365"/>
      <c r="D70" s="365"/>
      <c r="E70" s="365"/>
      <c r="F70" s="365"/>
      <c r="G70" s="365"/>
      <c r="H70" s="365"/>
      <c r="I70" s="365">
        <v>2291</v>
      </c>
      <c r="J70" s="365">
        <v>752</v>
      </c>
      <c r="K70" s="365">
        <v>3043</v>
      </c>
      <c r="L70" s="365">
        <v>1434</v>
      </c>
      <c r="M70" s="365">
        <v>500</v>
      </c>
      <c r="N70" s="365">
        <v>1934</v>
      </c>
      <c r="O70" s="365">
        <v>5470</v>
      </c>
      <c r="P70" s="365">
        <v>3499</v>
      </c>
      <c r="Q70" s="365">
        <v>8969</v>
      </c>
      <c r="R70" s="365">
        <v>491</v>
      </c>
      <c r="S70" s="365">
        <v>340</v>
      </c>
      <c r="T70" s="365">
        <v>831</v>
      </c>
      <c r="U70" s="363">
        <v>9686</v>
      </c>
      <c r="V70" s="363">
        <v>5091</v>
      </c>
      <c r="W70" s="363">
        <v>14777</v>
      </c>
      <c r="X70" s="13"/>
      <c r="Y70" s="13"/>
    </row>
    <row r="71" spans="2:25" hidden="1" outlineLevel="1" x14ac:dyDescent="0.25">
      <c r="B71" s="362">
        <v>40695</v>
      </c>
      <c r="C71" s="365"/>
      <c r="D71" s="365"/>
      <c r="E71" s="365"/>
      <c r="F71" s="365"/>
      <c r="G71" s="365"/>
      <c r="H71" s="365"/>
      <c r="I71" s="365">
        <v>2128</v>
      </c>
      <c r="J71" s="365">
        <v>705</v>
      </c>
      <c r="K71" s="365">
        <v>2833</v>
      </c>
      <c r="L71" s="365">
        <v>1221</v>
      </c>
      <c r="M71" s="365">
        <v>454</v>
      </c>
      <c r="N71" s="365">
        <v>1675</v>
      </c>
      <c r="O71" s="365">
        <v>4859</v>
      </c>
      <c r="P71" s="365">
        <v>3255</v>
      </c>
      <c r="Q71" s="365">
        <v>8114</v>
      </c>
      <c r="R71" s="365">
        <v>449</v>
      </c>
      <c r="S71" s="365">
        <v>316</v>
      </c>
      <c r="T71" s="365">
        <v>765</v>
      </c>
      <c r="U71" s="363">
        <v>8657</v>
      </c>
      <c r="V71" s="363">
        <v>4730</v>
      </c>
      <c r="W71" s="363">
        <v>13387</v>
      </c>
      <c r="X71" s="13"/>
      <c r="Y71" s="13"/>
    </row>
    <row r="72" spans="2:25" hidden="1" outlineLevel="1" x14ac:dyDescent="0.25">
      <c r="B72" s="362">
        <v>40725</v>
      </c>
      <c r="C72" s="365"/>
      <c r="D72" s="365"/>
      <c r="E72" s="365"/>
      <c r="F72" s="365"/>
      <c r="G72" s="365"/>
      <c r="H72" s="365"/>
      <c r="I72" s="365">
        <v>2603</v>
      </c>
      <c r="J72" s="365">
        <v>756</v>
      </c>
      <c r="K72" s="365">
        <v>3359</v>
      </c>
      <c r="L72" s="365">
        <v>1305</v>
      </c>
      <c r="M72" s="365">
        <v>478</v>
      </c>
      <c r="N72" s="365">
        <v>1783</v>
      </c>
      <c r="O72" s="365">
        <v>8280</v>
      </c>
      <c r="P72" s="365">
        <v>6886</v>
      </c>
      <c r="Q72" s="365">
        <v>15166</v>
      </c>
      <c r="R72" s="365">
        <v>558</v>
      </c>
      <c r="S72" s="365">
        <v>401</v>
      </c>
      <c r="T72" s="365">
        <v>959</v>
      </c>
      <c r="U72" s="363">
        <v>12746</v>
      </c>
      <c r="V72" s="363">
        <v>8521</v>
      </c>
      <c r="W72" s="363">
        <v>21267</v>
      </c>
      <c r="X72" s="13"/>
      <c r="Y72" s="13"/>
    </row>
    <row r="73" spans="2:25" hidden="1" outlineLevel="1" x14ac:dyDescent="0.25">
      <c r="B73" s="362">
        <v>40756</v>
      </c>
      <c r="C73" s="365"/>
      <c r="D73" s="365"/>
      <c r="E73" s="365"/>
      <c r="F73" s="365"/>
      <c r="G73" s="365"/>
      <c r="H73" s="365"/>
      <c r="I73" s="365">
        <v>2613</v>
      </c>
      <c r="J73" s="365">
        <v>782</v>
      </c>
      <c r="K73" s="365">
        <v>3395</v>
      </c>
      <c r="L73" s="365">
        <v>1321</v>
      </c>
      <c r="M73" s="365">
        <v>474</v>
      </c>
      <c r="N73" s="365">
        <v>1795</v>
      </c>
      <c r="O73" s="365">
        <v>7512</v>
      </c>
      <c r="P73" s="365">
        <v>5762</v>
      </c>
      <c r="Q73" s="365">
        <v>13274</v>
      </c>
      <c r="R73" s="365">
        <v>556</v>
      </c>
      <c r="S73" s="365">
        <v>354</v>
      </c>
      <c r="T73" s="365">
        <v>910</v>
      </c>
      <c r="U73" s="363">
        <v>12002</v>
      </c>
      <c r="V73" s="363">
        <v>7372</v>
      </c>
      <c r="W73" s="363">
        <v>19374</v>
      </c>
      <c r="X73" s="13"/>
      <c r="Y73" s="13"/>
    </row>
    <row r="74" spans="2:25" hidden="1" outlineLevel="1" x14ac:dyDescent="0.25">
      <c r="B74" s="362">
        <v>40787</v>
      </c>
      <c r="C74" s="365"/>
      <c r="D74" s="365"/>
      <c r="E74" s="365"/>
      <c r="F74" s="365"/>
      <c r="G74" s="365"/>
      <c r="H74" s="365"/>
      <c r="I74" s="365">
        <v>2703</v>
      </c>
      <c r="J74" s="365">
        <v>862</v>
      </c>
      <c r="K74" s="365">
        <v>3565</v>
      </c>
      <c r="L74" s="365">
        <v>1141</v>
      </c>
      <c r="M74" s="365">
        <v>440</v>
      </c>
      <c r="N74" s="365">
        <v>1581</v>
      </c>
      <c r="O74" s="365">
        <v>5716</v>
      </c>
      <c r="P74" s="365">
        <v>3987</v>
      </c>
      <c r="Q74" s="365">
        <v>9703</v>
      </c>
      <c r="R74" s="365">
        <v>418</v>
      </c>
      <c r="S74" s="365">
        <v>288</v>
      </c>
      <c r="T74" s="365">
        <v>706</v>
      </c>
      <c r="U74" s="363">
        <v>9978</v>
      </c>
      <c r="V74" s="363">
        <v>5577</v>
      </c>
      <c r="W74" s="363">
        <v>15555</v>
      </c>
      <c r="X74" s="13"/>
      <c r="Y74" s="13"/>
    </row>
    <row r="75" spans="2:25" hidden="1" outlineLevel="1" x14ac:dyDescent="0.25">
      <c r="B75" s="362">
        <v>40817</v>
      </c>
      <c r="C75" s="365"/>
      <c r="D75" s="365"/>
      <c r="E75" s="365"/>
      <c r="F75" s="365"/>
      <c r="G75" s="365"/>
      <c r="H75" s="365"/>
      <c r="I75" s="365">
        <v>2106</v>
      </c>
      <c r="J75" s="365">
        <v>675</v>
      </c>
      <c r="K75" s="365">
        <v>2781</v>
      </c>
      <c r="L75" s="365">
        <v>1164</v>
      </c>
      <c r="M75" s="365">
        <v>423</v>
      </c>
      <c r="N75" s="365">
        <v>1587</v>
      </c>
      <c r="O75" s="365">
        <v>5685</v>
      </c>
      <c r="P75" s="365">
        <v>3548</v>
      </c>
      <c r="Q75" s="365">
        <v>9233</v>
      </c>
      <c r="R75" s="365">
        <v>493</v>
      </c>
      <c r="S75" s="365">
        <v>322</v>
      </c>
      <c r="T75" s="365">
        <v>815</v>
      </c>
      <c r="U75" s="363">
        <v>9448</v>
      </c>
      <c r="V75" s="363">
        <v>4968</v>
      </c>
      <c r="W75" s="363">
        <v>14416</v>
      </c>
      <c r="X75" s="13"/>
      <c r="Y75" s="13"/>
    </row>
    <row r="76" spans="2:25" hidden="1" outlineLevel="1" x14ac:dyDescent="0.25">
      <c r="B76" s="362">
        <v>40848</v>
      </c>
      <c r="C76" s="365"/>
      <c r="D76" s="365"/>
      <c r="E76" s="365"/>
      <c r="F76" s="365"/>
      <c r="G76" s="365"/>
      <c r="H76" s="365"/>
      <c r="I76" s="365">
        <v>2732</v>
      </c>
      <c r="J76" s="365">
        <v>879</v>
      </c>
      <c r="K76" s="365">
        <v>3611</v>
      </c>
      <c r="L76" s="365">
        <v>1364</v>
      </c>
      <c r="M76" s="365">
        <v>424</v>
      </c>
      <c r="N76" s="365">
        <v>1788</v>
      </c>
      <c r="O76" s="365">
        <v>7880</v>
      </c>
      <c r="P76" s="365">
        <v>5861</v>
      </c>
      <c r="Q76" s="365">
        <v>13741</v>
      </c>
      <c r="R76" s="365">
        <v>567</v>
      </c>
      <c r="S76" s="365">
        <v>435</v>
      </c>
      <c r="T76" s="365">
        <v>1002</v>
      </c>
      <c r="U76" s="363">
        <v>12543</v>
      </c>
      <c r="V76" s="363">
        <v>7599</v>
      </c>
      <c r="W76" s="363">
        <v>20142</v>
      </c>
      <c r="X76" s="13"/>
      <c r="Y76" s="13"/>
    </row>
    <row r="77" spans="2:25" hidden="1" outlineLevel="1" x14ac:dyDescent="0.25">
      <c r="B77" s="362">
        <v>40878</v>
      </c>
      <c r="C77" s="365"/>
      <c r="D77" s="365"/>
      <c r="E77" s="365"/>
      <c r="F77" s="365"/>
      <c r="G77" s="365"/>
      <c r="H77" s="365"/>
      <c r="I77" s="365">
        <v>2088</v>
      </c>
      <c r="J77" s="365">
        <v>669</v>
      </c>
      <c r="K77" s="365">
        <v>2757</v>
      </c>
      <c r="L77" s="365">
        <v>1028</v>
      </c>
      <c r="M77" s="365">
        <v>382</v>
      </c>
      <c r="N77" s="365">
        <v>1410</v>
      </c>
      <c r="O77" s="365">
        <v>6398</v>
      </c>
      <c r="P77" s="365">
        <v>4787</v>
      </c>
      <c r="Q77" s="365">
        <v>11185</v>
      </c>
      <c r="R77" s="365">
        <v>418</v>
      </c>
      <c r="S77" s="365">
        <v>329</v>
      </c>
      <c r="T77" s="365">
        <v>747</v>
      </c>
      <c r="U77" s="363">
        <v>9932</v>
      </c>
      <c r="V77" s="363">
        <v>6167</v>
      </c>
      <c r="W77" s="363">
        <v>16099</v>
      </c>
      <c r="X77" s="13"/>
      <c r="Y77" s="13"/>
    </row>
    <row r="78" spans="2:25" collapsed="1" x14ac:dyDescent="0.25">
      <c r="B78" s="364" t="s">
        <v>702</v>
      </c>
      <c r="C78" s="363" t="s">
        <v>804</v>
      </c>
      <c r="D78" s="363" t="s">
        <v>804</v>
      </c>
      <c r="E78" s="363" t="s">
        <v>804</v>
      </c>
      <c r="F78" s="363" t="s">
        <v>804</v>
      </c>
      <c r="G78" s="363" t="s">
        <v>804</v>
      </c>
      <c r="H78" s="363" t="s">
        <v>804</v>
      </c>
      <c r="I78" s="363">
        <v>2358</v>
      </c>
      <c r="J78" s="363">
        <v>761</v>
      </c>
      <c r="K78" s="363">
        <v>3119</v>
      </c>
      <c r="L78" s="363">
        <v>1290</v>
      </c>
      <c r="M78" s="363">
        <v>455</v>
      </c>
      <c r="N78" s="363">
        <v>1745</v>
      </c>
      <c r="O78" s="363">
        <v>6132</v>
      </c>
      <c r="P78" s="363">
        <v>4374</v>
      </c>
      <c r="Q78" s="363">
        <v>10506</v>
      </c>
      <c r="R78" s="363">
        <v>502</v>
      </c>
      <c r="S78" s="363">
        <v>362</v>
      </c>
      <c r="T78" s="363">
        <v>864</v>
      </c>
      <c r="U78" s="363">
        <v>10282</v>
      </c>
      <c r="V78" s="363">
        <v>5952</v>
      </c>
      <c r="W78" s="363">
        <v>16234</v>
      </c>
      <c r="X78" s="13"/>
      <c r="Y78" s="13"/>
    </row>
    <row r="79" spans="2:25" hidden="1" outlineLevel="1" x14ac:dyDescent="0.25">
      <c r="B79" s="362">
        <v>40909</v>
      </c>
      <c r="C79" s="365"/>
      <c r="D79" s="365"/>
      <c r="E79" s="365"/>
      <c r="F79" s="365"/>
      <c r="G79" s="365"/>
      <c r="H79" s="365"/>
      <c r="I79" s="365">
        <v>2283</v>
      </c>
      <c r="J79" s="365">
        <v>761</v>
      </c>
      <c r="K79" s="365">
        <v>3044</v>
      </c>
      <c r="L79" s="365">
        <v>1110</v>
      </c>
      <c r="M79" s="365">
        <v>415</v>
      </c>
      <c r="N79" s="365">
        <v>1525</v>
      </c>
      <c r="O79" s="365">
        <v>6735</v>
      </c>
      <c r="P79" s="365">
        <v>4846</v>
      </c>
      <c r="Q79" s="365">
        <v>11581</v>
      </c>
      <c r="R79" s="365">
        <v>466</v>
      </c>
      <c r="S79" s="365">
        <v>324</v>
      </c>
      <c r="T79" s="365">
        <v>790</v>
      </c>
      <c r="U79" s="363">
        <v>10594</v>
      </c>
      <c r="V79" s="363">
        <v>6346</v>
      </c>
      <c r="W79" s="363">
        <v>16940</v>
      </c>
      <c r="X79" s="13"/>
      <c r="Y79" s="13"/>
    </row>
    <row r="80" spans="2:25" hidden="1" outlineLevel="1" x14ac:dyDescent="0.25">
      <c r="B80" s="362">
        <v>40940</v>
      </c>
      <c r="C80" s="365"/>
      <c r="D80" s="365"/>
      <c r="E80" s="365"/>
      <c r="F80" s="365"/>
      <c r="G80" s="365"/>
      <c r="H80" s="365"/>
      <c r="I80" s="365">
        <v>1868</v>
      </c>
      <c r="J80" s="365">
        <v>622</v>
      </c>
      <c r="K80" s="365">
        <v>2490</v>
      </c>
      <c r="L80" s="365">
        <v>955</v>
      </c>
      <c r="M80" s="365">
        <v>373</v>
      </c>
      <c r="N80" s="365">
        <v>1328</v>
      </c>
      <c r="O80" s="365">
        <v>5593</v>
      </c>
      <c r="P80" s="365">
        <v>3634</v>
      </c>
      <c r="Q80" s="365">
        <v>9227</v>
      </c>
      <c r="R80" s="365">
        <v>451</v>
      </c>
      <c r="S80" s="365">
        <v>334</v>
      </c>
      <c r="T80" s="365">
        <v>785</v>
      </c>
      <c r="U80" s="363">
        <v>8867</v>
      </c>
      <c r="V80" s="363">
        <v>4963</v>
      </c>
      <c r="W80" s="363">
        <v>13830</v>
      </c>
      <c r="X80" s="13"/>
      <c r="Y80" s="13"/>
    </row>
    <row r="81" spans="2:25" hidden="1" outlineLevel="1" x14ac:dyDescent="0.25">
      <c r="B81" s="362">
        <v>40969</v>
      </c>
      <c r="C81" s="365"/>
      <c r="D81" s="365"/>
      <c r="E81" s="365"/>
      <c r="F81" s="365"/>
      <c r="G81" s="365"/>
      <c r="H81" s="365"/>
      <c r="I81" s="365">
        <v>2136</v>
      </c>
      <c r="J81" s="365">
        <v>679</v>
      </c>
      <c r="K81" s="365">
        <v>2815</v>
      </c>
      <c r="L81" s="365">
        <v>1190</v>
      </c>
      <c r="M81" s="365">
        <v>405</v>
      </c>
      <c r="N81" s="365">
        <v>1595</v>
      </c>
      <c r="O81" s="365">
        <v>5916</v>
      </c>
      <c r="P81" s="365">
        <v>3962</v>
      </c>
      <c r="Q81" s="365">
        <v>9878</v>
      </c>
      <c r="R81" s="365">
        <v>451</v>
      </c>
      <c r="S81" s="365">
        <v>341</v>
      </c>
      <c r="T81" s="365">
        <v>792</v>
      </c>
      <c r="U81" s="363">
        <v>9693</v>
      </c>
      <c r="V81" s="363">
        <v>5387</v>
      </c>
      <c r="W81" s="363">
        <v>15080</v>
      </c>
      <c r="X81" s="13"/>
      <c r="Y81" s="13"/>
    </row>
    <row r="82" spans="2:25" hidden="1" outlineLevel="1" x14ac:dyDescent="0.25">
      <c r="B82" s="362">
        <v>41000</v>
      </c>
      <c r="C82" s="365"/>
      <c r="D82" s="365"/>
      <c r="E82" s="365"/>
      <c r="F82" s="365"/>
      <c r="G82" s="365"/>
      <c r="H82" s="365"/>
      <c r="I82" s="365">
        <v>1753</v>
      </c>
      <c r="J82" s="365">
        <v>620</v>
      </c>
      <c r="K82" s="365">
        <v>2373</v>
      </c>
      <c r="L82" s="365">
        <v>1136</v>
      </c>
      <c r="M82" s="365">
        <v>406</v>
      </c>
      <c r="N82" s="365">
        <v>1542</v>
      </c>
      <c r="O82" s="365">
        <v>4830</v>
      </c>
      <c r="P82" s="365">
        <v>3291</v>
      </c>
      <c r="Q82" s="365">
        <v>8121</v>
      </c>
      <c r="R82" s="365">
        <v>374</v>
      </c>
      <c r="S82" s="365">
        <v>284</v>
      </c>
      <c r="T82" s="365">
        <v>658</v>
      </c>
      <c r="U82" s="363">
        <v>8093</v>
      </c>
      <c r="V82" s="363">
        <v>4601</v>
      </c>
      <c r="W82" s="363">
        <v>12694</v>
      </c>
      <c r="X82" s="13"/>
      <c r="Y82" s="13"/>
    </row>
    <row r="83" spans="2:25" hidden="1" outlineLevel="1" x14ac:dyDescent="0.25">
      <c r="B83" s="362">
        <v>41030</v>
      </c>
      <c r="C83" s="365"/>
      <c r="D83" s="365"/>
      <c r="E83" s="365"/>
      <c r="F83" s="365"/>
      <c r="G83" s="365"/>
      <c r="H83" s="365"/>
      <c r="I83" s="365">
        <v>2164</v>
      </c>
      <c r="J83" s="365">
        <v>693</v>
      </c>
      <c r="K83" s="365">
        <v>2857</v>
      </c>
      <c r="L83" s="365">
        <v>1386</v>
      </c>
      <c r="M83" s="365">
        <v>541</v>
      </c>
      <c r="N83" s="365">
        <v>1927</v>
      </c>
      <c r="O83" s="365">
        <v>5552</v>
      </c>
      <c r="P83" s="365">
        <v>3913</v>
      </c>
      <c r="Q83" s="365">
        <v>9465</v>
      </c>
      <c r="R83" s="365">
        <v>377</v>
      </c>
      <c r="S83" s="365">
        <v>292</v>
      </c>
      <c r="T83" s="365">
        <v>669</v>
      </c>
      <c r="U83" s="363">
        <v>9479</v>
      </c>
      <c r="V83" s="363">
        <v>5439</v>
      </c>
      <c r="W83" s="363">
        <v>14918</v>
      </c>
      <c r="X83" s="13"/>
      <c r="Y83" s="13"/>
    </row>
    <row r="84" spans="2:25" hidden="1" outlineLevel="1" x14ac:dyDescent="0.25">
      <c r="B84" s="362">
        <v>41061</v>
      </c>
      <c r="C84" s="365"/>
      <c r="D84" s="365"/>
      <c r="E84" s="365"/>
      <c r="F84" s="365"/>
      <c r="G84" s="365"/>
      <c r="H84" s="365"/>
      <c r="I84" s="365">
        <v>1957</v>
      </c>
      <c r="J84" s="365">
        <v>663</v>
      </c>
      <c r="K84" s="365">
        <v>2620</v>
      </c>
      <c r="L84" s="365">
        <v>1251</v>
      </c>
      <c r="M84" s="365">
        <v>527</v>
      </c>
      <c r="N84" s="365">
        <v>1778</v>
      </c>
      <c r="O84" s="365">
        <v>4998</v>
      </c>
      <c r="P84" s="365">
        <v>3812</v>
      </c>
      <c r="Q84" s="365">
        <v>8810</v>
      </c>
      <c r="R84" s="365">
        <v>336</v>
      </c>
      <c r="S84" s="365">
        <v>257</v>
      </c>
      <c r="T84" s="365">
        <v>593</v>
      </c>
      <c r="U84" s="363">
        <v>8542</v>
      </c>
      <c r="V84" s="363">
        <v>5259</v>
      </c>
      <c r="W84" s="363">
        <v>13801</v>
      </c>
      <c r="X84" s="13"/>
      <c r="Y84" s="13"/>
    </row>
    <row r="85" spans="2:25" hidden="1" outlineLevel="1" x14ac:dyDescent="0.25">
      <c r="B85" s="362">
        <v>41091</v>
      </c>
      <c r="C85" s="365"/>
      <c r="D85" s="365"/>
      <c r="E85" s="365"/>
      <c r="F85" s="365"/>
      <c r="G85" s="365"/>
      <c r="H85" s="365"/>
      <c r="I85" s="365">
        <v>2242</v>
      </c>
      <c r="J85" s="365">
        <v>691</v>
      </c>
      <c r="K85" s="365">
        <v>2933</v>
      </c>
      <c r="L85" s="365">
        <v>1199</v>
      </c>
      <c r="M85" s="365">
        <v>500</v>
      </c>
      <c r="N85" s="365">
        <v>1699</v>
      </c>
      <c r="O85" s="365">
        <v>5366</v>
      </c>
      <c r="P85" s="365">
        <v>4078</v>
      </c>
      <c r="Q85" s="365">
        <v>9444</v>
      </c>
      <c r="R85" s="365">
        <v>445</v>
      </c>
      <c r="S85" s="365">
        <v>280</v>
      </c>
      <c r="T85" s="365">
        <v>725</v>
      </c>
      <c r="U85" s="363">
        <v>9252</v>
      </c>
      <c r="V85" s="363">
        <v>5549</v>
      </c>
      <c r="W85" s="363">
        <v>14801</v>
      </c>
      <c r="X85" s="13"/>
      <c r="Y85" s="13"/>
    </row>
    <row r="86" spans="2:25" hidden="1" outlineLevel="1" x14ac:dyDescent="0.25">
      <c r="B86" s="362">
        <v>41122</v>
      </c>
      <c r="C86" s="365"/>
      <c r="D86" s="365"/>
      <c r="E86" s="365"/>
      <c r="F86" s="365"/>
      <c r="G86" s="365"/>
      <c r="H86" s="365"/>
      <c r="I86" s="365">
        <v>2454</v>
      </c>
      <c r="J86" s="365">
        <v>767</v>
      </c>
      <c r="K86" s="365">
        <v>3221</v>
      </c>
      <c r="L86" s="365">
        <v>1428</v>
      </c>
      <c r="M86" s="365">
        <v>539</v>
      </c>
      <c r="N86" s="365">
        <v>1967</v>
      </c>
      <c r="O86" s="365">
        <v>9471</v>
      </c>
      <c r="P86" s="365">
        <v>7751</v>
      </c>
      <c r="Q86" s="365">
        <v>17222</v>
      </c>
      <c r="R86" s="365">
        <v>438</v>
      </c>
      <c r="S86" s="365">
        <v>317</v>
      </c>
      <c r="T86" s="365">
        <v>755</v>
      </c>
      <c r="U86" s="363">
        <v>13791</v>
      </c>
      <c r="V86" s="363">
        <v>9374</v>
      </c>
      <c r="W86" s="363">
        <v>23165</v>
      </c>
      <c r="X86" s="13"/>
      <c r="Y86" s="13"/>
    </row>
    <row r="87" spans="2:25" hidden="1" outlineLevel="1" x14ac:dyDescent="0.25">
      <c r="B87" s="362">
        <v>41153</v>
      </c>
      <c r="C87" s="365"/>
      <c r="D87" s="365"/>
      <c r="E87" s="365"/>
      <c r="F87" s="365"/>
      <c r="G87" s="365"/>
      <c r="H87" s="365"/>
      <c r="I87" s="365">
        <v>2036</v>
      </c>
      <c r="J87" s="365">
        <v>651</v>
      </c>
      <c r="K87" s="365">
        <v>2687</v>
      </c>
      <c r="L87" s="365">
        <v>962</v>
      </c>
      <c r="M87" s="365">
        <v>351</v>
      </c>
      <c r="N87" s="365">
        <v>1313</v>
      </c>
      <c r="O87" s="365">
        <v>11016</v>
      </c>
      <c r="P87" s="365">
        <v>8091</v>
      </c>
      <c r="Q87" s="365">
        <v>19107</v>
      </c>
      <c r="R87" s="365">
        <v>306</v>
      </c>
      <c r="S87" s="365">
        <v>235</v>
      </c>
      <c r="T87" s="365">
        <v>541</v>
      </c>
      <c r="U87" s="363">
        <v>14320</v>
      </c>
      <c r="V87" s="363">
        <v>9328</v>
      </c>
      <c r="W87" s="363">
        <v>23648</v>
      </c>
      <c r="X87" s="13"/>
      <c r="Y87" s="13"/>
    </row>
    <row r="88" spans="2:25" hidden="1" outlineLevel="1" x14ac:dyDescent="0.25">
      <c r="B88" s="362">
        <v>41183</v>
      </c>
      <c r="C88" s="365"/>
      <c r="D88" s="365"/>
      <c r="E88" s="365"/>
      <c r="F88" s="365"/>
      <c r="G88" s="365"/>
      <c r="H88" s="365"/>
      <c r="I88" s="365">
        <v>2850</v>
      </c>
      <c r="J88" s="365">
        <v>834</v>
      </c>
      <c r="K88" s="365">
        <v>3684</v>
      </c>
      <c r="L88" s="365">
        <v>1413</v>
      </c>
      <c r="M88" s="365">
        <v>510</v>
      </c>
      <c r="N88" s="365">
        <v>1923</v>
      </c>
      <c r="O88" s="365">
        <v>6678</v>
      </c>
      <c r="P88" s="365">
        <v>5025</v>
      </c>
      <c r="Q88" s="365">
        <v>11703</v>
      </c>
      <c r="R88" s="365">
        <v>426</v>
      </c>
      <c r="S88" s="365">
        <v>322</v>
      </c>
      <c r="T88" s="365">
        <v>748</v>
      </c>
      <c r="U88" s="363">
        <v>11367</v>
      </c>
      <c r="V88" s="363">
        <v>6691</v>
      </c>
      <c r="W88" s="363">
        <v>18058</v>
      </c>
      <c r="X88" s="13"/>
      <c r="Y88" s="13"/>
    </row>
    <row r="89" spans="2:25" hidden="1" outlineLevel="1" x14ac:dyDescent="0.25">
      <c r="B89" s="362">
        <v>41214</v>
      </c>
      <c r="C89" s="365"/>
      <c r="D89" s="365"/>
      <c r="E89" s="365"/>
      <c r="F89" s="365"/>
      <c r="G89" s="365"/>
      <c r="H89" s="365"/>
      <c r="I89" s="365">
        <v>2231</v>
      </c>
      <c r="J89" s="365">
        <v>702</v>
      </c>
      <c r="K89" s="365">
        <v>2933</v>
      </c>
      <c r="L89" s="365">
        <v>1160</v>
      </c>
      <c r="M89" s="365">
        <v>413</v>
      </c>
      <c r="N89" s="365">
        <v>1573</v>
      </c>
      <c r="O89" s="365">
        <v>4229</v>
      </c>
      <c r="P89" s="365">
        <v>4228</v>
      </c>
      <c r="Q89" s="365">
        <v>8457</v>
      </c>
      <c r="R89" s="365">
        <v>355</v>
      </c>
      <c r="S89" s="365">
        <v>262</v>
      </c>
      <c r="T89" s="365">
        <v>617</v>
      </c>
      <c r="U89" s="363">
        <v>7975</v>
      </c>
      <c r="V89" s="363">
        <v>5605</v>
      </c>
      <c r="W89" s="363">
        <v>13580</v>
      </c>
      <c r="X89" s="13"/>
      <c r="Y89" s="13"/>
    </row>
    <row r="90" spans="2:25" hidden="1" outlineLevel="1" x14ac:dyDescent="0.25">
      <c r="B90" s="362">
        <v>41244</v>
      </c>
      <c r="C90" s="365"/>
      <c r="D90" s="365"/>
      <c r="E90" s="365"/>
      <c r="F90" s="365"/>
      <c r="G90" s="365"/>
      <c r="H90" s="365"/>
      <c r="I90" s="365">
        <v>1947</v>
      </c>
      <c r="J90" s="365">
        <v>590</v>
      </c>
      <c r="K90" s="365">
        <v>2537</v>
      </c>
      <c r="L90" s="365">
        <v>997</v>
      </c>
      <c r="M90" s="365">
        <v>427</v>
      </c>
      <c r="N90" s="365">
        <v>1424</v>
      </c>
      <c r="O90" s="365">
        <v>3607</v>
      </c>
      <c r="P90" s="365">
        <v>3725</v>
      </c>
      <c r="Q90" s="365">
        <v>7332</v>
      </c>
      <c r="R90" s="365">
        <v>313</v>
      </c>
      <c r="S90" s="365">
        <v>240</v>
      </c>
      <c r="T90" s="365">
        <v>553</v>
      </c>
      <c r="U90" s="363">
        <v>6864</v>
      </c>
      <c r="V90" s="363">
        <v>4982</v>
      </c>
      <c r="W90" s="363">
        <v>11846</v>
      </c>
      <c r="X90" s="13"/>
      <c r="Y90" s="13"/>
    </row>
    <row r="91" spans="2:25" collapsed="1" x14ac:dyDescent="0.25">
      <c r="B91" s="364" t="s">
        <v>703</v>
      </c>
      <c r="C91" s="363" t="s">
        <v>804</v>
      </c>
      <c r="D91" s="363" t="s">
        <v>804</v>
      </c>
      <c r="E91" s="363" t="s">
        <v>804</v>
      </c>
      <c r="F91" s="363" t="s">
        <v>804</v>
      </c>
      <c r="G91" s="363" t="s">
        <v>804</v>
      </c>
      <c r="H91" s="363" t="s">
        <v>804</v>
      </c>
      <c r="I91" s="363">
        <v>2160</v>
      </c>
      <c r="J91" s="363">
        <v>689</v>
      </c>
      <c r="K91" s="363">
        <v>2850</v>
      </c>
      <c r="L91" s="363">
        <v>1182</v>
      </c>
      <c r="M91" s="363">
        <v>451</v>
      </c>
      <c r="N91" s="363">
        <v>1633</v>
      </c>
      <c r="O91" s="363">
        <v>6166</v>
      </c>
      <c r="P91" s="363">
        <v>4696</v>
      </c>
      <c r="Q91" s="363">
        <v>10862</v>
      </c>
      <c r="R91" s="363">
        <v>395</v>
      </c>
      <c r="S91" s="363">
        <v>291</v>
      </c>
      <c r="T91" s="363">
        <v>686</v>
      </c>
      <c r="U91" s="363">
        <v>9903</v>
      </c>
      <c r="V91" s="363">
        <v>6127</v>
      </c>
      <c r="W91" s="363">
        <v>16030</v>
      </c>
      <c r="X91" s="13"/>
      <c r="Y91" s="13"/>
    </row>
    <row r="92" spans="2:25" hidden="1" outlineLevel="1" x14ac:dyDescent="0.25">
      <c r="B92" s="362">
        <v>41275</v>
      </c>
      <c r="C92" s="365"/>
      <c r="D92" s="365"/>
      <c r="E92" s="365"/>
      <c r="F92" s="365"/>
      <c r="G92" s="365"/>
      <c r="H92" s="365"/>
      <c r="I92" s="365">
        <v>2273</v>
      </c>
      <c r="J92" s="365">
        <v>740</v>
      </c>
      <c r="K92" s="365">
        <v>3013</v>
      </c>
      <c r="L92" s="365">
        <v>1083</v>
      </c>
      <c r="M92" s="365">
        <v>451</v>
      </c>
      <c r="N92" s="365">
        <v>1534</v>
      </c>
      <c r="O92" s="365">
        <v>4166</v>
      </c>
      <c r="P92" s="365">
        <v>3406</v>
      </c>
      <c r="Q92" s="365">
        <v>7572</v>
      </c>
      <c r="R92" s="365">
        <v>342</v>
      </c>
      <c r="S92" s="365">
        <v>268</v>
      </c>
      <c r="T92" s="365">
        <v>610</v>
      </c>
      <c r="U92" s="363">
        <v>7864</v>
      </c>
      <c r="V92" s="363">
        <v>4865</v>
      </c>
      <c r="W92" s="363">
        <v>12729</v>
      </c>
      <c r="X92" s="13"/>
      <c r="Y92" s="13"/>
    </row>
    <row r="93" spans="2:25" hidden="1" outlineLevel="1" x14ac:dyDescent="0.25">
      <c r="B93" s="362">
        <v>41306</v>
      </c>
      <c r="C93" s="365"/>
      <c r="D93" s="365"/>
      <c r="E93" s="365"/>
      <c r="F93" s="365"/>
      <c r="G93" s="365"/>
      <c r="H93" s="365"/>
      <c r="I93" s="365">
        <v>1668</v>
      </c>
      <c r="J93" s="365">
        <v>586</v>
      </c>
      <c r="K93" s="365">
        <v>2254</v>
      </c>
      <c r="L93" s="365">
        <v>961</v>
      </c>
      <c r="M93" s="365">
        <v>364</v>
      </c>
      <c r="N93" s="365">
        <v>1325</v>
      </c>
      <c r="O93" s="365">
        <v>2969</v>
      </c>
      <c r="P93" s="365">
        <v>2589</v>
      </c>
      <c r="Q93" s="365">
        <v>5558</v>
      </c>
      <c r="R93" s="365">
        <v>258</v>
      </c>
      <c r="S93" s="365">
        <v>226</v>
      </c>
      <c r="T93" s="365">
        <v>484</v>
      </c>
      <c r="U93" s="363">
        <v>5856</v>
      </c>
      <c r="V93" s="363">
        <v>3765</v>
      </c>
      <c r="W93" s="363">
        <v>9621</v>
      </c>
      <c r="X93" s="13"/>
      <c r="Y93" s="13"/>
    </row>
    <row r="94" spans="2:25" hidden="1" outlineLevel="1" x14ac:dyDescent="0.25">
      <c r="B94" s="362">
        <v>41334</v>
      </c>
      <c r="C94" s="365"/>
      <c r="D94" s="365"/>
      <c r="E94" s="365"/>
      <c r="F94" s="365"/>
      <c r="G94" s="365"/>
      <c r="H94" s="365"/>
      <c r="I94" s="365">
        <v>1858</v>
      </c>
      <c r="J94" s="365">
        <v>555</v>
      </c>
      <c r="K94" s="365">
        <v>2413</v>
      </c>
      <c r="L94" s="365">
        <v>1153</v>
      </c>
      <c r="M94" s="365">
        <v>430</v>
      </c>
      <c r="N94" s="365">
        <v>1583</v>
      </c>
      <c r="O94" s="365">
        <v>3053</v>
      </c>
      <c r="P94" s="365">
        <v>2504</v>
      </c>
      <c r="Q94" s="365">
        <v>5557</v>
      </c>
      <c r="R94" s="365">
        <v>345</v>
      </c>
      <c r="S94" s="365">
        <v>261</v>
      </c>
      <c r="T94" s="365">
        <v>606</v>
      </c>
      <c r="U94" s="363">
        <v>6409</v>
      </c>
      <c r="V94" s="363">
        <v>3750</v>
      </c>
      <c r="W94" s="363">
        <v>10159</v>
      </c>
      <c r="X94" s="13"/>
      <c r="Y94" s="13"/>
    </row>
    <row r="95" spans="2:25" hidden="1" outlineLevel="1" x14ac:dyDescent="0.25">
      <c r="B95" s="362">
        <v>41365</v>
      </c>
      <c r="C95" s="365"/>
      <c r="D95" s="365"/>
      <c r="E95" s="365"/>
      <c r="F95" s="365"/>
      <c r="G95" s="365"/>
      <c r="H95" s="365"/>
      <c r="I95" s="365">
        <v>1841</v>
      </c>
      <c r="J95" s="365">
        <v>607</v>
      </c>
      <c r="K95" s="365">
        <v>2448</v>
      </c>
      <c r="L95" s="365">
        <v>1262</v>
      </c>
      <c r="M95" s="365">
        <v>410</v>
      </c>
      <c r="N95" s="365">
        <v>1672</v>
      </c>
      <c r="O95" s="365">
        <v>2990</v>
      </c>
      <c r="P95" s="365">
        <v>2901</v>
      </c>
      <c r="Q95" s="365">
        <v>5891</v>
      </c>
      <c r="R95" s="365">
        <v>370</v>
      </c>
      <c r="S95" s="365">
        <v>254</v>
      </c>
      <c r="T95" s="365">
        <v>624</v>
      </c>
      <c r="U95" s="363">
        <v>6463</v>
      </c>
      <c r="V95" s="363">
        <v>4172</v>
      </c>
      <c r="W95" s="363">
        <v>10635</v>
      </c>
      <c r="X95" s="13"/>
      <c r="Y95" s="13"/>
    </row>
    <row r="96" spans="2:25" hidden="1" outlineLevel="1" x14ac:dyDescent="0.25">
      <c r="B96" s="362">
        <v>41395</v>
      </c>
      <c r="C96" s="365"/>
      <c r="D96" s="365"/>
      <c r="E96" s="365"/>
      <c r="F96" s="365"/>
      <c r="G96" s="365"/>
      <c r="H96" s="365"/>
      <c r="I96" s="365">
        <v>1696</v>
      </c>
      <c r="J96" s="365">
        <v>590</v>
      </c>
      <c r="K96" s="365">
        <v>2286</v>
      </c>
      <c r="L96" s="365">
        <v>1041</v>
      </c>
      <c r="M96" s="365">
        <v>376</v>
      </c>
      <c r="N96" s="365">
        <v>1417</v>
      </c>
      <c r="O96" s="365">
        <v>2793</v>
      </c>
      <c r="P96" s="365">
        <v>3316</v>
      </c>
      <c r="Q96" s="365">
        <v>6109</v>
      </c>
      <c r="R96" s="365">
        <v>338</v>
      </c>
      <c r="S96" s="365">
        <v>264</v>
      </c>
      <c r="T96" s="365">
        <v>602</v>
      </c>
      <c r="U96" s="363">
        <v>5868</v>
      </c>
      <c r="V96" s="363">
        <v>4546</v>
      </c>
      <c r="W96" s="363">
        <v>10414</v>
      </c>
      <c r="X96" s="13"/>
      <c r="Y96" s="13"/>
    </row>
    <row r="97" spans="2:25" hidden="1" outlineLevel="1" x14ac:dyDescent="0.25">
      <c r="B97" s="362">
        <v>41426</v>
      </c>
      <c r="C97" s="365"/>
      <c r="D97" s="365"/>
      <c r="E97" s="365"/>
      <c r="F97" s="365"/>
      <c r="G97" s="365"/>
      <c r="H97" s="365"/>
      <c r="I97" s="365">
        <v>1831</v>
      </c>
      <c r="J97" s="365">
        <v>574</v>
      </c>
      <c r="K97" s="365">
        <v>2405</v>
      </c>
      <c r="L97" s="365">
        <v>1073</v>
      </c>
      <c r="M97" s="365">
        <v>386</v>
      </c>
      <c r="N97" s="365">
        <v>1459</v>
      </c>
      <c r="O97" s="365">
        <v>3093</v>
      </c>
      <c r="P97" s="365">
        <v>3102</v>
      </c>
      <c r="Q97" s="365">
        <v>6195</v>
      </c>
      <c r="R97" s="365">
        <v>354</v>
      </c>
      <c r="S97" s="365">
        <v>265</v>
      </c>
      <c r="T97" s="365">
        <v>619</v>
      </c>
      <c r="U97" s="363">
        <v>6351</v>
      </c>
      <c r="V97" s="363">
        <v>4327</v>
      </c>
      <c r="W97" s="363">
        <v>10678</v>
      </c>
      <c r="X97" s="13"/>
      <c r="Y97" s="13"/>
    </row>
    <row r="98" spans="2:25" hidden="1" outlineLevel="1" x14ac:dyDescent="0.25">
      <c r="B98" s="362">
        <v>41456</v>
      </c>
      <c r="C98" s="365"/>
      <c r="D98" s="365"/>
      <c r="E98" s="365"/>
      <c r="F98" s="365"/>
      <c r="G98" s="365"/>
      <c r="H98" s="365"/>
      <c r="I98" s="365">
        <v>2063</v>
      </c>
      <c r="J98" s="365">
        <v>631</v>
      </c>
      <c r="K98" s="365">
        <v>2694</v>
      </c>
      <c r="L98" s="365">
        <v>1047</v>
      </c>
      <c r="M98" s="365">
        <v>383</v>
      </c>
      <c r="N98" s="365">
        <v>1430</v>
      </c>
      <c r="O98" s="365">
        <v>2950</v>
      </c>
      <c r="P98" s="365">
        <v>2813</v>
      </c>
      <c r="Q98" s="365">
        <v>5763</v>
      </c>
      <c r="R98" s="365">
        <v>344</v>
      </c>
      <c r="S98" s="365">
        <v>269</v>
      </c>
      <c r="T98" s="365">
        <v>613</v>
      </c>
      <c r="U98" s="363">
        <v>6404</v>
      </c>
      <c r="V98" s="363">
        <v>4096</v>
      </c>
      <c r="W98" s="363">
        <v>10500</v>
      </c>
      <c r="X98" s="13"/>
      <c r="Y98" s="13"/>
    </row>
    <row r="99" spans="2:25" hidden="1" outlineLevel="1" x14ac:dyDescent="0.25">
      <c r="B99" s="362">
        <v>41487</v>
      </c>
      <c r="C99" s="365"/>
      <c r="D99" s="365"/>
      <c r="E99" s="365"/>
      <c r="F99" s="365"/>
      <c r="G99" s="365"/>
      <c r="H99" s="365"/>
      <c r="I99" s="365">
        <v>2226</v>
      </c>
      <c r="J99" s="365">
        <v>739</v>
      </c>
      <c r="K99" s="365">
        <v>2965</v>
      </c>
      <c r="L99" s="365">
        <v>1122</v>
      </c>
      <c r="M99" s="365">
        <v>361</v>
      </c>
      <c r="N99" s="365">
        <v>1483</v>
      </c>
      <c r="O99" s="365">
        <v>3812</v>
      </c>
      <c r="P99" s="365">
        <v>3238</v>
      </c>
      <c r="Q99" s="365">
        <v>7050</v>
      </c>
      <c r="R99" s="365">
        <v>427</v>
      </c>
      <c r="S99" s="365">
        <v>317</v>
      </c>
      <c r="T99" s="365">
        <v>744</v>
      </c>
      <c r="U99" s="363">
        <v>7587</v>
      </c>
      <c r="V99" s="363">
        <v>4655</v>
      </c>
      <c r="W99" s="363">
        <v>12242</v>
      </c>
      <c r="X99" s="13"/>
      <c r="Y99" s="13"/>
    </row>
    <row r="100" spans="2:25" hidden="1" outlineLevel="1" x14ac:dyDescent="0.25">
      <c r="B100" s="362">
        <v>41518</v>
      </c>
      <c r="C100" s="365"/>
      <c r="D100" s="365"/>
      <c r="E100" s="365"/>
      <c r="F100" s="365"/>
      <c r="G100" s="365"/>
      <c r="H100" s="365"/>
      <c r="I100" s="365">
        <v>2253</v>
      </c>
      <c r="J100" s="365">
        <v>684</v>
      </c>
      <c r="K100" s="365">
        <v>2937</v>
      </c>
      <c r="L100" s="365">
        <v>889</v>
      </c>
      <c r="M100" s="365">
        <v>304</v>
      </c>
      <c r="N100" s="365">
        <v>1193</v>
      </c>
      <c r="O100" s="365">
        <v>3370</v>
      </c>
      <c r="P100" s="365">
        <v>2971</v>
      </c>
      <c r="Q100" s="365">
        <v>6341</v>
      </c>
      <c r="R100" s="365">
        <v>308</v>
      </c>
      <c r="S100" s="365">
        <v>252</v>
      </c>
      <c r="T100" s="365">
        <v>560</v>
      </c>
      <c r="U100" s="363">
        <v>6820</v>
      </c>
      <c r="V100" s="363">
        <v>4211</v>
      </c>
      <c r="W100" s="363">
        <v>11031</v>
      </c>
      <c r="X100" s="13"/>
      <c r="Y100" s="13"/>
    </row>
    <row r="101" spans="2:25" hidden="1" outlineLevel="1" x14ac:dyDescent="0.25">
      <c r="B101" s="362">
        <v>41548</v>
      </c>
      <c r="C101" s="365"/>
      <c r="D101" s="365"/>
      <c r="E101" s="365"/>
      <c r="F101" s="365"/>
      <c r="G101" s="365"/>
      <c r="H101" s="365"/>
      <c r="I101" s="365">
        <v>2620</v>
      </c>
      <c r="J101" s="365">
        <v>724</v>
      </c>
      <c r="K101" s="365">
        <v>3344</v>
      </c>
      <c r="L101" s="365">
        <v>1042</v>
      </c>
      <c r="M101" s="365">
        <v>399</v>
      </c>
      <c r="N101" s="365">
        <v>1441</v>
      </c>
      <c r="O101" s="365">
        <v>4408</v>
      </c>
      <c r="P101" s="365">
        <v>3709</v>
      </c>
      <c r="Q101" s="365">
        <v>8117</v>
      </c>
      <c r="R101" s="365">
        <v>415</v>
      </c>
      <c r="S101" s="365">
        <v>294</v>
      </c>
      <c r="T101" s="365">
        <v>709</v>
      </c>
      <c r="U101" s="363">
        <v>8485</v>
      </c>
      <c r="V101" s="363">
        <v>5126</v>
      </c>
      <c r="W101" s="363">
        <v>13611</v>
      </c>
      <c r="X101" s="13"/>
      <c r="Y101" s="13"/>
    </row>
    <row r="102" spans="2:25" hidden="1" outlineLevel="1" x14ac:dyDescent="0.25">
      <c r="B102" s="362">
        <v>41579</v>
      </c>
      <c r="C102" s="365"/>
      <c r="D102" s="365"/>
      <c r="E102" s="365"/>
      <c r="F102" s="365"/>
      <c r="G102" s="365"/>
      <c r="H102" s="365"/>
      <c r="I102" s="365">
        <v>1729</v>
      </c>
      <c r="J102" s="365">
        <v>462</v>
      </c>
      <c r="K102" s="365">
        <v>2191</v>
      </c>
      <c r="L102" s="365">
        <v>613</v>
      </c>
      <c r="M102" s="365">
        <v>258</v>
      </c>
      <c r="N102" s="365">
        <v>871</v>
      </c>
      <c r="O102" s="365">
        <v>2742</v>
      </c>
      <c r="P102" s="365">
        <v>2398</v>
      </c>
      <c r="Q102" s="365">
        <v>5140</v>
      </c>
      <c r="R102" s="365">
        <v>280</v>
      </c>
      <c r="S102" s="365">
        <v>206</v>
      </c>
      <c r="T102" s="365">
        <v>486</v>
      </c>
      <c r="U102" s="363">
        <v>5364</v>
      </c>
      <c r="V102" s="363">
        <v>3324</v>
      </c>
      <c r="W102" s="363">
        <v>8688</v>
      </c>
      <c r="X102" s="13"/>
      <c r="Y102" s="13"/>
    </row>
    <row r="103" spans="2:25" hidden="1" outlineLevel="1" x14ac:dyDescent="0.25">
      <c r="B103" s="362">
        <v>41609</v>
      </c>
      <c r="C103" s="365"/>
      <c r="D103" s="365"/>
      <c r="E103" s="365"/>
      <c r="F103" s="365"/>
      <c r="G103" s="365"/>
      <c r="H103" s="365"/>
      <c r="I103" s="365">
        <v>2976</v>
      </c>
      <c r="J103" s="365">
        <v>847</v>
      </c>
      <c r="K103" s="365">
        <v>3823</v>
      </c>
      <c r="L103" s="365">
        <v>1141</v>
      </c>
      <c r="M103" s="365">
        <v>483</v>
      </c>
      <c r="N103" s="365">
        <v>1624</v>
      </c>
      <c r="O103" s="365">
        <v>4145</v>
      </c>
      <c r="P103" s="365">
        <v>3556</v>
      </c>
      <c r="Q103" s="365">
        <v>7701</v>
      </c>
      <c r="R103" s="365">
        <v>359</v>
      </c>
      <c r="S103" s="365">
        <v>279</v>
      </c>
      <c r="T103" s="365">
        <v>638</v>
      </c>
      <c r="U103" s="363">
        <v>8621</v>
      </c>
      <c r="V103" s="363">
        <v>5165</v>
      </c>
      <c r="W103" s="363">
        <v>13786</v>
      </c>
      <c r="X103" s="13"/>
      <c r="Y103" s="13"/>
    </row>
    <row r="104" spans="2:25" collapsed="1" x14ac:dyDescent="0.25">
      <c r="B104" s="364" t="s">
        <v>704</v>
      </c>
      <c r="C104" s="363" t="s">
        <v>804</v>
      </c>
      <c r="D104" s="363" t="s">
        <v>804</v>
      </c>
      <c r="E104" s="363" t="s">
        <v>804</v>
      </c>
      <c r="F104" s="363" t="s">
        <v>804</v>
      </c>
      <c r="G104" s="363" t="s">
        <v>804</v>
      </c>
      <c r="H104" s="363" t="s">
        <v>804</v>
      </c>
      <c r="I104" s="363">
        <v>2086</v>
      </c>
      <c r="J104" s="363">
        <v>645</v>
      </c>
      <c r="K104" s="363">
        <v>2731</v>
      </c>
      <c r="L104" s="363">
        <v>1036</v>
      </c>
      <c r="M104" s="363">
        <v>384</v>
      </c>
      <c r="N104" s="363">
        <v>1419</v>
      </c>
      <c r="O104" s="363">
        <v>3374</v>
      </c>
      <c r="P104" s="363">
        <v>3042</v>
      </c>
      <c r="Q104" s="363">
        <v>6416</v>
      </c>
      <c r="R104" s="363">
        <v>345</v>
      </c>
      <c r="S104" s="363">
        <v>263</v>
      </c>
      <c r="T104" s="363">
        <v>608</v>
      </c>
      <c r="U104" s="363">
        <v>6841</v>
      </c>
      <c r="V104" s="363">
        <v>4334</v>
      </c>
      <c r="W104" s="363">
        <v>11175</v>
      </c>
      <c r="X104" s="13"/>
      <c r="Y104" s="13"/>
    </row>
    <row r="105" spans="2:25" hidden="1" outlineLevel="1" x14ac:dyDescent="0.25">
      <c r="B105" s="362">
        <v>41640</v>
      </c>
      <c r="C105" s="365"/>
      <c r="D105" s="365"/>
      <c r="E105" s="365"/>
      <c r="F105" s="365"/>
      <c r="G105" s="365"/>
      <c r="H105" s="365"/>
      <c r="I105" s="365">
        <v>2580</v>
      </c>
      <c r="J105" s="365">
        <v>788</v>
      </c>
      <c r="K105" s="365">
        <v>3368</v>
      </c>
      <c r="L105" s="365">
        <v>1017</v>
      </c>
      <c r="M105" s="365">
        <v>364</v>
      </c>
      <c r="N105" s="365">
        <v>1381</v>
      </c>
      <c r="O105" s="365">
        <v>3802</v>
      </c>
      <c r="P105" s="365">
        <v>3343</v>
      </c>
      <c r="Q105" s="365">
        <v>7145</v>
      </c>
      <c r="R105" s="365">
        <v>376</v>
      </c>
      <c r="S105" s="365">
        <v>275</v>
      </c>
      <c r="T105" s="365">
        <v>651</v>
      </c>
      <c r="U105" s="363">
        <v>7775</v>
      </c>
      <c r="V105" s="363">
        <v>4770</v>
      </c>
      <c r="W105" s="363">
        <v>12545</v>
      </c>
      <c r="X105" s="13"/>
      <c r="Y105" s="13"/>
    </row>
    <row r="106" spans="2:25" hidden="1" outlineLevel="1" x14ac:dyDescent="0.25">
      <c r="B106" s="362">
        <v>41671</v>
      </c>
      <c r="C106" s="365"/>
      <c r="D106" s="365"/>
      <c r="E106" s="365"/>
      <c r="F106" s="365"/>
      <c r="G106" s="365"/>
      <c r="H106" s="365"/>
      <c r="I106" s="365">
        <v>2317</v>
      </c>
      <c r="J106" s="365">
        <v>679</v>
      </c>
      <c r="K106" s="365">
        <v>2996</v>
      </c>
      <c r="L106" s="365">
        <v>857</v>
      </c>
      <c r="M106" s="365">
        <v>332</v>
      </c>
      <c r="N106" s="365">
        <v>1189</v>
      </c>
      <c r="O106" s="365">
        <v>3154</v>
      </c>
      <c r="P106" s="365">
        <v>2831</v>
      </c>
      <c r="Q106" s="365">
        <v>5985</v>
      </c>
      <c r="R106" s="365">
        <v>270</v>
      </c>
      <c r="S106" s="365">
        <v>212</v>
      </c>
      <c r="T106" s="365">
        <v>482</v>
      </c>
      <c r="U106" s="363">
        <v>6598</v>
      </c>
      <c r="V106" s="363">
        <v>4054</v>
      </c>
      <c r="W106" s="363">
        <v>10652</v>
      </c>
      <c r="X106" s="13"/>
      <c r="Y106" s="13"/>
    </row>
    <row r="107" spans="2:25" hidden="1" outlineLevel="1" x14ac:dyDescent="0.25">
      <c r="B107" s="362">
        <v>41699</v>
      </c>
      <c r="C107" s="365"/>
      <c r="D107" s="365"/>
      <c r="E107" s="365"/>
      <c r="F107" s="365"/>
      <c r="G107" s="365"/>
      <c r="H107" s="365"/>
      <c r="I107" s="365">
        <v>2931</v>
      </c>
      <c r="J107" s="365">
        <v>812</v>
      </c>
      <c r="K107" s="365">
        <v>3743</v>
      </c>
      <c r="L107" s="365">
        <v>1146</v>
      </c>
      <c r="M107" s="365">
        <v>448</v>
      </c>
      <c r="N107" s="365">
        <v>1594</v>
      </c>
      <c r="O107" s="365">
        <v>3611</v>
      </c>
      <c r="P107" s="365">
        <v>3272</v>
      </c>
      <c r="Q107" s="365">
        <v>6883</v>
      </c>
      <c r="R107" s="365">
        <v>401</v>
      </c>
      <c r="S107" s="365">
        <v>251</v>
      </c>
      <c r="T107" s="365">
        <v>652</v>
      </c>
      <c r="U107" s="363">
        <v>8089</v>
      </c>
      <c r="V107" s="363">
        <v>4783</v>
      </c>
      <c r="W107" s="363">
        <v>12872</v>
      </c>
      <c r="X107" s="13"/>
      <c r="Y107" s="13"/>
    </row>
    <row r="108" spans="2:25" hidden="1" outlineLevel="1" x14ac:dyDescent="0.25">
      <c r="B108" s="362">
        <v>41730</v>
      </c>
      <c r="C108" s="365"/>
      <c r="D108" s="365"/>
      <c r="E108" s="365"/>
      <c r="F108" s="365"/>
      <c r="G108" s="365"/>
      <c r="H108" s="365"/>
      <c r="I108" s="365">
        <v>2505</v>
      </c>
      <c r="J108" s="365">
        <v>725</v>
      </c>
      <c r="K108" s="365">
        <v>3230</v>
      </c>
      <c r="L108" s="365">
        <v>1060</v>
      </c>
      <c r="M108" s="365">
        <v>385</v>
      </c>
      <c r="N108" s="365">
        <v>1445</v>
      </c>
      <c r="O108" s="365">
        <v>3350</v>
      </c>
      <c r="P108" s="365">
        <v>3131</v>
      </c>
      <c r="Q108" s="365">
        <v>6481</v>
      </c>
      <c r="R108" s="365">
        <v>374</v>
      </c>
      <c r="S108" s="365">
        <v>281</v>
      </c>
      <c r="T108" s="365">
        <v>655</v>
      </c>
      <c r="U108" s="363">
        <v>7289</v>
      </c>
      <c r="V108" s="363">
        <v>4522</v>
      </c>
      <c r="W108" s="363">
        <v>11811</v>
      </c>
      <c r="X108" s="13"/>
      <c r="Y108" s="13"/>
    </row>
    <row r="109" spans="2:25" hidden="1" outlineLevel="1" x14ac:dyDescent="0.25">
      <c r="B109" s="362">
        <v>41760</v>
      </c>
      <c r="C109" s="365"/>
      <c r="D109" s="365"/>
      <c r="E109" s="365"/>
      <c r="F109" s="365"/>
      <c r="G109" s="365"/>
      <c r="H109" s="365"/>
      <c r="I109" s="365">
        <v>2926</v>
      </c>
      <c r="J109" s="365">
        <v>810</v>
      </c>
      <c r="K109" s="365">
        <v>3736</v>
      </c>
      <c r="L109" s="365">
        <v>1085</v>
      </c>
      <c r="M109" s="365">
        <v>388</v>
      </c>
      <c r="N109" s="365">
        <v>1473</v>
      </c>
      <c r="O109" s="365">
        <v>4099</v>
      </c>
      <c r="P109" s="365">
        <v>4962</v>
      </c>
      <c r="Q109" s="365">
        <v>9061</v>
      </c>
      <c r="R109" s="365">
        <v>317</v>
      </c>
      <c r="S109" s="365">
        <v>244</v>
      </c>
      <c r="T109" s="365">
        <v>561</v>
      </c>
      <c r="U109" s="363">
        <v>8427</v>
      </c>
      <c r="V109" s="363">
        <v>6404</v>
      </c>
      <c r="W109" s="363">
        <v>14831</v>
      </c>
      <c r="X109" s="13"/>
      <c r="Y109" s="13"/>
    </row>
    <row r="110" spans="2:25" hidden="1" outlineLevel="1" x14ac:dyDescent="0.25">
      <c r="B110" s="362">
        <v>41791</v>
      </c>
      <c r="C110" s="365"/>
      <c r="D110" s="365"/>
      <c r="E110" s="365"/>
      <c r="F110" s="365"/>
      <c r="G110" s="365"/>
      <c r="H110" s="365"/>
      <c r="I110" s="365">
        <v>2407</v>
      </c>
      <c r="J110" s="365">
        <v>732</v>
      </c>
      <c r="K110" s="365">
        <v>3139</v>
      </c>
      <c r="L110" s="365">
        <v>992</v>
      </c>
      <c r="M110" s="365">
        <v>417</v>
      </c>
      <c r="N110" s="365">
        <v>1409</v>
      </c>
      <c r="O110" s="365">
        <v>3674</v>
      </c>
      <c r="P110" s="365">
        <v>3815</v>
      </c>
      <c r="Q110" s="365">
        <v>7489</v>
      </c>
      <c r="R110" s="365">
        <v>278</v>
      </c>
      <c r="S110" s="365">
        <v>220</v>
      </c>
      <c r="T110" s="365">
        <v>498</v>
      </c>
      <c r="U110" s="363">
        <v>7351</v>
      </c>
      <c r="V110" s="363">
        <v>5184</v>
      </c>
      <c r="W110" s="363">
        <v>12535</v>
      </c>
      <c r="X110" s="13"/>
      <c r="Y110" s="13"/>
    </row>
    <row r="111" spans="2:25" hidden="1" outlineLevel="1" x14ac:dyDescent="0.25">
      <c r="B111" s="362">
        <v>41821</v>
      </c>
      <c r="C111" s="365"/>
      <c r="D111" s="365"/>
      <c r="E111" s="365"/>
      <c r="F111" s="365"/>
      <c r="G111" s="365"/>
      <c r="H111" s="365"/>
      <c r="I111" s="365">
        <v>2472</v>
      </c>
      <c r="J111" s="365">
        <v>702</v>
      </c>
      <c r="K111" s="365">
        <v>3174</v>
      </c>
      <c r="L111" s="365">
        <v>1127</v>
      </c>
      <c r="M111" s="365">
        <v>430</v>
      </c>
      <c r="N111" s="365">
        <v>1557</v>
      </c>
      <c r="O111" s="365">
        <v>4002</v>
      </c>
      <c r="P111" s="365">
        <v>3469</v>
      </c>
      <c r="Q111" s="365">
        <v>7471</v>
      </c>
      <c r="R111" s="365">
        <v>262</v>
      </c>
      <c r="S111" s="365">
        <v>210</v>
      </c>
      <c r="T111" s="365">
        <v>472</v>
      </c>
      <c r="U111" s="363">
        <v>7863</v>
      </c>
      <c r="V111" s="363">
        <v>4811</v>
      </c>
      <c r="W111" s="363">
        <v>12674</v>
      </c>
      <c r="X111" s="13"/>
      <c r="Y111" s="13"/>
    </row>
    <row r="112" spans="2:25" hidden="1" outlineLevel="1" x14ac:dyDescent="0.25">
      <c r="B112" s="362">
        <v>41852</v>
      </c>
      <c r="C112" s="365"/>
      <c r="D112" s="365"/>
      <c r="E112" s="365"/>
      <c r="F112" s="365"/>
      <c r="G112" s="365"/>
      <c r="H112" s="365"/>
      <c r="I112" s="365">
        <v>2753</v>
      </c>
      <c r="J112" s="365">
        <v>852</v>
      </c>
      <c r="K112" s="365">
        <v>3605</v>
      </c>
      <c r="L112" s="365">
        <v>1159</v>
      </c>
      <c r="M112" s="365">
        <v>472</v>
      </c>
      <c r="N112" s="365">
        <v>1631</v>
      </c>
      <c r="O112" s="365">
        <v>4299</v>
      </c>
      <c r="P112" s="365">
        <v>3703</v>
      </c>
      <c r="Q112" s="365">
        <v>8002</v>
      </c>
      <c r="R112" s="365">
        <v>265</v>
      </c>
      <c r="S112" s="365">
        <v>231</v>
      </c>
      <c r="T112" s="365">
        <v>496</v>
      </c>
      <c r="U112" s="363">
        <v>8476</v>
      </c>
      <c r="V112" s="363">
        <v>5258</v>
      </c>
      <c r="W112" s="363">
        <v>13734</v>
      </c>
      <c r="X112" s="13"/>
      <c r="Y112" s="13"/>
    </row>
    <row r="113" spans="2:25" hidden="1" outlineLevel="1" x14ac:dyDescent="0.25">
      <c r="B113" s="362">
        <v>41883</v>
      </c>
      <c r="C113" s="365"/>
      <c r="D113" s="365"/>
      <c r="E113" s="365"/>
      <c r="F113" s="365"/>
      <c r="G113" s="365"/>
      <c r="H113" s="365"/>
      <c r="I113" s="365">
        <v>2419</v>
      </c>
      <c r="J113" s="365">
        <v>747</v>
      </c>
      <c r="K113" s="365">
        <v>3166</v>
      </c>
      <c r="L113" s="365">
        <v>946</v>
      </c>
      <c r="M113" s="365">
        <v>452</v>
      </c>
      <c r="N113" s="365">
        <v>1398</v>
      </c>
      <c r="O113" s="365">
        <v>4095</v>
      </c>
      <c r="P113" s="365">
        <v>3449</v>
      </c>
      <c r="Q113" s="365">
        <v>7544</v>
      </c>
      <c r="R113" s="365">
        <v>206</v>
      </c>
      <c r="S113" s="365">
        <v>187</v>
      </c>
      <c r="T113" s="365">
        <v>393</v>
      </c>
      <c r="U113" s="363">
        <v>7666</v>
      </c>
      <c r="V113" s="363">
        <v>4835</v>
      </c>
      <c r="W113" s="363">
        <v>12501</v>
      </c>
      <c r="X113" s="13"/>
      <c r="Y113" s="13"/>
    </row>
    <row r="114" spans="2:25" hidden="1" outlineLevel="1" x14ac:dyDescent="0.25">
      <c r="B114" s="362">
        <v>41913</v>
      </c>
      <c r="C114" s="365"/>
      <c r="D114" s="365"/>
      <c r="E114" s="365"/>
      <c r="F114" s="365"/>
      <c r="G114" s="365"/>
      <c r="H114" s="365"/>
      <c r="I114" s="365">
        <v>2676</v>
      </c>
      <c r="J114" s="365">
        <v>799</v>
      </c>
      <c r="K114" s="365">
        <v>3475</v>
      </c>
      <c r="L114" s="365">
        <v>1213</v>
      </c>
      <c r="M114" s="365">
        <v>468</v>
      </c>
      <c r="N114" s="365">
        <v>1681</v>
      </c>
      <c r="O114" s="365">
        <v>4844</v>
      </c>
      <c r="P114" s="365">
        <v>4049</v>
      </c>
      <c r="Q114" s="365">
        <v>8893</v>
      </c>
      <c r="R114" s="365">
        <v>243</v>
      </c>
      <c r="S114" s="365">
        <v>185</v>
      </c>
      <c r="T114" s="365">
        <v>428</v>
      </c>
      <c r="U114" s="363">
        <v>8976</v>
      </c>
      <c r="V114" s="363">
        <v>5501</v>
      </c>
      <c r="W114" s="363">
        <v>14477</v>
      </c>
      <c r="X114" s="13"/>
      <c r="Y114" s="13"/>
    </row>
    <row r="115" spans="2:25" hidden="1" outlineLevel="1" x14ac:dyDescent="0.25">
      <c r="B115" s="362">
        <v>41944</v>
      </c>
      <c r="C115" s="365"/>
      <c r="D115" s="365"/>
      <c r="E115" s="365"/>
      <c r="F115" s="365"/>
      <c r="G115" s="365"/>
      <c r="H115" s="365"/>
      <c r="I115" s="365">
        <v>2302</v>
      </c>
      <c r="J115" s="365">
        <v>716</v>
      </c>
      <c r="K115" s="365">
        <v>3018</v>
      </c>
      <c r="L115" s="365">
        <v>1053</v>
      </c>
      <c r="M115" s="365">
        <v>444</v>
      </c>
      <c r="N115" s="365">
        <v>1497</v>
      </c>
      <c r="O115" s="365">
        <v>4210</v>
      </c>
      <c r="P115" s="365">
        <v>3303</v>
      </c>
      <c r="Q115" s="365">
        <v>7513</v>
      </c>
      <c r="R115" s="365">
        <v>232</v>
      </c>
      <c r="S115" s="365">
        <v>172</v>
      </c>
      <c r="T115" s="365">
        <v>404</v>
      </c>
      <c r="U115" s="363">
        <v>7797</v>
      </c>
      <c r="V115" s="363">
        <v>4635</v>
      </c>
      <c r="W115" s="363">
        <v>12432</v>
      </c>
      <c r="X115" s="13"/>
      <c r="Y115" s="13"/>
    </row>
    <row r="116" spans="2:25" hidden="1" outlineLevel="1" x14ac:dyDescent="0.25">
      <c r="B116" s="362">
        <v>41974</v>
      </c>
      <c r="C116" s="365"/>
      <c r="D116" s="365"/>
      <c r="E116" s="365"/>
      <c r="F116" s="365"/>
      <c r="G116" s="365"/>
      <c r="H116" s="365"/>
      <c r="I116" s="365">
        <v>2127</v>
      </c>
      <c r="J116" s="365">
        <v>616</v>
      </c>
      <c r="K116" s="365">
        <v>2743</v>
      </c>
      <c r="L116" s="365">
        <v>920</v>
      </c>
      <c r="M116" s="365">
        <v>398</v>
      </c>
      <c r="N116" s="365">
        <v>1318</v>
      </c>
      <c r="O116" s="365">
        <v>3312</v>
      </c>
      <c r="P116" s="365">
        <v>2766</v>
      </c>
      <c r="Q116" s="365">
        <v>6078</v>
      </c>
      <c r="R116" s="365">
        <v>192</v>
      </c>
      <c r="S116" s="365">
        <v>170</v>
      </c>
      <c r="T116" s="365">
        <v>362</v>
      </c>
      <c r="U116" s="363">
        <v>6551</v>
      </c>
      <c r="V116" s="363">
        <v>3950</v>
      </c>
      <c r="W116" s="363">
        <v>10501</v>
      </c>
      <c r="X116" s="13"/>
      <c r="Y116" s="13"/>
    </row>
    <row r="117" spans="2:25" collapsed="1" x14ac:dyDescent="0.25">
      <c r="B117" s="364" t="s">
        <v>705</v>
      </c>
      <c r="C117" s="363" t="s">
        <v>804</v>
      </c>
      <c r="D117" s="363" t="s">
        <v>804</v>
      </c>
      <c r="E117" s="363" t="s">
        <v>804</v>
      </c>
      <c r="F117" s="363" t="s">
        <v>804</v>
      </c>
      <c r="G117" s="363" t="s">
        <v>804</v>
      </c>
      <c r="H117" s="363" t="s">
        <v>804</v>
      </c>
      <c r="I117" s="363">
        <v>2535</v>
      </c>
      <c r="J117" s="363">
        <v>748</v>
      </c>
      <c r="K117" s="363">
        <v>3283</v>
      </c>
      <c r="L117" s="363">
        <v>1048</v>
      </c>
      <c r="M117" s="363">
        <v>417</v>
      </c>
      <c r="N117" s="363">
        <v>1464</v>
      </c>
      <c r="O117" s="363">
        <v>3871</v>
      </c>
      <c r="P117" s="363">
        <v>3508</v>
      </c>
      <c r="Q117" s="363">
        <v>7379</v>
      </c>
      <c r="R117" s="363">
        <v>285</v>
      </c>
      <c r="S117" s="363">
        <v>220</v>
      </c>
      <c r="T117" s="363">
        <v>505</v>
      </c>
      <c r="U117" s="363">
        <v>7738</v>
      </c>
      <c r="V117" s="363">
        <v>4892</v>
      </c>
      <c r="W117" s="363">
        <v>12630</v>
      </c>
      <c r="X117" s="13"/>
      <c r="Y117" s="13"/>
    </row>
    <row r="118" spans="2:25" hidden="1" outlineLevel="1" x14ac:dyDescent="0.25">
      <c r="B118" s="362">
        <v>42005</v>
      </c>
      <c r="C118" s="365"/>
      <c r="D118" s="365"/>
      <c r="E118" s="365"/>
      <c r="F118" s="365"/>
      <c r="G118" s="365"/>
      <c r="H118" s="365"/>
      <c r="I118" s="365">
        <v>2248</v>
      </c>
      <c r="J118" s="365">
        <v>658</v>
      </c>
      <c r="K118" s="365">
        <v>2906</v>
      </c>
      <c r="L118" s="365">
        <v>1048</v>
      </c>
      <c r="M118" s="365">
        <v>488</v>
      </c>
      <c r="N118" s="365">
        <v>1536</v>
      </c>
      <c r="O118" s="365">
        <v>3748</v>
      </c>
      <c r="P118" s="365">
        <v>2903</v>
      </c>
      <c r="Q118" s="365">
        <v>6651</v>
      </c>
      <c r="R118" s="365">
        <v>118</v>
      </c>
      <c r="S118" s="365">
        <v>99</v>
      </c>
      <c r="T118" s="365">
        <v>217</v>
      </c>
      <c r="U118" s="363">
        <v>7162</v>
      </c>
      <c r="V118" s="363">
        <v>4148</v>
      </c>
      <c r="W118" s="363">
        <v>11310</v>
      </c>
      <c r="X118" s="13"/>
      <c r="Y118" s="13"/>
    </row>
    <row r="119" spans="2:25" hidden="1" outlineLevel="1" x14ac:dyDescent="0.25">
      <c r="B119" s="362">
        <v>42036</v>
      </c>
      <c r="C119" s="365"/>
      <c r="D119" s="365"/>
      <c r="E119" s="365"/>
      <c r="F119" s="365"/>
      <c r="G119" s="365"/>
      <c r="H119" s="365"/>
      <c r="I119" s="365">
        <v>1952</v>
      </c>
      <c r="J119" s="365">
        <v>577</v>
      </c>
      <c r="K119" s="365">
        <v>2529</v>
      </c>
      <c r="L119" s="365">
        <v>973</v>
      </c>
      <c r="M119" s="365">
        <v>435</v>
      </c>
      <c r="N119" s="365">
        <v>1408</v>
      </c>
      <c r="O119" s="365">
        <v>3446</v>
      </c>
      <c r="P119" s="365">
        <v>2835</v>
      </c>
      <c r="Q119" s="365">
        <v>6281</v>
      </c>
      <c r="R119" s="365">
        <v>91</v>
      </c>
      <c r="S119" s="365">
        <v>85</v>
      </c>
      <c r="T119" s="365">
        <v>176</v>
      </c>
      <c r="U119" s="363">
        <v>6462</v>
      </c>
      <c r="V119" s="363">
        <v>3932</v>
      </c>
      <c r="W119" s="363">
        <v>10394</v>
      </c>
      <c r="X119" s="13"/>
      <c r="Y119" s="13"/>
    </row>
    <row r="120" spans="2:25" hidden="1" outlineLevel="1" x14ac:dyDescent="0.25">
      <c r="B120" s="362">
        <v>42064</v>
      </c>
      <c r="C120" s="365"/>
      <c r="D120" s="365"/>
      <c r="E120" s="365"/>
      <c r="F120" s="365"/>
      <c r="G120" s="365"/>
      <c r="H120" s="365"/>
      <c r="I120" s="365">
        <v>2210</v>
      </c>
      <c r="J120" s="365">
        <v>661</v>
      </c>
      <c r="K120" s="365">
        <v>2871</v>
      </c>
      <c r="L120" s="365">
        <v>1244</v>
      </c>
      <c r="M120" s="365">
        <v>539</v>
      </c>
      <c r="N120" s="365">
        <v>1783</v>
      </c>
      <c r="O120" s="365">
        <v>4189</v>
      </c>
      <c r="P120" s="365">
        <v>3504</v>
      </c>
      <c r="Q120" s="365">
        <v>7693</v>
      </c>
      <c r="R120" s="365">
        <v>115</v>
      </c>
      <c r="S120" s="365">
        <v>118</v>
      </c>
      <c r="T120" s="365">
        <v>233</v>
      </c>
      <c r="U120" s="363">
        <v>7758</v>
      </c>
      <c r="V120" s="363">
        <v>4822</v>
      </c>
      <c r="W120" s="363">
        <v>12580</v>
      </c>
      <c r="X120" s="13"/>
      <c r="Y120" s="13"/>
    </row>
    <row r="121" spans="2:25" hidden="1" outlineLevel="1" x14ac:dyDescent="0.25">
      <c r="B121" s="362">
        <v>42095</v>
      </c>
      <c r="C121" s="365"/>
      <c r="D121" s="365"/>
      <c r="E121" s="365"/>
      <c r="F121" s="365"/>
      <c r="G121" s="365"/>
      <c r="H121" s="365"/>
      <c r="I121" s="365">
        <v>1869</v>
      </c>
      <c r="J121" s="365">
        <v>569</v>
      </c>
      <c r="K121" s="365">
        <v>2438</v>
      </c>
      <c r="L121" s="365">
        <v>1039</v>
      </c>
      <c r="M121" s="365">
        <v>479</v>
      </c>
      <c r="N121" s="365">
        <v>1518</v>
      </c>
      <c r="O121" s="365">
        <v>3650</v>
      </c>
      <c r="P121" s="365">
        <v>2908</v>
      </c>
      <c r="Q121" s="365">
        <v>6558</v>
      </c>
      <c r="R121" s="365">
        <v>97</v>
      </c>
      <c r="S121" s="365">
        <v>93</v>
      </c>
      <c r="T121" s="365">
        <v>190</v>
      </c>
      <c r="U121" s="363">
        <v>6655</v>
      </c>
      <c r="V121" s="363">
        <v>4049</v>
      </c>
      <c r="W121" s="363">
        <v>10704</v>
      </c>
      <c r="X121" s="13"/>
      <c r="Y121" s="13"/>
    </row>
    <row r="122" spans="2:25" hidden="1" outlineLevel="1" x14ac:dyDescent="0.25">
      <c r="B122" s="362">
        <v>42125</v>
      </c>
      <c r="C122" s="365"/>
      <c r="D122" s="365"/>
      <c r="E122" s="365"/>
      <c r="F122" s="365"/>
      <c r="G122" s="365"/>
      <c r="H122" s="365"/>
      <c r="I122" s="365">
        <v>1688</v>
      </c>
      <c r="J122" s="365">
        <v>623</v>
      </c>
      <c r="K122" s="365">
        <v>2311</v>
      </c>
      <c r="L122" s="365">
        <v>957</v>
      </c>
      <c r="M122" s="365">
        <v>392</v>
      </c>
      <c r="N122" s="365">
        <v>1349</v>
      </c>
      <c r="O122" s="365">
        <v>4110</v>
      </c>
      <c r="P122" s="365">
        <v>4563</v>
      </c>
      <c r="Q122" s="365">
        <v>8673</v>
      </c>
      <c r="R122" s="365">
        <v>124</v>
      </c>
      <c r="S122" s="365">
        <v>112</v>
      </c>
      <c r="T122" s="365">
        <v>236</v>
      </c>
      <c r="U122" s="363">
        <v>6879</v>
      </c>
      <c r="V122" s="363">
        <v>5690</v>
      </c>
      <c r="W122" s="363">
        <v>12569</v>
      </c>
      <c r="X122" s="13"/>
      <c r="Y122" s="13"/>
    </row>
    <row r="123" spans="2:25" hidden="1" outlineLevel="1" x14ac:dyDescent="0.25">
      <c r="B123" s="362">
        <v>42156</v>
      </c>
      <c r="C123" s="365"/>
      <c r="D123" s="365"/>
      <c r="E123" s="365"/>
      <c r="F123" s="365"/>
      <c r="G123" s="365"/>
      <c r="H123" s="365"/>
      <c r="I123" s="365">
        <v>1828</v>
      </c>
      <c r="J123" s="365">
        <v>607</v>
      </c>
      <c r="K123" s="365">
        <v>2435</v>
      </c>
      <c r="L123" s="365">
        <v>1016</v>
      </c>
      <c r="M123" s="365">
        <v>450</v>
      </c>
      <c r="N123" s="365">
        <v>1466</v>
      </c>
      <c r="O123" s="365">
        <v>4111</v>
      </c>
      <c r="P123" s="365">
        <v>3707</v>
      </c>
      <c r="Q123" s="365">
        <v>7818</v>
      </c>
      <c r="R123" s="365">
        <v>111</v>
      </c>
      <c r="S123" s="365">
        <v>121</v>
      </c>
      <c r="T123" s="365">
        <v>232</v>
      </c>
      <c r="U123" s="363">
        <v>7066</v>
      </c>
      <c r="V123" s="363">
        <v>4885</v>
      </c>
      <c r="W123" s="363">
        <v>11951</v>
      </c>
      <c r="X123" s="13"/>
      <c r="Y123" s="13"/>
    </row>
    <row r="124" spans="2:25" hidden="1" outlineLevel="1" x14ac:dyDescent="0.25">
      <c r="B124" s="362">
        <v>42186</v>
      </c>
      <c r="C124" s="365"/>
      <c r="D124" s="365"/>
      <c r="E124" s="365"/>
      <c r="F124" s="365"/>
      <c r="G124" s="365"/>
      <c r="H124" s="365"/>
      <c r="I124" s="365">
        <v>2013</v>
      </c>
      <c r="J124" s="365">
        <v>701</v>
      </c>
      <c r="K124" s="365">
        <v>2714</v>
      </c>
      <c r="L124" s="365">
        <v>1101</v>
      </c>
      <c r="M124" s="365">
        <v>501</v>
      </c>
      <c r="N124" s="365">
        <v>1602</v>
      </c>
      <c r="O124" s="365">
        <v>4636</v>
      </c>
      <c r="P124" s="365">
        <v>3432</v>
      </c>
      <c r="Q124" s="365">
        <v>8068</v>
      </c>
      <c r="R124" s="365">
        <v>113</v>
      </c>
      <c r="S124" s="365">
        <v>100</v>
      </c>
      <c r="T124" s="365">
        <v>213</v>
      </c>
      <c r="U124" s="363">
        <v>7863</v>
      </c>
      <c r="V124" s="363">
        <v>4734</v>
      </c>
      <c r="W124" s="363">
        <v>12597</v>
      </c>
      <c r="X124" s="13"/>
      <c r="Y124" s="13"/>
    </row>
    <row r="125" spans="2:25" hidden="1" outlineLevel="1" x14ac:dyDescent="0.25">
      <c r="B125" s="362">
        <v>42217</v>
      </c>
      <c r="C125" s="365"/>
      <c r="D125" s="365"/>
      <c r="E125" s="365"/>
      <c r="F125" s="365"/>
      <c r="G125" s="365"/>
      <c r="H125" s="365"/>
      <c r="I125" s="365">
        <v>2029</v>
      </c>
      <c r="J125" s="365">
        <v>655</v>
      </c>
      <c r="K125" s="365">
        <v>2684</v>
      </c>
      <c r="L125" s="365">
        <v>1110</v>
      </c>
      <c r="M125" s="365">
        <v>484</v>
      </c>
      <c r="N125" s="365">
        <v>1594</v>
      </c>
      <c r="O125" s="365">
        <v>4311</v>
      </c>
      <c r="P125" s="365">
        <v>3346</v>
      </c>
      <c r="Q125" s="365">
        <v>7657</v>
      </c>
      <c r="R125" s="365">
        <v>108</v>
      </c>
      <c r="S125" s="365">
        <v>98</v>
      </c>
      <c r="T125" s="365">
        <v>206</v>
      </c>
      <c r="U125" s="363">
        <v>7558</v>
      </c>
      <c r="V125" s="363">
        <v>4583</v>
      </c>
      <c r="W125" s="363">
        <v>12141</v>
      </c>
      <c r="X125" s="13"/>
      <c r="Y125" s="13"/>
    </row>
    <row r="126" spans="2:25" hidden="1" outlineLevel="1" x14ac:dyDescent="0.25">
      <c r="B126" s="362">
        <v>42248</v>
      </c>
      <c r="C126" s="365"/>
      <c r="D126" s="365"/>
      <c r="E126" s="365"/>
      <c r="F126" s="365"/>
      <c r="G126" s="365"/>
      <c r="H126" s="365"/>
      <c r="I126" s="365">
        <v>1974</v>
      </c>
      <c r="J126" s="365">
        <v>627</v>
      </c>
      <c r="K126" s="365">
        <v>2601</v>
      </c>
      <c r="L126" s="365">
        <v>1090</v>
      </c>
      <c r="M126" s="365">
        <v>544</v>
      </c>
      <c r="N126" s="365">
        <v>1634</v>
      </c>
      <c r="O126" s="365">
        <v>4207</v>
      </c>
      <c r="P126" s="365">
        <v>3314</v>
      </c>
      <c r="Q126" s="365">
        <v>7521</v>
      </c>
      <c r="R126" s="365">
        <v>80</v>
      </c>
      <c r="S126" s="365">
        <v>84</v>
      </c>
      <c r="T126" s="365">
        <v>164</v>
      </c>
      <c r="U126" s="363">
        <v>7351</v>
      </c>
      <c r="V126" s="363">
        <v>4569</v>
      </c>
      <c r="W126" s="363">
        <v>11920</v>
      </c>
      <c r="X126" s="13"/>
      <c r="Y126" s="13"/>
    </row>
    <row r="127" spans="2:25" hidden="1" outlineLevel="1" x14ac:dyDescent="0.25">
      <c r="B127" s="362">
        <v>42278</v>
      </c>
      <c r="C127" s="365"/>
      <c r="D127" s="365"/>
      <c r="E127" s="365"/>
      <c r="F127" s="365"/>
      <c r="G127" s="365"/>
      <c r="H127" s="365"/>
      <c r="I127" s="365">
        <v>2054</v>
      </c>
      <c r="J127" s="365">
        <v>695</v>
      </c>
      <c r="K127" s="365">
        <v>2749</v>
      </c>
      <c r="L127" s="365">
        <v>1117</v>
      </c>
      <c r="M127" s="365">
        <v>461</v>
      </c>
      <c r="N127" s="365">
        <v>1578</v>
      </c>
      <c r="O127" s="365">
        <v>4266</v>
      </c>
      <c r="P127" s="365">
        <v>3236</v>
      </c>
      <c r="Q127" s="365">
        <v>7502</v>
      </c>
      <c r="R127" s="365">
        <v>114</v>
      </c>
      <c r="S127" s="365">
        <v>104</v>
      </c>
      <c r="T127" s="365">
        <v>218</v>
      </c>
      <c r="U127" s="363">
        <v>7551</v>
      </c>
      <c r="V127" s="363">
        <v>4496</v>
      </c>
      <c r="W127" s="363">
        <v>12047</v>
      </c>
      <c r="X127" s="13"/>
      <c r="Y127" s="13"/>
    </row>
    <row r="128" spans="2:25" hidden="1" outlineLevel="1" x14ac:dyDescent="0.25">
      <c r="B128" s="362">
        <v>42309</v>
      </c>
      <c r="C128" s="365"/>
      <c r="D128" s="365"/>
      <c r="E128" s="365"/>
      <c r="F128" s="365"/>
      <c r="G128" s="365"/>
      <c r="H128" s="365"/>
      <c r="I128" s="365">
        <v>1891</v>
      </c>
      <c r="J128" s="365">
        <v>691</v>
      </c>
      <c r="K128" s="365">
        <v>2582</v>
      </c>
      <c r="L128" s="365">
        <v>1141</v>
      </c>
      <c r="M128" s="365">
        <v>491</v>
      </c>
      <c r="N128" s="365">
        <v>1632</v>
      </c>
      <c r="O128" s="365">
        <v>4440</v>
      </c>
      <c r="P128" s="365">
        <v>3591</v>
      </c>
      <c r="Q128" s="365">
        <v>8031</v>
      </c>
      <c r="R128" s="365">
        <v>107</v>
      </c>
      <c r="S128" s="365">
        <v>112</v>
      </c>
      <c r="T128" s="365">
        <v>219</v>
      </c>
      <c r="U128" s="363">
        <v>7579</v>
      </c>
      <c r="V128" s="363">
        <v>4885</v>
      </c>
      <c r="W128" s="363">
        <v>12464</v>
      </c>
      <c r="X128" s="13"/>
      <c r="Y128" s="13"/>
    </row>
    <row r="129" spans="2:25" hidden="1" outlineLevel="1" x14ac:dyDescent="0.25">
      <c r="B129" s="362">
        <v>42339</v>
      </c>
      <c r="C129" s="365"/>
      <c r="D129" s="365"/>
      <c r="E129" s="365"/>
      <c r="F129" s="365"/>
      <c r="G129" s="365"/>
      <c r="H129" s="365"/>
      <c r="I129" s="365">
        <v>1686</v>
      </c>
      <c r="J129" s="365">
        <v>537</v>
      </c>
      <c r="K129" s="365">
        <v>2223</v>
      </c>
      <c r="L129" s="365">
        <v>991</v>
      </c>
      <c r="M129" s="365">
        <v>466</v>
      </c>
      <c r="N129" s="365">
        <v>1457</v>
      </c>
      <c r="O129" s="365">
        <v>3568</v>
      </c>
      <c r="P129" s="365">
        <v>2857</v>
      </c>
      <c r="Q129" s="365">
        <v>6425</v>
      </c>
      <c r="R129" s="365">
        <v>109</v>
      </c>
      <c r="S129" s="365">
        <v>88</v>
      </c>
      <c r="T129" s="365">
        <v>197</v>
      </c>
      <c r="U129" s="363">
        <v>6354</v>
      </c>
      <c r="V129" s="363">
        <v>3948</v>
      </c>
      <c r="W129" s="363">
        <v>10302</v>
      </c>
      <c r="X129" s="13"/>
      <c r="Y129" s="13"/>
    </row>
    <row r="130" spans="2:25" collapsed="1" x14ac:dyDescent="0.25">
      <c r="B130" s="364" t="s">
        <v>706</v>
      </c>
      <c r="C130" s="363" t="s">
        <v>804</v>
      </c>
      <c r="D130" s="363" t="s">
        <v>804</v>
      </c>
      <c r="E130" s="363" t="s">
        <v>804</v>
      </c>
      <c r="F130" s="363" t="s">
        <v>804</v>
      </c>
      <c r="G130" s="363" t="s">
        <v>804</v>
      </c>
      <c r="H130" s="363" t="s">
        <v>804</v>
      </c>
      <c r="I130" s="363">
        <v>1954</v>
      </c>
      <c r="J130" s="363">
        <v>633</v>
      </c>
      <c r="K130" s="363">
        <v>2587</v>
      </c>
      <c r="L130" s="363">
        <v>1069</v>
      </c>
      <c r="M130" s="363">
        <v>478</v>
      </c>
      <c r="N130" s="363">
        <v>1546</v>
      </c>
      <c r="O130" s="363">
        <v>4057</v>
      </c>
      <c r="P130" s="363">
        <v>3350</v>
      </c>
      <c r="Q130" s="363">
        <v>7407</v>
      </c>
      <c r="R130" s="363">
        <v>107</v>
      </c>
      <c r="S130" s="363">
        <v>101</v>
      </c>
      <c r="T130" s="363">
        <v>208</v>
      </c>
      <c r="U130" s="363">
        <v>7187</v>
      </c>
      <c r="V130" s="363">
        <v>4562</v>
      </c>
      <c r="W130" s="363">
        <v>11748</v>
      </c>
      <c r="X130" s="13"/>
      <c r="Y130" s="13"/>
    </row>
    <row r="131" spans="2:25" hidden="1" outlineLevel="1" x14ac:dyDescent="0.25">
      <c r="B131" s="362">
        <v>42370</v>
      </c>
      <c r="C131" s="365"/>
      <c r="D131" s="365"/>
      <c r="E131" s="365"/>
      <c r="F131" s="365"/>
      <c r="G131" s="365"/>
      <c r="H131" s="365"/>
      <c r="I131" s="365">
        <v>1678</v>
      </c>
      <c r="J131" s="365">
        <v>495</v>
      </c>
      <c r="K131" s="365">
        <v>2173</v>
      </c>
      <c r="L131" s="365">
        <v>1018</v>
      </c>
      <c r="M131" s="365">
        <v>482</v>
      </c>
      <c r="N131" s="365">
        <v>1500</v>
      </c>
      <c r="O131" s="365">
        <v>3558</v>
      </c>
      <c r="P131" s="365">
        <v>2664</v>
      </c>
      <c r="Q131" s="365">
        <v>6222</v>
      </c>
      <c r="R131" s="365">
        <v>116</v>
      </c>
      <c r="S131" s="365">
        <v>108</v>
      </c>
      <c r="T131" s="365">
        <v>224</v>
      </c>
      <c r="U131" s="363">
        <v>6370</v>
      </c>
      <c r="V131" s="363">
        <v>3749</v>
      </c>
      <c r="W131" s="363">
        <v>10119</v>
      </c>
      <c r="X131" s="13"/>
      <c r="Y131" s="13"/>
    </row>
    <row r="132" spans="2:25" hidden="1" outlineLevel="1" x14ac:dyDescent="0.25">
      <c r="B132" s="362">
        <v>42401</v>
      </c>
      <c r="C132" s="365"/>
      <c r="D132" s="365"/>
      <c r="E132" s="365"/>
      <c r="F132" s="365"/>
      <c r="G132" s="365"/>
      <c r="H132" s="365"/>
      <c r="I132" s="365">
        <v>1711</v>
      </c>
      <c r="J132" s="365">
        <v>513</v>
      </c>
      <c r="K132" s="365">
        <v>2224</v>
      </c>
      <c r="L132" s="365">
        <v>971</v>
      </c>
      <c r="M132" s="365">
        <v>432</v>
      </c>
      <c r="N132" s="365">
        <v>1403</v>
      </c>
      <c r="O132" s="365">
        <v>3950</v>
      </c>
      <c r="P132" s="365">
        <v>2852</v>
      </c>
      <c r="Q132" s="365">
        <v>6802</v>
      </c>
      <c r="R132" s="365">
        <v>123</v>
      </c>
      <c r="S132" s="365">
        <v>93</v>
      </c>
      <c r="T132" s="365">
        <v>216</v>
      </c>
      <c r="U132" s="363">
        <v>6755</v>
      </c>
      <c r="V132" s="363">
        <v>3890</v>
      </c>
      <c r="W132" s="363">
        <v>10645</v>
      </c>
      <c r="X132" s="13"/>
      <c r="Y132" s="13"/>
    </row>
    <row r="133" spans="2:25" hidden="1" outlineLevel="1" x14ac:dyDescent="0.25">
      <c r="B133" s="362">
        <v>42430</v>
      </c>
      <c r="C133" s="365"/>
      <c r="D133" s="365"/>
      <c r="E133" s="365"/>
      <c r="F133" s="365"/>
      <c r="G133" s="365"/>
      <c r="H133" s="365"/>
      <c r="I133" s="365">
        <v>1817</v>
      </c>
      <c r="J133" s="365">
        <v>533</v>
      </c>
      <c r="K133" s="365">
        <v>2350</v>
      </c>
      <c r="L133" s="365">
        <v>1127</v>
      </c>
      <c r="M133" s="365">
        <v>474</v>
      </c>
      <c r="N133" s="365">
        <v>1601</v>
      </c>
      <c r="O133" s="365">
        <v>3961</v>
      </c>
      <c r="P133" s="365">
        <v>2964</v>
      </c>
      <c r="Q133" s="365">
        <v>6925</v>
      </c>
      <c r="R133" s="365">
        <v>111</v>
      </c>
      <c r="S133" s="365">
        <v>96</v>
      </c>
      <c r="T133" s="365">
        <v>207</v>
      </c>
      <c r="U133" s="363">
        <v>7016</v>
      </c>
      <c r="V133" s="363">
        <v>4067</v>
      </c>
      <c r="W133" s="363">
        <v>11083</v>
      </c>
      <c r="X133" s="13"/>
      <c r="Y133" s="13"/>
    </row>
    <row r="134" spans="2:25" hidden="1" outlineLevel="1" x14ac:dyDescent="0.25">
      <c r="B134" s="362">
        <v>42461</v>
      </c>
      <c r="C134" s="365"/>
      <c r="D134" s="365"/>
      <c r="E134" s="365"/>
      <c r="F134" s="365"/>
      <c r="G134" s="365"/>
      <c r="H134" s="365"/>
      <c r="I134" s="365">
        <v>2437</v>
      </c>
      <c r="J134" s="365">
        <v>854</v>
      </c>
      <c r="K134" s="365">
        <v>3291</v>
      </c>
      <c r="L134" s="365">
        <v>1057</v>
      </c>
      <c r="M134" s="365">
        <v>474</v>
      </c>
      <c r="N134" s="365">
        <v>1531</v>
      </c>
      <c r="O134" s="365">
        <v>4247</v>
      </c>
      <c r="P134" s="365">
        <v>3258</v>
      </c>
      <c r="Q134" s="365">
        <v>7505</v>
      </c>
      <c r="R134" s="365">
        <v>101</v>
      </c>
      <c r="S134" s="365">
        <v>104</v>
      </c>
      <c r="T134" s="365">
        <v>205</v>
      </c>
      <c r="U134" s="363">
        <v>7842</v>
      </c>
      <c r="V134" s="363">
        <v>4690</v>
      </c>
      <c r="W134" s="363">
        <v>12532</v>
      </c>
      <c r="X134" s="13"/>
      <c r="Y134" s="13"/>
    </row>
    <row r="135" spans="2:25" hidden="1" outlineLevel="1" x14ac:dyDescent="0.25">
      <c r="B135" s="362">
        <v>42491</v>
      </c>
      <c r="C135" s="365"/>
      <c r="D135" s="365"/>
      <c r="E135" s="365"/>
      <c r="F135" s="365"/>
      <c r="G135" s="365"/>
      <c r="H135" s="365"/>
      <c r="I135" s="365">
        <v>2081</v>
      </c>
      <c r="J135" s="365">
        <v>683</v>
      </c>
      <c r="K135" s="365">
        <v>2764</v>
      </c>
      <c r="L135" s="365">
        <v>1097</v>
      </c>
      <c r="M135" s="365">
        <v>482</v>
      </c>
      <c r="N135" s="365">
        <v>1579</v>
      </c>
      <c r="O135" s="365">
        <v>4674</v>
      </c>
      <c r="P135" s="365">
        <v>4590</v>
      </c>
      <c r="Q135" s="365">
        <v>9264</v>
      </c>
      <c r="R135" s="365">
        <v>124</v>
      </c>
      <c r="S135" s="365">
        <v>100</v>
      </c>
      <c r="T135" s="365">
        <v>224</v>
      </c>
      <c r="U135" s="363">
        <v>7976</v>
      </c>
      <c r="V135" s="363">
        <v>5855</v>
      </c>
      <c r="W135" s="363">
        <v>13831</v>
      </c>
      <c r="X135" s="13"/>
      <c r="Y135" s="13"/>
    </row>
    <row r="136" spans="2:25" hidden="1" outlineLevel="1" x14ac:dyDescent="0.25">
      <c r="B136" s="362">
        <v>42522</v>
      </c>
      <c r="C136" s="365"/>
      <c r="D136" s="365"/>
      <c r="E136" s="365"/>
      <c r="F136" s="365"/>
      <c r="G136" s="365"/>
      <c r="H136" s="365"/>
      <c r="I136" s="365">
        <v>1853</v>
      </c>
      <c r="J136" s="365">
        <v>625</v>
      </c>
      <c r="K136" s="365">
        <v>2478</v>
      </c>
      <c r="L136" s="365">
        <v>971</v>
      </c>
      <c r="M136" s="365">
        <v>474</v>
      </c>
      <c r="N136" s="365">
        <v>1445</v>
      </c>
      <c r="O136" s="365">
        <v>3907</v>
      </c>
      <c r="P136" s="365">
        <v>3013</v>
      </c>
      <c r="Q136" s="365">
        <v>6920</v>
      </c>
      <c r="R136" s="365">
        <v>84</v>
      </c>
      <c r="S136" s="365">
        <v>90</v>
      </c>
      <c r="T136" s="365">
        <v>174</v>
      </c>
      <c r="U136" s="363">
        <v>6815</v>
      </c>
      <c r="V136" s="363">
        <v>4202</v>
      </c>
      <c r="W136" s="363">
        <v>11017</v>
      </c>
      <c r="X136" s="13"/>
      <c r="Y136" s="13"/>
    </row>
    <row r="137" spans="2:25" hidden="1" outlineLevel="1" x14ac:dyDescent="0.25">
      <c r="B137" s="362">
        <v>42552</v>
      </c>
      <c r="C137" s="365"/>
      <c r="D137" s="365"/>
      <c r="E137" s="365"/>
      <c r="F137" s="365"/>
      <c r="G137" s="365"/>
      <c r="H137" s="365"/>
      <c r="I137" s="365">
        <v>2036</v>
      </c>
      <c r="J137" s="365">
        <v>627</v>
      </c>
      <c r="K137" s="365">
        <v>2663</v>
      </c>
      <c r="L137" s="365">
        <v>1013</v>
      </c>
      <c r="M137" s="365">
        <v>501</v>
      </c>
      <c r="N137" s="365">
        <v>1514</v>
      </c>
      <c r="O137" s="365">
        <v>3956</v>
      </c>
      <c r="P137" s="365">
        <v>3040</v>
      </c>
      <c r="Q137" s="365">
        <v>6996</v>
      </c>
      <c r="R137" s="365">
        <v>95</v>
      </c>
      <c r="S137" s="365">
        <v>103</v>
      </c>
      <c r="T137" s="365">
        <v>198</v>
      </c>
      <c r="U137" s="363">
        <v>7100</v>
      </c>
      <c r="V137" s="363">
        <v>4271</v>
      </c>
      <c r="W137" s="363">
        <v>11371</v>
      </c>
      <c r="X137" s="13"/>
      <c r="Y137" s="13"/>
    </row>
    <row r="138" spans="2:25" hidden="1" outlineLevel="1" x14ac:dyDescent="0.25">
      <c r="B138" s="362">
        <v>42583</v>
      </c>
      <c r="C138" s="365"/>
      <c r="D138" s="365"/>
      <c r="E138" s="365"/>
      <c r="F138" s="365"/>
      <c r="G138" s="365"/>
      <c r="H138" s="365"/>
      <c r="I138" s="365">
        <v>2227</v>
      </c>
      <c r="J138" s="365">
        <v>722</v>
      </c>
      <c r="K138" s="365">
        <v>2949</v>
      </c>
      <c r="L138" s="365">
        <v>1257</v>
      </c>
      <c r="M138" s="365">
        <v>593</v>
      </c>
      <c r="N138" s="365">
        <v>1850</v>
      </c>
      <c r="O138" s="365">
        <v>5089</v>
      </c>
      <c r="P138" s="365">
        <v>3894</v>
      </c>
      <c r="Q138" s="365">
        <v>8983</v>
      </c>
      <c r="R138" s="365">
        <v>131</v>
      </c>
      <c r="S138" s="365">
        <v>114</v>
      </c>
      <c r="T138" s="365">
        <v>245</v>
      </c>
      <c r="U138" s="363">
        <v>8704</v>
      </c>
      <c r="V138" s="363">
        <v>5323</v>
      </c>
      <c r="W138" s="363">
        <v>14027</v>
      </c>
      <c r="X138" s="13"/>
      <c r="Y138" s="13"/>
    </row>
    <row r="139" spans="2:25" hidden="1" outlineLevel="1" x14ac:dyDescent="0.25">
      <c r="B139" s="362">
        <v>42614</v>
      </c>
      <c r="C139" s="365"/>
      <c r="D139" s="365"/>
      <c r="E139" s="365"/>
      <c r="F139" s="365"/>
      <c r="G139" s="365"/>
      <c r="H139" s="365"/>
      <c r="I139" s="365">
        <v>2052</v>
      </c>
      <c r="J139" s="365">
        <v>664</v>
      </c>
      <c r="K139" s="365">
        <v>2716</v>
      </c>
      <c r="L139" s="365">
        <v>1093</v>
      </c>
      <c r="M139" s="365">
        <v>521</v>
      </c>
      <c r="N139" s="365">
        <v>1614</v>
      </c>
      <c r="O139" s="365">
        <v>4556</v>
      </c>
      <c r="P139" s="365">
        <v>3304</v>
      </c>
      <c r="Q139" s="365">
        <v>7860</v>
      </c>
      <c r="R139" s="365">
        <v>110</v>
      </c>
      <c r="S139" s="365">
        <v>103</v>
      </c>
      <c r="T139" s="365">
        <v>213</v>
      </c>
      <c r="U139" s="363">
        <v>7811</v>
      </c>
      <c r="V139" s="363">
        <v>4592</v>
      </c>
      <c r="W139" s="363">
        <v>12403</v>
      </c>
      <c r="X139" s="13"/>
      <c r="Y139" s="13"/>
    </row>
    <row r="140" spans="2:25" hidden="1" outlineLevel="1" x14ac:dyDescent="0.25">
      <c r="B140" s="362">
        <v>42644</v>
      </c>
      <c r="C140" s="365"/>
      <c r="D140" s="365"/>
      <c r="E140" s="365"/>
      <c r="F140" s="365"/>
      <c r="G140" s="365"/>
      <c r="H140" s="365"/>
      <c r="I140" s="365">
        <v>1705</v>
      </c>
      <c r="J140" s="365">
        <v>569</v>
      </c>
      <c r="K140" s="365">
        <v>2274</v>
      </c>
      <c r="L140" s="365">
        <v>898</v>
      </c>
      <c r="M140" s="365">
        <v>433</v>
      </c>
      <c r="N140" s="365">
        <v>1331</v>
      </c>
      <c r="O140" s="365">
        <v>3870</v>
      </c>
      <c r="P140" s="365">
        <v>2806</v>
      </c>
      <c r="Q140" s="365">
        <v>6676</v>
      </c>
      <c r="R140" s="365">
        <v>105</v>
      </c>
      <c r="S140" s="365">
        <v>110</v>
      </c>
      <c r="T140" s="365">
        <v>215</v>
      </c>
      <c r="U140" s="363">
        <v>6578</v>
      </c>
      <c r="V140" s="363">
        <v>3918</v>
      </c>
      <c r="W140" s="363">
        <v>10496</v>
      </c>
      <c r="X140" s="13"/>
      <c r="Y140" s="13"/>
    </row>
    <row r="141" spans="2:25" hidden="1" outlineLevel="1" x14ac:dyDescent="0.25">
      <c r="B141" s="362">
        <v>42675</v>
      </c>
      <c r="C141" s="365"/>
      <c r="D141" s="365"/>
      <c r="E141" s="365"/>
      <c r="F141" s="365"/>
      <c r="G141" s="365"/>
      <c r="H141" s="365"/>
      <c r="I141" s="365">
        <v>1871</v>
      </c>
      <c r="J141" s="365">
        <v>554</v>
      </c>
      <c r="K141" s="365">
        <v>2425</v>
      </c>
      <c r="L141" s="365">
        <v>830</v>
      </c>
      <c r="M141" s="365">
        <v>429</v>
      </c>
      <c r="N141" s="365">
        <v>1259</v>
      </c>
      <c r="O141" s="365">
        <v>3912</v>
      </c>
      <c r="P141" s="365">
        <v>2822</v>
      </c>
      <c r="Q141" s="365">
        <v>6734</v>
      </c>
      <c r="R141" s="365">
        <v>111</v>
      </c>
      <c r="S141" s="365">
        <v>97</v>
      </c>
      <c r="T141" s="365">
        <v>208</v>
      </c>
      <c r="U141" s="363">
        <v>6724</v>
      </c>
      <c r="V141" s="363">
        <v>3902</v>
      </c>
      <c r="W141" s="363">
        <v>10626</v>
      </c>
      <c r="X141" s="13"/>
      <c r="Y141" s="13"/>
    </row>
    <row r="142" spans="2:25" hidden="1" outlineLevel="1" x14ac:dyDescent="0.25">
      <c r="B142" s="362">
        <v>42705</v>
      </c>
      <c r="C142" s="365"/>
      <c r="D142" s="365"/>
      <c r="E142" s="365"/>
      <c r="F142" s="365"/>
      <c r="G142" s="365"/>
      <c r="H142" s="365"/>
      <c r="I142" s="365">
        <v>1848</v>
      </c>
      <c r="J142" s="365">
        <v>588</v>
      </c>
      <c r="K142" s="365">
        <v>2436</v>
      </c>
      <c r="L142" s="365">
        <v>999</v>
      </c>
      <c r="M142" s="365">
        <v>468</v>
      </c>
      <c r="N142" s="365">
        <v>1467</v>
      </c>
      <c r="O142" s="365">
        <v>3814</v>
      </c>
      <c r="P142" s="365">
        <v>2788</v>
      </c>
      <c r="Q142" s="365">
        <v>6602</v>
      </c>
      <c r="R142" s="365">
        <v>117</v>
      </c>
      <c r="S142" s="365">
        <v>131</v>
      </c>
      <c r="T142" s="365">
        <v>248</v>
      </c>
      <c r="U142" s="363">
        <v>6778</v>
      </c>
      <c r="V142" s="363">
        <v>3975</v>
      </c>
      <c r="W142" s="363">
        <v>10753</v>
      </c>
      <c r="X142" s="13"/>
      <c r="Y142" s="13"/>
    </row>
    <row r="143" spans="2:25" collapsed="1" x14ac:dyDescent="0.25">
      <c r="B143" s="364" t="s">
        <v>707</v>
      </c>
      <c r="C143" s="363" t="s">
        <v>804</v>
      </c>
      <c r="D143" s="363" t="s">
        <v>804</v>
      </c>
      <c r="E143" s="363" t="s">
        <v>804</v>
      </c>
      <c r="F143" s="363" t="s">
        <v>804</v>
      </c>
      <c r="G143" s="363" t="s">
        <v>804</v>
      </c>
      <c r="H143" s="363" t="s">
        <v>804</v>
      </c>
      <c r="I143" s="363">
        <v>1943</v>
      </c>
      <c r="J143" s="363">
        <v>619</v>
      </c>
      <c r="K143" s="363">
        <v>2562</v>
      </c>
      <c r="L143" s="363">
        <v>1028</v>
      </c>
      <c r="M143" s="363">
        <v>480</v>
      </c>
      <c r="N143" s="363">
        <v>1508</v>
      </c>
      <c r="O143" s="363">
        <v>4125</v>
      </c>
      <c r="P143" s="363">
        <v>3166</v>
      </c>
      <c r="Q143" s="363">
        <v>7291</v>
      </c>
      <c r="R143" s="363">
        <v>111</v>
      </c>
      <c r="S143" s="363">
        <v>104</v>
      </c>
      <c r="T143" s="363">
        <v>215</v>
      </c>
      <c r="U143" s="363">
        <v>7206</v>
      </c>
      <c r="V143" s="363">
        <v>4370</v>
      </c>
      <c r="W143" s="363">
        <v>11575</v>
      </c>
      <c r="X143" s="13"/>
      <c r="Y143" s="13"/>
    </row>
    <row r="144" spans="2:25" hidden="1" outlineLevel="1" x14ac:dyDescent="0.25">
      <c r="B144" s="362">
        <v>42736</v>
      </c>
      <c r="C144" s="365"/>
      <c r="D144" s="365"/>
      <c r="E144" s="365"/>
      <c r="F144" s="365"/>
      <c r="G144" s="365"/>
      <c r="H144" s="365"/>
      <c r="I144" s="365">
        <v>2361</v>
      </c>
      <c r="J144" s="365">
        <v>761</v>
      </c>
      <c r="K144" s="365">
        <v>3122</v>
      </c>
      <c r="L144" s="365">
        <v>1006</v>
      </c>
      <c r="M144" s="365">
        <v>502</v>
      </c>
      <c r="N144" s="365">
        <v>1508</v>
      </c>
      <c r="O144" s="365">
        <v>4532</v>
      </c>
      <c r="P144" s="365">
        <v>3448</v>
      </c>
      <c r="Q144" s="365">
        <v>7980</v>
      </c>
      <c r="R144" s="365">
        <v>145</v>
      </c>
      <c r="S144" s="365">
        <v>124</v>
      </c>
      <c r="T144" s="365">
        <v>269</v>
      </c>
      <c r="U144" s="363">
        <v>8044</v>
      </c>
      <c r="V144" s="363">
        <v>4835</v>
      </c>
      <c r="W144" s="363">
        <v>12879</v>
      </c>
      <c r="X144" s="13"/>
      <c r="Y144" s="13"/>
    </row>
    <row r="145" spans="2:25" hidden="1" outlineLevel="1" x14ac:dyDescent="0.25">
      <c r="B145" s="362">
        <v>42767</v>
      </c>
      <c r="C145" s="365"/>
      <c r="D145" s="365"/>
      <c r="E145" s="365"/>
      <c r="F145" s="365"/>
      <c r="G145" s="365"/>
      <c r="H145" s="365"/>
      <c r="I145" s="365">
        <v>1789</v>
      </c>
      <c r="J145" s="365">
        <v>588</v>
      </c>
      <c r="K145" s="365">
        <v>2377</v>
      </c>
      <c r="L145" s="365">
        <v>940</v>
      </c>
      <c r="M145" s="365">
        <v>435</v>
      </c>
      <c r="N145" s="365">
        <v>1375</v>
      </c>
      <c r="O145" s="365">
        <v>4079</v>
      </c>
      <c r="P145" s="365">
        <v>3203</v>
      </c>
      <c r="Q145" s="365">
        <v>7282</v>
      </c>
      <c r="R145" s="365">
        <v>101</v>
      </c>
      <c r="S145" s="365">
        <v>112</v>
      </c>
      <c r="T145" s="365">
        <v>213</v>
      </c>
      <c r="U145" s="363">
        <v>6909</v>
      </c>
      <c r="V145" s="363">
        <v>4338</v>
      </c>
      <c r="W145" s="363">
        <v>11247</v>
      </c>
      <c r="X145" s="13"/>
      <c r="Y145" s="13"/>
    </row>
    <row r="146" spans="2:25" hidden="1" outlineLevel="1" x14ac:dyDescent="0.25">
      <c r="B146" s="362">
        <v>42795</v>
      </c>
      <c r="C146" s="365"/>
      <c r="D146" s="365"/>
      <c r="E146" s="365"/>
      <c r="F146" s="365"/>
      <c r="G146" s="365"/>
      <c r="H146" s="365"/>
      <c r="I146" s="365">
        <v>1724</v>
      </c>
      <c r="J146" s="365">
        <v>567</v>
      </c>
      <c r="K146" s="365">
        <v>2291</v>
      </c>
      <c r="L146" s="365">
        <v>1221</v>
      </c>
      <c r="M146" s="365">
        <v>541</v>
      </c>
      <c r="N146" s="365">
        <v>1762</v>
      </c>
      <c r="O146" s="365">
        <v>4970</v>
      </c>
      <c r="P146" s="365">
        <v>3941</v>
      </c>
      <c r="Q146" s="365">
        <v>8911</v>
      </c>
      <c r="R146" s="365">
        <v>117</v>
      </c>
      <c r="S146" s="365">
        <v>107</v>
      </c>
      <c r="T146" s="365">
        <v>224</v>
      </c>
      <c r="U146" s="363">
        <v>8032</v>
      </c>
      <c r="V146" s="363">
        <v>5156</v>
      </c>
      <c r="W146" s="363">
        <v>13188</v>
      </c>
      <c r="X146" s="13"/>
      <c r="Y146" s="13"/>
    </row>
    <row r="147" spans="2:25" hidden="1" outlineLevel="1" x14ac:dyDescent="0.25">
      <c r="B147" s="362">
        <v>42826</v>
      </c>
      <c r="C147" s="365"/>
      <c r="D147" s="365"/>
      <c r="E147" s="365"/>
      <c r="F147" s="365"/>
      <c r="G147" s="365"/>
      <c r="H147" s="365"/>
      <c r="I147" s="365">
        <v>1749</v>
      </c>
      <c r="J147" s="365">
        <v>571</v>
      </c>
      <c r="K147" s="365">
        <v>2320</v>
      </c>
      <c r="L147" s="365">
        <v>979</v>
      </c>
      <c r="M147" s="365">
        <v>442</v>
      </c>
      <c r="N147" s="365">
        <v>1421</v>
      </c>
      <c r="O147" s="365">
        <v>3906</v>
      </c>
      <c r="P147" s="365">
        <v>3116</v>
      </c>
      <c r="Q147" s="365">
        <v>7022</v>
      </c>
      <c r="R147" s="365">
        <v>107</v>
      </c>
      <c r="S147" s="365">
        <v>105</v>
      </c>
      <c r="T147" s="365">
        <v>212</v>
      </c>
      <c r="U147" s="363">
        <v>6741</v>
      </c>
      <c r="V147" s="363">
        <v>4234</v>
      </c>
      <c r="W147" s="363">
        <v>10975</v>
      </c>
      <c r="X147" s="13"/>
      <c r="Y147" s="13"/>
    </row>
    <row r="148" spans="2:25" hidden="1" outlineLevel="1" x14ac:dyDescent="0.25">
      <c r="B148" s="362">
        <v>42856</v>
      </c>
      <c r="C148" s="365"/>
      <c r="D148" s="365"/>
      <c r="E148" s="365"/>
      <c r="F148" s="365"/>
      <c r="G148" s="365"/>
      <c r="H148" s="365"/>
      <c r="I148" s="365">
        <v>2060</v>
      </c>
      <c r="J148" s="365">
        <v>666</v>
      </c>
      <c r="K148" s="365">
        <v>2726</v>
      </c>
      <c r="L148" s="365">
        <v>1125</v>
      </c>
      <c r="M148" s="365">
        <v>457</v>
      </c>
      <c r="N148" s="365">
        <v>1582</v>
      </c>
      <c r="O148" s="365">
        <v>4943</v>
      </c>
      <c r="P148" s="365">
        <v>4994</v>
      </c>
      <c r="Q148" s="365">
        <v>9937</v>
      </c>
      <c r="R148" s="365">
        <v>122</v>
      </c>
      <c r="S148" s="365">
        <v>148</v>
      </c>
      <c r="T148" s="365">
        <v>270</v>
      </c>
      <c r="U148" s="363">
        <v>8250</v>
      </c>
      <c r="V148" s="363">
        <v>6265</v>
      </c>
      <c r="W148" s="363">
        <v>14515</v>
      </c>
      <c r="X148" s="13"/>
      <c r="Y148" s="13"/>
    </row>
    <row r="149" spans="2:25" hidden="1" outlineLevel="1" x14ac:dyDescent="0.25">
      <c r="B149" s="362">
        <v>42887</v>
      </c>
      <c r="C149" s="365"/>
      <c r="D149" s="365"/>
      <c r="E149" s="365"/>
      <c r="F149" s="365"/>
      <c r="G149" s="365"/>
      <c r="H149" s="365"/>
      <c r="I149" s="365">
        <v>1857</v>
      </c>
      <c r="J149" s="365">
        <v>610</v>
      </c>
      <c r="K149" s="365">
        <v>2467</v>
      </c>
      <c r="L149" s="365">
        <v>990</v>
      </c>
      <c r="M149" s="365">
        <v>484</v>
      </c>
      <c r="N149" s="365">
        <v>1474</v>
      </c>
      <c r="O149" s="365">
        <v>4274</v>
      </c>
      <c r="P149" s="365">
        <v>3699</v>
      </c>
      <c r="Q149" s="365">
        <v>7973</v>
      </c>
      <c r="R149" s="365">
        <v>105</v>
      </c>
      <c r="S149" s="365">
        <v>113</v>
      </c>
      <c r="T149" s="365">
        <v>218</v>
      </c>
      <c r="U149" s="363">
        <v>7226</v>
      </c>
      <c r="V149" s="363">
        <v>4906</v>
      </c>
      <c r="W149" s="363">
        <v>12132</v>
      </c>
      <c r="X149" s="13"/>
      <c r="Y149" s="13"/>
    </row>
    <row r="150" spans="2:25" hidden="1" outlineLevel="1" x14ac:dyDescent="0.25">
      <c r="B150" s="362">
        <v>42917</v>
      </c>
      <c r="C150" s="365"/>
      <c r="D150" s="365"/>
      <c r="E150" s="365"/>
      <c r="F150" s="365"/>
      <c r="G150" s="365"/>
      <c r="H150" s="365"/>
      <c r="I150" s="365">
        <v>2074</v>
      </c>
      <c r="J150" s="365">
        <v>735</v>
      </c>
      <c r="K150" s="365">
        <v>2809</v>
      </c>
      <c r="L150" s="365">
        <v>1126</v>
      </c>
      <c r="M150" s="365">
        <v>500</v>
      </c>
      <c r="N150" s="365">
        <v>1626</v>
      </c>
      <c r="O150" s="365">
        <v>5358</v>
      </c>
      <c r="P150" s="365">
        <v>4174</v>
      </c>
      <c r="Q150" s="365">
        <v>9532</v>
      </c>
      <c r="R150" s="365">
        <v>168</v>
      </c>
      <c r="S150" s="365">
        <v>126</v>
      </c>
      <c r="T150" s="365">
        <v>294</v>
      </c>
      <c r="U150" s="363">
        <v>8726</v>
      </c>
      <c r="V150" s="363">
        <v>5535</v>
      </c>
      <c r="W150" s="363">
        <v>14261</v>
      </c>
      <c r="X150" s="13"/>
      <c r="Y150" s="13"/>
    </row>
    <row r="151" spans="2:25" hidden="1" outlineLevel="1" x14ac:dyDescent="0.25">
      <c r="B151" s="362">
        <v>42948</v>
      </c>
      <c r="C151" s="365"/>
      <c r="D151" s="365"/>
      <c r="E151" s="365"/>
      <c r="F151" s="365"/>
      <c r="G151" s="365"/>
      <c r="H151" s="365"/>
      <c r="I151" s="365">
        <v>2285</v>
      </c>
      <c r="J151" s="365">
        <v>711</v>
      </c>
      <c r="K151" s="365">
        <v>2996</v>
      </c>
      <c r="L151" s="365">
        <v>1155</v>
      </c>
      <c r="M151" s="365">
        <v>518</v>
      </c>
      <c r="N151" s="365">
        <v>1673</v>
      </c>
      <c r="O151" s="365">
        <v>5558</v>
      </c>
      <c r="P151" s="365">
        <v>4389</v>
      </c>
      <c r="Q151" s="365">
        <v>9947</v>
      </c>
      <c r="R151" s="365">
        <v>143</v>
      </c>
      <c r="S151" s="365">
        <v>162</v>
      </c>
      <c r="T151" s="365">
        <v>305</v>
      </c>
      <c r="U151" s="363">
        <v>9141</v>
      </c>
      <c r="V151" s="363">
        <v>5780</v>
      </c>
      <c r="W151" s="363">
        <v>14921</v>
      </c>
      <c r="X151" s="13"/>
      <c r="Y151" s="13"/>
    </row>
    <row r="152" spans="2:25" hidden="1" outlineLevel="1" x14ac:dyDescent="0.25">
      <c r="B152" s="362">
        <v>42979</v>
      </c>
      <c r="C152" s="365"/>
      <c r="D152" s="365"/>
      <c r="E152" s="365"/>
      <c r="F152" s="365"/>
      <c r="G152" s="365"/>
      <c r="H152" s="365"/>
      <c r="I152" s="365">
        <v>2012</v>
      </c>
      <c r="J152" s="365">
        <v>670</v>
      </c>
      <c r="K152" s="365">
        <v>2682</v>
      </c>
      <c r="L152" s="365">
        <v>921</v>
      </c>
      <c r="M152" s="365">
        <v>450</v>
      </c>
      <c r="N152" s="365">
        <v>1371</v>
      </c>
      <c r="O152" s="365">
        <v>4575</v>
      </c>
      <c r="P152" s="365">
        <v>3682</v>
      </c>
      <c r="Q152" s="365">
        <v>8257</v>
      </c>
      <c r="R152" s="365">
        <v>136</v>
      </c>
      <c r="S152" s="365">
        <v>123</v>
      </c>
      <c r="T152" s="365">
        <v>259</v>
      </c>
      <c r="U152" s="363">
        <v>7644</v>
      </c>
      <c r="V152" s="363">
        <v>4925</v>
      </c>
      <c r="W152" s="363">
        <v>12569</v>
      </c>
      <c r="X152" s="13"/>
      <c r="Y152" s="13"/>
    </row>
    <row r="153" spans="2:25" hidden="1" outlineLevel="1" x14ac:dyDescent="0.25">
      <c r="B153" s="362">
        <v>43009</v>
      </c>
      <c r="C153" s="365"/>
      <c r="D153" s="365"/>
      <c r="E153" s="365"/>
      <c r="F153" s="365"/>
      <c r="G153" s="365"/>
      <c r="H153" s="365"/>
      <c r="I153" s="365">
        <v>2346</v>
      </c>
      <c r="J153" s="365">
        <v>688</v>
      </c>
      <c r="K153" s="365">
        <v>3034</v>
      </c>
      <c r="L153" s="365">
        <v>1071</v>
      </c>
      <c r="M153" s="365">
        <v>514</v>
      </c>
      <c r="N153" s="365">
        <v>1585</v>
      </c>
      <c r="O153" s="365">
        <v>5388</v>
      </c>
      <c r="P153" s="365">
        <v>4297</v>
      </c>
      <c r="Q153" s="365">
        <v>9685</v>
      </c>
      <c r="R153" s="365">
        <v>165</v>
      </c>
      <c r="S153" s="365">
        <v>147</v>
      </c>
      <c r="T153" s="365">
        <v>312</v>
      </c>
      <c r="U153" s="363">
        <v>8970</v>
      </c>
      <c r="V153" s="363">
        <v>5646</v>
      </c>
      <c r="W153" s="363">
        <v>14616</v>
      </c>
      <c r="X153" s="13"/>
      <c r="Y153" s="13"/>
    </row>
    <row r="154" spans="2:25" hidden="1" outlineLevel="1" x14ac:dyDescent="0.25">
      <c r="B154" s="362">
        <v>43040</v>
      </c>
      <c r="C154" s="365"/>
      <c r="D154" s="365"/>
      <c r="E154" s="365"/>
      <c r="F154" s="365"/>
      <c r="G154" s="365"/>
      <c r="H154" s="365"/>
      <c r="I154" s="365">
        <v>2115</v>
      </c>
      <c r="J154" s="365">
        <v>641</v>
      </c>
      <c r="K154" s="365">
        <v>2756</v>
      </c>
      <c r="L154" s="365">
        <v>1146</v>
      </c>
      <c r="M154" s="365">
        <v>518</v>
      </c>
      <c r="N154" s="365">
        <v>1664</v>
      </c>
      <c r="O154" s="365">
        <v>5113</v>
      </c>
      <c r="P154" s="365">
        <v>3942</v>
      </c>
      <c r="Q154" s="365">
        <v>9055</v>
      </c>
      <c r="R154" s="365">
        <v>150</v>
      </c>
      <c r="S154" s="365">
        <v>166</v>
      </c>
      <c r="T154" s="365">
        <v>316</v>
      </c>
      <c r="U154" s="363">
        <v>8524</v>
      </c>
      <c r="V154" s="363">
        <v>5267</v>
      </c>
      <c r="W154" s="363">
        <v>13791</v>
      </c>
      <c r="X154" s="13"/>
      <c r="Y154" s="13"/>
    </row>
    <row r="155" spans="2:25" hidden="1" outlineLevel="1" x14ac:dyDescent="0.25">
      <c r="B155" s="362">
        <v>43070</v>
      </c>
      <c r="C155" s="365"/>
      <c r="D155" s="365"/>
      <c r="E155" s="365"/>
      <c r="F155" s="365"/>
      <c r="G155" s="365"/>
      <c r="H155" s="365"/>
      <c r="I155" s="365">
        <v>1793</v>
      </c>
      <c r="J155" s="365">
        <v>608</v>
      </c>
      <c r="K155" s="365">
        <v>2401</v>
      </c>
      <c r="L155" s="365">
        <v>900</v>
      </c>
      <c r="M155" s="365">
        <v>394</v>
      </c>
      <c r="N155" s="365">
        <v>1294</v>
      </c>
      <c r="O155" s="365">
        <v>4249</v>
      </c>
      <c r="P155" s="365">
        <v>3652</v>
      </c>
      <c r="Q155" s="365">
        <v>7901</v>
      </c>
      <c r="R155" s="365">
        <v>135</v>
      </c>
      <c r="S155" s="365">
        <v>140</v>
      </c>
      <c r="T155" s="365">
        <v>275</v>
      </c>
      <c r="U155" s="363">
        <v>7077</v>
      </c>
      <c r="V155" s="363">
        <v>4794</v>
      </c>
      <c r="W155" s="363">
        <v>11871</v>
      </c>
      <c r="X155" s="13"/>
      <c r="Y155" s="13"/>
    </row>
    <row r="156" spans="2:25" collapsed="1" x14ac:dyDescent="0.25">
      <c r="B156" s="364" t="s">
        <v>708</v>
      </c>
      <c r="C156" s="363" t="s">
        <v>804</v>
      </c>
      <c r="D156" s="363" t="s">
        <v>804</v>
      </c>
      <c r="E156" s="363" t="s">
        <v>804</v>
      </c>
      <c r="F156" s="363" t="s">
        <v>804</v>
      </c>
      <c r="G156" s="363" t="s">
        <v>804</v>
      </c>
      <c r="H156" s="363" t="s">
        <v>804</v>
      </c>
      <c r="I156" s="363">
        <v>2014</v>
      </c>
      <c r="J156" s="363">
        <v>651</v>
      </c>
      <c r="K156" s="363">
        <v>2665</v>
      </c>
      <c r="L156" s="363">
        <v>1048</v>
      </c>
      <c r="M156" s="363">
        <v>480</v>
      </c>
      <c r="N156" s="363">
        <v>1528</v>
      </c>
      <c r="O156" s="363">
        <v>4745</v>
      </c>
      <c r="P156" s="363">
        <v>3878</v>
      </c>
      <c r="Q156" s="363">
        <v>8624</v>
      </c>
      <c r="R156" s="363">
        <v>133</v>
      </c>
      <c r="S156" s="363">
        <v>131</v>
      </c>
      <c r="T156" s="363">
        <v>264</v>
      </c>
      <c r="U156" s="363">
        <v>7940</v>
      </c>
      <c r="V156" s="363">
        <v>5140</v>
      </c>
      <c r="W156" s="363">
        <v>13080</v>
      </c>
      <c r="X156" s="13"/>
      <c r="Y156" s="13"/>
    </row>
    <row r="157" spans="2:25" hidden="1" outlineLevel="1" x14ac:dyDescent="0.25">
      <c r="B157" s="362">
        <v>43101</v>
      </c>
      <c r="C157" s="365"/>
      <c r="D157" s="365"/>
      <c r="E157" s="365"/>
      <c r="F157" s="365"/>
      <c r="G157" s="365"/>
      <c r="H157" s="365"/>
      <c r="I157" s="365">
        <v>2086</v>
      </c>
      <c r="J157" s="365">
        <v>635</v>
      </c>
      <c r="K157" s="365">
        <v>2721</v>
      </c>
      <c r="L157" s="365">
        <v>988</v>
      </c>
      <c r="M157" s="365">
        <v>465</v>
      </c>
      <c r="N157" s="365">
        <v>1453</v>
      </c>
      <c r="O157" s="365">
        <v>6381</v>
      </c>
      <c r="P157" s="365">
        <v>4778</v>
      </c>
      <c r="Q157" s="365">
        <v>11159</v>
      </c>
      <c r="R157" s="365">
        <v>206</v>
      </c>
      <c r="S157" s="365">
        <v>195</v>
      </c>
      <c r="T157" s="365">
        <v>401</v>
      </c>
      <c r="U157" s="363">
        <v>9661</v>
      </c>
      <c r="V157" s="363">
        <v>6073</v>
      </c>
      <c r="W157" s="363">
        <v>15734</v>
      </c>
      <c r="X157" s="13"/>
      <c r="Y157" s="13"/>
    </row>
    <row r="158" spans="2:25" hidden="1" outlineLevel="1" x14ac:dyDescent="0.25">
      <c r="B158" s="362">
        <v>43132</v>
      </c>
      <c r="C158" s="365"/>
      <c r="D158" s="365"/>
      <c r="E158" s="365"/>
      <c r="F158" s="365"/>
      <c r="G158" s="365"/>
      <c r="H158" s="365"/>
      <c r="I158" s="365">
        <v>1731</v>
      </c>
      <c r="J158" s="365">
        <v>570</v>
      </c>
      <c r="K158" s="365">
        <v>2301</v>
      </c>
      <c r="L158" s="365">
        <v>807</v>
      </c>
      <c r="M158" s="365">
        <v>366</v>
      </c>
      <c r="N158" s="365">
        <v>1173</v>
      </c>
      <c r="O158" s="365">
        <v>6536</v>
      </c>
      <c r="P158" s="365">
        <v>4515</v>
      </c>
      <c r="Q158" s="365">
        <v>11051</v>
      </c>
      <c r="R158" s="365">
        <v>393</v>
      </c>
      <c r="S158" s="365">
        <v>339</v>
      </c>
      <c r="T158" s="365">
        <v>732</v>
      </c>
      <c r="U158" s="363">
        <v>9467</v>
      </c>
      <c r="V158" s="363">
        <v>5790</v>
      </c>
      <c r="W158" s="363">
        <v>15257</v>
      </c>
      <c r="X158" s="13"/>
      <c r="Y158" s="13"/>
    </row>
    <row r="159" spans="2:25" hidden="1" outlineLevel="1" x14ac:dyDescent="0.25">
      <c r="B159" s="362">
        <v>43160</v>
      </c>
      <c r="C159" s="365"/>
      <c r="D159" s="365"/>
      <c r="E159" s="365"/>
      <c r="F159" s="365"/>
      <c r="G159" s="365"/>
      <c r="H159" s="365"/>
      <c r="I159" s="365">
        <v>1975</v>
      </c>
      <c r="J159" s="365">
        <v>651</v>
      </c>
      <c r="K159" s="365">
        <v>2626</v>
      </c>
      <c r="L159" s="365">
        <v>1022</v>
      </c>
      <c r="M159" s="365">
        <v>436</v>
      </c>
      <c r="N159" s="365">
        <v>1458</v>
      </c>
      <c r="O159" s="365">
        <v>5801</v>
      </c>
      <c r="P159" s="365">
        <v>4589</v>
      </c>
      <c r="Q159" s="365">
        <v>10390</v>
      </c>
      <c r="R159" s="365">
        <v>464</v>
      </c>
      <c r="S159" s="365">
        <v>457</v>
      </c>
      <c r="T159" s="365">
        <v>921</v>
      </c>
      <c r="U159" s="363">
        <v>9262</v>
      </c>
      <c r="V159" s="363">
        <v>6133</v>
      </c>
      <c r="W159" s="363">
        <v>15395</v>
      </c>
      <c r="X159" s="13"/>
      <c r="Y159" s="13"/>
    </row>
    <row r="160" spans="2:25" hidden="1" outlineLevel="1" x14ac:dyDescent="0.25">
      <c r="B160" s="362">
        <v>43191</v>
      </c>
      <c r="C160" s="365"/>
      <c r="D160" s="365"/>
      <c r="E160" s="365"/>
      <c r="F160" s="365"/>
      <c r="G160" s="365"/>
      <c r="H160" s="365"/>
      <c r="I160" s="365">
        <v>1962</v>
      </c>
      <c r="J160" s="365">
        <v>605</v>
      </c>
      <c r="K160" s="365">
        <v>2567</v>
      </c>
      <c r="L160" s="365">
        <v>1037</v>
      </c>
      <c r="M160" s="365">
        <v>474</v>
      </c>
      <c r="N160" s="365">
        <v>1511</v>
      </c>
      <c r="O160" s="365">
        <v>5284</v>
      </c>
      <c r="P160" s="365">
        <v>4475</v>
      </c>
      <c r="Q160" s="365">
        <v>9759</v>
      </c>
      <c r="R160" s="365">
        <v>428</v>
      </c>
      <c r="S160" s="365">
        <v>409</v>
      </c>
      <c r="T160" s="365">
        <v>837</v>
      </c>
      <c r="U160" s="363">
        <v>8711</v>
      </c>
      <c r="V160" s="363">
        <v>5963</v>
      </c>
      <c r="W160" s="363">
        <v>14674</v>
      </c>
      <c r="X160" s="13"/>
      <c r="Y160" s="13"/>
    </row>
    <row r="161" spans="2:25" hidden="1" outlineLevel="1" x14ac:dyDescent="0.25">
      <c r="B161" s="362">
        <v>43221</v>
      </c>
      <c r="C161" s="365"/>
      <c r="D161" s="365"/>
      <c r="E161" s="365"/>
      <c r="F161" s="365"/>
      <c r="G161" s="365"/>
      <c r="H161" s="365"/>
      <c r="I161" s="365">
        <v>2114</v>
      </c>
      <c r="J161" s="365">
        <v>617</v>
      </c>
      <c r="K161" s="365">
        <v>2731</v>
      </c>
      <c r="L161" s="365">
        <v>968</v>
      </c>
      <c r="M161" s="365">
        <v>416</v>
      </c>
      <c r="N161" s="365">
        <v>1384</v>
      </c>
      <c r="O161" s="365">
        <v>5710</v>
      </c>
      <c r="P161" s="365">
        <v>5628</v>
      </c>
      <c r="Q161" s="365">
        <v>11338</v>
      </c>
      <c r="R161" s="365">
        <v>253</v>
      </c>
      <c r="S161" s="365">
        <v>304</v>
      </c>
      <c r="T161" s="365">
        <v>557</v>
      </c>
      <c r="U161" s="363">
        <v>9045</v>
      </c>
      <c r="V161" s="363">
        <v>6965</v>
      </c>
      <c r="W161" s="363">
        <v>16010</v>
      </c>
      <c r="X161" s="13"/>
      <c r="Y161" s="13"/>
    </row>
    <row r="162" spans="2:25" hidden="1" outlineLevel="1" x14ac:dyDescent="0.25">
      <c r="B162" s="362">
        <v>43252</v>
      </c>
      <c r="C162" s="365"/>
      <c r="D162" s="365"/>
      <c r="E162" s="365"/>
      <c r="F162" s="365"/>
      <c r="G162" s="365"/>
      <c r="H162" s="365"/>
      <c r="I162" s="365">
        <v>1925</v>
      </c>
      <c r="J162" s="365">
        <v>583</v>
      </c>
      <c r="K162" s="365">
        <v>2508</v>
      </c>
      <c r="L162" s="365">
        <v>982</v>
      </c>
      <c r="M162" s="365">
        <v>434</v>
      </c>
      <c r="N162" s="365">
        <v>1416</v>
      </c>
      <c r="O162" s="365">
        <v>5272</v>
      </c>
      <c r="P162" s="365">
        <v>4572</v>
      </c>
      <c r="Q162" s="365">
        <v>9844</v>
      </c>
      <c r="R162" s="365">
        <v>238</v>
      </c>
      <c r="S162" s="365">
        <v>286</v>
      </c>
      <c r="T162" s="365">
        <v>524</v>
      </c>
      <c r="U162" s="363">
        <v>8417</v>
      </c>
      <c r="V162" s="363">
        <v>5875</v>
      </c>
      <c r="W162" s="363">
        <v>14292</v>
      </c>
      <c r="X162" s="13"/>
      <c r="Y162" s="13"/>
    </row>
    <row r="163" spans="2:25" hidden="1" outlineLevel="1" x14ac:dyDescent="0.25">
      <c r="B163" s="362">
        <v>43282</v>
      </c>
      <c r="C163" s="365"/>
      <c r="D163" s="365"/>
      <c r="E163" s="365"/>
      <c r="F163" s="365"/>
      <c r="G163" s="365"/>
      <c r="H163" s="365"/>
      <c r="I163" s="365">
        <v>2119</v>
      </c>
      <c r="J163" s="365">
        <v>648</v>
      </c>
      <c r="K163" s="365">
        <v>2767</v>
      </c>
      <c r="L163" s="365">
        <v>969</v>
      </c>
      <c r="M163" s="365">
        <v>488</v>
      </c>
      <c r="N163" s="365">
        <v>1457</v>
      </c>
      <c r="O163" s="365">
        <v>5676</v>
      </c>
      <c r="P163" s="365">
        <v>4730</v>
      </c>
      <c r="Q163" s="365">
        <v>10406</v>
      </c>
      <c r="R163" s="365">
        <v>232</v>
      </c>
      <c r="S163" s="365">
        <v>248</v>
      </c>
      <c r="T163" s="365">
        <v>480</v>
      </c>
      <c r="U163" s="363">
        <v>8996</v>
      </c>
      <c r="V163" s="363">
        <v>6114</v>
      </c>
      <c r="W163" s="363">
        <v>15110</v>
      </c>
      <c r="X163" s="13"/>
      <c r="Y163" s="13"/>
    </row>
    <row r="164" spans="2:25" hidden="1" outlineLevel="1" x14ac:dyDescent="0.25">
      <c r="B164" s="362">
        <v>43313</v>
      </c>
      <c r="C164" s="365"/>
      <c r="D164" s="365"/>
      <c r="E164" s="365"/>
      <c r="F164" s="365"/>
      <c r="G164" s="365"/>
      <c r="H164" s="365"/>
      <c r="I164" s="365">
        <v>2344</v>
      </c>
      <c r="J164" s="365">
        <v>696</v>
      </c>
      <c r="K164" s="365">
        <v>3040</v>
      </c>
      <c r="L164" s="365">
        <v>1128</v>
      </c>
      <c r="M164" s="365">
        <v>513</v>
      </c>
      <c r="N164" s="365">
        <v>1641</v>
      </c>
      <c r="O164" s="365">
        <v>6147</v>
      </c>
      <c r="P164" s="365">
        <v>4876</v>
      </c>
      <c r="Q164" s="365">
        <v>11023</v>
      </c>
      <c r="R164" s="365">
        <v>211</v>
      </c>
      <c r="S164" s="365">
        <v>216</v>
      </c>
      <c r="T164" s="365">
        <v>427</v>
      </c>
      <c r="U164" s="363">
        <v>9830</v>
      </c>
      <c r="V164" s="363">
        <v>6301</v>
      </c>
      <c r="W164" s="363">
        <v>16131</v>
      </c>
      <c r="X164" s="13"/>
      <c r="Y164" s="13"/>
    </row>
    <row r="165" spans="2:25" hidden="1" outlineLevel="1" x14ac:dyDescent="0.25">
      <c r="B165" s="362">
        <v>43344</v>
      </c>
      <c r="C165" s="365"/>
      <c r="D165" s="365"/>
      <c r="E165" s="365"/>
      <c r="F165" s="365"/>
      <c r="G165" s="365"/>
      <c r="H165" s="365"/>
      <c r="I165" s="365">
        <v>1678</v>
      </c>
      <c r="J165" s="365">
        <v>448</v>
      </c>
      <c r="K165" s="365">
        <v>2126</v>
      </c>
      <c r="L165" s="365">
        <v>864</v>
      </c>
      <c r="M165" s="365">
        <v>387</v>
      </c>
      <c r="N165" s="365">
        <v>1251</v>
      </c>
      <c r="O165" s="365">
        <v>4884</v>
      </c>
      <c r="P165" s="365">
        <v>3688</v>
      </c>
      <c r="Q165" s="365">
        <v>8572</v>
      </c>
      <c r="R165" s="365">
        <v>159</v>
      </c>
      <c r="S165" s="365">
        <v>180</v>
      </c>
      <c r="T165" s="365">
        <v>339</v>
      </c>
      <c r="U165" s="363">
        <v>7585</v>
      </c>
      <c r="V165" s="363">
        <v>4703</v>
      </c>
      <c r="W165" s="363">
        <v>12288</v>
      </c>
      <c r="X165" s="13"/>
      <c r="Y165" s="13"/>
    </row>
    <row r="166" spans="2:25" hidden="1" outlineLevel="1" x14ac:dyDescent="0.25">
      <c r="B166" s="362">
        <v>43374</v>
      </c>
      <c r="C166" s="365"/>
      <c r="D166" s="365"/>
      <c r="E166" s="365"/>
      <c r="F166" s="365"/>
      <c r="G166" s="365"/>
      <c r="H166" s="365"/>
      <c r="I166" s="365">
        <v>2458</v>
      </c>
      <c r="J166" s="365">
        <v>723</v>
      </c>
      <c r="K166" s="365">
        <v>3181</v>
      </c>
      <c r="L166" s="365">
        <v>1050</v>
      </c>
      <c r="M166" s="365">
        <v>469</v>
      </c>
      <c r="N166" s="365">
        <v>1519</v>
      </c>
      <c r="O166" s="365">
        <v>6785</v>
      </c>
      <c r="P166" s="365">
        <v>5097</v>
      </c>
      <c r="Q166" s="365">
        <v>11882</v>
      </c>
      <c r="R166" s="365">
        <v>195</v>
      </c>
      <c r="S166" s="365">
        <v>224</v>
      </c>
      <c r="T166" s="365">
        <v>419</v>
      </c>
      <c r="U166" s="363">
        <v>10488</v>
      </c>
      <c r="V166" s="363">
        <v>6513</v>
      </c>
      <c r="W166" s="363">
        <v>17001</v>
      </c>
      <c r="X166" s="13"/>
      <c r="Y166" s="13"/>
    </row>
    <row r="167" spans="2:25" hidden="1" outlineLevel="1" x14ac:dyDescent="0.25">
      <c r="B167" s="362">
        <v>43405</v>
      </c>
      <c r="C167" s="365"/>
      <c r="D167" s="365"/>
      <c r="E167" s="365"/>
      <c r="F167" s="365"/>
      <c r="G167" s="365"/>
      <c r="H167" s="365"/>
      <c r="I167" s="365">
        <v>2005</v>
      </c>
      <c r="J167" s="365">
        <v>625</v>
      </c>
      <c r="K167" s="365">
        <v>2630</v>
      </c>
      <c r="L167" s="365">
        <v>932</v>
      </c>
      <c r="M167" s="365">
        <v>473</v>
      </c>
      <c r="N167" s="365">
        <v>1405</v>
      </c>
      <c r="O167" s="365">
        <v>5334</v>
      </c>
      <c r="P167" s="365">
        <v>4162</v>
      </c>
      <c r="Q167" s="365">
        <v>9496</v>
      </c>
      <c r="R167" s="365">
        <v>147</v>
      </c>
      <c r="S167" s="365">
        <v>161</v>
      </c>
      <c r="T167" s="365">
        <v>308</v>
      </c>
      <c r="U167" s="363">
        <v>8418</v>
      </c>
      <c r="V167" s="363">
        <v>5421</v>
      </c>
      <c r="W167" s="363">
        <v>13839</v>
      </c>
      <c r="X167" s="13"/>
      <c r="Y167" s="13"/>
    </row>
    <row r="168" spans="2:25" hidden="1" outlineLevel="1" x14ac:dyDescent="0.25">
      <c r="B168" s="362">
        <v>43435</v>
      </c>
      <c r="C168" s="365"/>
      <c r="D168" s="365"/>
      <c r="E168" s="365"/>
      <c r="F168" s="365"/>
      <c r="G168" s="365"/>
      <c r="H168" s="365"/>
      <c r="I168" s="365">
        <v>1836</v>
      </c>
      <c r="J168" s="365">
        <v>537</v>
      </c>
      <c r="K168" s="365">
        <v>2373</v>
      </c>
      <c r="L168" s="365">
        <v>855</v>
      </c>
      <c r="M168" s="365">
        <v>472</v>
      </c>
      <c r="N168" s="365">
        <v>1327</v>
      </c>
      <c r="O168" s="365">
        <v>4639</v>
      </c>
      <c r="P168" s="365">
        <v>4008</v>
      </c>
      <c r="Q168" s="365">
        <v>8647</v>
      </c>
      <c r="R168" s="365">
        <v>168</v>
      </c>
      <c r="S168" s="365">
        <v>159</v>
      </c>
      <c r="T168" s="365">
        <v>327</v>
      </c>
      <c r="U168" s="363">
        <v>7498</v>
      </c>
      <c r="V168" s="363">
        <v>5176</v>
      </c>
      <c r="W168" s="363">
        <v>12674</v>
      </c>
      <c r="X168" s="13"/>
      <c r="Y168" s="13"/>
    </row>
    <row r="169" spans="2:25" collapsed="1" x14ac:dyDescent="0.25">
      <c r="B169" s="364" t="s">
        <v>709</v>
      </c>
      <c r="C169" s="363" t="s">
        <v>804</v>
      </c>
      <c r="D169" s="363" t="s">
        <v>804</v>
      </c>
      <c r="E169" s="363" t="s">
        <v>804</v>
      </c>
      <c r="F169" s="363" t="s">
        <v>804</v>
      </c>
      <c r="G169" s="363" t="s">
        <v>804</v>
      </c>
      <c r="H169" s="363" t="s">
        <v>804</v>
      </c>
      <c r="I169" s="363">
        <v>2019</v>
      </c>
      <c r="J169" s="363">
        <v>612</v>
      </c>
      <c r="K169" s="363">
        <v>2631</v>
      </c>
      <c r="L169" s="363">
        <v>967</v>
      </c>
      <c r="M169" s="363">
        <v>449</v>
      </c>
      <c r="N169" s="363">
        <v>1416</v>
      </c>
      <c r="O169" s="363">
        <v>5704</v>
      </c>
      <c r="P169" s="363">
        <v>4593</v>
      </c>
      <c r="Q169" s="363">
        <v>10297</v>
      </c>
      <c r="R169" s="363">
        <v>258</v>
      </c>
      <c r="S169" s="363">
        <v>265</v>
      </c>
      <c r="T169" s="363">
        <v>523</v>
      </c>
      <c r="U169" s="363">
        <v>8948</v>
      </c>
      <c r="V169" s="363">
        <v>5919</v>
      </c>
      <c r="W169" s="363">
        <v>14867</v>
      </c>
      <c r="X169" s="13"/>
      <c r="Y169" s="13"/>
    </row>
    <row r="170" spans="2:25" hidden="1" outlineLevel="1" x14ac:dyDescent="0.25">
      <c r="B170" s="362">
        <v>43466</v>
      </c>
      <c r="C170" s="365"/>
      <c r="D170" s="365"/>
      <c r="E170" s="365"/>
      <c r="F170" s="365"/>
      <c r="G170" s="365"/>
      <c r="H170" s="365"/>
      <c r="I170" s="365">
        <v>2108</v>
      </c>
      <c r="J170" s="365">
        <v>642</v>
      </c>
      <c r="K170" s="365">
        <v>2750</v>
      </c>
      <c r="L170" s="365">
        <v>981</v>
      </c>
      <c r="M170" s="365">
        <v>481</v>
      </c>
      <c r="N170" s="365">
        <v>1462</v>
      </c>
      <c r="O170" s="365">
        <v>5643</v>
      </c>
      <c r="P170" s="365">
        <v>4557</v>
      </c>
      <c r="Q170" s="365">
        <v>10200</v>
      </c>
      <c r="R170" s="365">
        <v>271</v>
      </c>
      <c r="S170" s="365">
        <v>294</v>
      </c>
      <c r="T170" s="365">
        <v>565</v>
      </c>
      <c r="U170" s="363">
        <v>9003</v>
      </c>
      <c r="V170" s="363">
        <v>5974</v>
      </c>
      <c r="W170" s="363">
        <v>14977</v>
      </c>
      <c r="X170" s="13"/>
      <c r="Y170" s="13"/>
    </row>
    <row r="171" spans="2:25" hidden="1" outlineLevel="1" x14ac:dyDescent="0.25">
      <c r="B171" s="362">
        <v>43497</v>
      </c>
      <c r="C171" s="365"/>
      <c r="D171" s="365"/>
      <c r="E171" s="365"/>
      <c r="F171" s="365"/>
      <c r="G171" s="365"/>
      <c r="H171" s="365"/>
      <c r="I171" s="365">
        <v>1667</v>
      </c>
      <c r="J171" s="365">
        <v>521</v>
      </c>
      <c r="K171" s="365">
        <v>2188</v>
      </c>
      <c r="L171" s="365">
        <v>857</v>
      </c>
      <c r="M171" s="365">
        <v>436</v>
      </c>
      <c r="N171" s="365">
        <v>1293</v>
      </c>
      <c r="O171" s="365">
        <v>4680</v>
      </c>
      <c r="P171" s="365">
        <v>3911</v>
      </c>
      <c r="Q171" s="365">
        <v>8591</v>
      </c>
      <c r="R171" s="365">
        <v>377</v>
      </c>
      <c r="S171" s="365">
        <v>308</v>
      </c>
      <c r="T171" s="365">
        <v>685</v>
      </c>
      <c r="U171" s="363">
        <v>7581</v>
      </c>
      <c r="V171" s="363">
        <v>5176</v>
      </c>
      <c r="W171" s="363">
        <v>12757</v>
      </c>
      <c r="X171" s="13"/>
      <c r="Y171" s="13"/>
    </row>
    <row r="172" spans="2:25" hidden="1" outlineLevel="1" x14ac:dyDescent="0.25">
      <c r="B172" s="362">
        <v>43525</v>
      </c>
      <c r="C172" s="365"/>
      <c r="D172" s="365"/>
      <c r="E172" s="365"/>
      <c r="F172" s="365"/>
      <c r="G172" s="365"/>
      <c r="H172" s="365"/>
      <c r="I172" s="365">
        <v>1895</v>
      </c>
      <c r="J172" s="365">
        <v>602</v>
      </c>
      <c r="K172" s="365">
        <v>2497</v>
      </c>
      <c r="L172" s="365">
        <v>1031</v>
      </c>
      <c r="M172" s="365">
        <v>440</v>
      </c>
      <c r="N172" s="365">
        <v>1471</v>
      </c>
      <c r="O172" s="365">
        <v>5185</v>
      </c>
      <c r="P172" s="365">
        <v>4233</v>
      </c>
      <c r="Q172" s="365">
        <v>9418</v>
      </c>
      <c r="R172" s="365">
        <v>328</v>
      </c>
      <c r="S172" s="365">
        <v>310</v>
      </c>
      <c r="T172" s="365">
        <v>638</v>
      </c>
      <c r="U172" s="363">
        <v>8439</v>
      </c>
      <c r="V172" s="363">
        <v>5585</v>
      </c>
      <c r="W172" s="363">
        <v>14024</v>
      </c>
      <c r="X172" s="13"/>
      <c r="Y172" s="13"/>
    </row>
    <row r="173" spans="2:25" hidden="1" outlineLevel="1" x14ac:dyDescent="0.25">
      <c r="B173" s="362">
        <v>43556</v>
      </c>
      <c r="C173" s="365"/>
      <c r="D173" s="365"/>
      <c r="E173" s="365"/>
      <c r="F173" s="365"/>
      <c r="G173" s="365"/>
      <c r="H173" s="365"/>
      <c r="I173" s="365">
        <v>1810</v>
      </c>
      <c r="J173" s="365">
        <v>578</v>
      </c>
      <c r="K173" s="365">
        <v>2388</v>
      </c>
      <c r="L173" s="365">
        <v>1092</v>
      </c>
      <c r="M173" s="365">
        <v>452</v>
      </c>
      <c r="N173" s="365">
        <v>1544</v>
      </c>
      <c r="O173" s="365">
        <v>4987</v>
      </c>
      <c r="P173" s="365">
        <v>4199</v>
      </c>
      <c r="Q173" s="365">
        <v>9186</v>
      </c>
      <c r="R173" s="365">
        <v>277</v>
      </c>
      <c r="S173" s="365">
        <v>307</v>
      </c>
      <c r="T173" s="365">
        <v>584</v>
      </c>
      <c r="U173" s="363">
        <v>8166</v>
      </c>
      <c r="V173" s="363">
        <v>5536</v>
      </c>
      <c r="W173" s="363">
        <v>13702</v>
      </c>
      <c r="X173" s="13"/>
      <c r="Y173" s="13"/>
    </row>
    <row r="174" spans="2:25" hidden="1" outlineLevel="1" x14ac:dyDescent="0.25">
      <c r="B174" s="362">
        <v>43586</v>
      </c>
      <c r="C174" s="365"/>
      <c r="D174" s="365"/>
      <c r="E174" s="365"/>
      <c r="F174" s="365"/>
      <c r="G174" s="365"/>
      <c r="H174" s="365"/>
      <c r="I174" s="365">
        <v>1849</v>
      </c>
      <c r="J174" s="365">
        <v>579</v>
      </c>
      <c r="K174" s="365">
        <v>2428</v>
      </c>
      <c r="L174" s="365">
        <v>945</v>
      </c>
      <c r="M174" s="365">
        <v>428</v>
      </c>
      <c r="N174" s="365">
        <v>1373</v>
      </c>
      <c r="O174" s="365">
        <v>4895</v>
      </c>
      <c r="P174" s="365">
        <v>4562</v>
      </c>
      <c r="Q174" s="365">
        <v>9457</v>
      </c>
      <c r="R174" s="365">
        <v>232</v>
      </c>
      <c r="S174" s="365">
        <v>251</v>
      </c>
      <c r="T174" s="365">
        <v>483</v>
      </c>
      <c r="U174" s="363">
        <v>7921</v>
      </c>
      <c r="V174" s="363">
        <v>5820</v>
      </c>
      <c r="W174" s="363">
        <v>13741</v>
      </c>
      <c r="X174" s="13"/>
      <c r="Y174" s="13"/>
    </row>
    <row r="175" spans="2:25" hidden="1" outlineLevel="1" x14ac:dyDescent="0.25">
      <c r="B175" s="362">
        <v>43617</v>
      </c>
      <c r="C175" s="365"/>
      <c r="D175" s="365"/>
      <c r="E175" s="365"/>
      <c r="F175" s="365"/>
      <c r="G175" s="365"/>
      <c r="H175" s="365"/>
      <c r="I175" s="365">
        <v>1705</v>
      </c>
      <c r="J175" s="365">
        <v>516</v>
      </c>
      <c r="K175" s="365">
        <v>2221</v>
      </c>
      <c r="L175" s="365">
        <v>897</v>
      </c>
      <c r="M175" s="365">
        <v>469</v>
      </c>
      <c r="N175" s="365">
        <v>1366</v>
      </c>
      <c r="O175" s="365">
        <v>4261</v>
      </c>
      <c r="P175" s="365">
        <v>3789</v>
      </c>
      <c r="Q175" s="365">
        <v>8050</v>
      </c>
      <c r="R175" s="365">
        <v>202</v>
      </c>
      <c r="S175" s="365">
        <v>199</v>
      </c>
      <c r="T175" s="365">
        <v>401</v>
      </c>
      <c r="U175" s="363">
        <v>7065</v>
      </c>
      <c r="V175" s="363">
        <v>4973</v>
      </c>
      <c r="W175" s="363">
        <v>12038</v>
      </c>
      <c r="X175" s="13"/>
      <c r="Y175" s="13"/>
    </row>
    <row r="176" spans="2:25" hidden="1" outlineLevel="1" x14ac:dyDescent="0.25">
      <c r="B176" s="362">
        <v>43647</v>
      </c>
      <c r="C176" s="365"/>
      <c r="D176" s="365"/>
      <c r="E176" s="365"/>
      <c r="F176" s="365"/>
      <c r="G176" s="365"/>
      <c r="H176" s="365"/>
      <c r="I176" s="365">
        <v>2007</v>
      </c>
      <c r="J176" s="365">
        <v>605</v>
      </c>
      <c r="K176" s="365">
        <v>2612</v>
      </c>
      <c r="L176" s="365">
        <v>1061</v>
      </c>
      <c r="M176" s="365">
        <v>513</v>
      </c>
      <c r="N176" s="365">
        <v>1574</v>
      </c>
      <c r="O176" s="365">
        <v>5493</v>
      </c>
      <c r="P176" s="365">
        <v>4700</v>
      </c>
      <c r="Q176" s="365">
        <v>10193</v>
      </c>
      <c r="R176" s="365">
        <v>238</v>
      </c>
      <c r="S176" s="365">
        <v>232</v>
      </c>
      <c r="T176" s="365">
        <v>470</v>
      </c>
      <c r="U176" s="363">
        <v>8799</v>
      </c>
      <c r="V176" s="363">
        <v>6050</v>
      </c>
      <c r="W176" s="363">
        <v>14849</v>
      </c>
      <c r="X176" s="13"/>
      <c r="Y176" s="13"/>
    </row>
    <row r="177" spans="2:25" hidden="1" outlineLevel="1" x14ac:dyDescent="0.25">
      <c r="B177" s="362">
        <v>43678</v>
      </c>
      <c r="C177" s="365"/>
      <c r="D177" s="365"/>
      <c r="E177" s="365"/>
      <c r="F177" s="365"/>
      <c r="G177" s="365"/>
      <c r="H177" s="365"/>
      <c r="I177" s="365">
        <v>2017</v>
      </c>
      <c r="J177" s="365">
        <v>567</v>
      </c>
      <c r="K177" s="365">
        <v>2584</v>
      </c>
      <c r="L177" s="365">
        <v>1022</v>
      </c>
      <c r="M177" s="365">
        <v>466</v>
      </c>
      <c r="N177" s="365">
        <v>1488</v>
      </c>
      <c r="O177" s="365">
        <v>5353</v>
      </c>
      <c r="P177" s="365">
        <v>4359</v>
      </c>
      <c r="Q177" s="365">
        <v>9712</v>
      </c>
      <c r="R177" s="365">
        <v>210</v>
      </c>
      <c r="S177" s="365">
        <v>214</v>
      </c>
      <c r="T177" s="365">
        <v>424</v>
      </c>
      <c r="U177" s="363">
        <v>8602</v>
      </c>
      <c r="V177" s="363">
        <v>5606</v>
      </c>
      <c r="W177" s="363">
        <v>14208</v>
      </c>
      <c r="X177" s="13"/>
      <c r="Y177" s="13"/>
    </row>
    <row r="178" spans="2:25" hidden="1" outlineLevel="1" x14ac:dyDescent="0.25">
      <c r="B178" s="362">
        <v>43709</v>
      </c>
      <c r="C178" s="365"/>
      <c r="D178" s="365"/>
      <c r="E178" s="365"/>
      <c r="F178" s="365"/>
      <c r="G178" s="365"/>
      <c r="H178" s="365"/>
      <c r="I178" s="365">
        <v>1940</v>
      </c>
      <c r="J178" s="365">
        <v>529</v>
      </c>
      <c r="K178" s="365">
        <v>2469</v>
      </c>
      <c r="L178" s="365">
        <v>805</v>
      </c>
      <c r="M178" s="365">
        <v>416</v>
      </c>
      <c r="N178" s="365">
        <v>1221</v>
      </c>
      <c r="O178" s="365">
        <v>4857</v>
      </c>
      <c r="P178" s="365">
        <v>3938</v>
      </c>
      <c r="Q178" s="365">
        <v>8795</v>
      </c>
      <c r="R178" s="365">
        <v>218</v>
      </c>
      <c r="S178" s="365">
        <v>239</v>
      </c>
      <c r="T178" s="365">
        <v>457</v>
      </c>
      <c r="U178" s="363">
        <v>7820</v>
      </c>
      <c r="V178" s="363">
        <v>5122</v>
      </c>
      <c r="W178" s="363">
        <v>12942</v>
      </c>
      <c r="X178" s="13"/>
      <c r="Y178" s="13"/>
    </row>
    <row r="179" spans="2:25" hidden="1" outlineLevel="1" x14ac:dyDescent="0.25">
      <c r="B179" s="362">
        <v>43739</v>
      </c>
      <c r="C179" s="365"/>
      <c r="D179" s="365"/>
      <c r="E179" s="365"/>
      <c r="F179" s="365"/>
      <c r="G179" s="365"/>
      <c r="H179" s="365"/>
      <c r="I179" s="365">
        <v>1865</v>
      </c>
      <c r="J179" s="365">
        <v>519</v>
      </c>
      <c r="K179" s="365">
        <v>2384</v>
      </c>
      <c r="L179" s="365">
        <v>840</v>
      </c>
      <c r="M179" s="365">
        <v>340</v>
      </c>
      <c r="N179" s="365">
        <v>1180</v>
      </c>
      <c r="O179" s="365">
        <v>4442</v>
      </c>
      <c r="P179" s="365">
        <v>3407</v>
      </c>
      <c r="Q179" s="365">
        <v>7849</v>
      </c>
      <c r="R179" s="365">
        <v>184</v>
      </c>
      <c r="S179" s="365">
        <v>176</v>
      </c>
      <c r="T179" s="365">
        <v>360</v>
      </c>
      <c r="U179" s="363">
        <v>7331</v>
      </c>
      <c r="V179" s="363">
        <v>4442</v>
      </c>
      <c r="W179" s="363">
        <v>11773</v>
      </c>
      <c r="X179" s="13"/>
      <c r="Y179" s="13"/>
    </row>
    <row r="180" spans="2:25" hidden="1" outlineLevel="1" x14ac:dyDescent="0.25">
      <c r="B180" s="362">
        <v>43770</v>
      </c>
      <c r="C180" s="365"/>
      <c r="D180" s="365"/>
      <c r="E180" s="365"/>
      <c r="F180" s="365"/>
      <c r="G180" s="365"/>
      <c r="H180" s="365"/>
      <c r="I180" s="365">
        <v>1706</v>
      </c>
      <c r="J180" s="365">
        <v>562</v>
      </c>
      <c r="K180" s="365">
        <v>2268</v>
      </c>
      <c r="L180" s="365">
        <v>688</v>
      </c>
      <c r="M180" s="365">
        <v>316</v>
      </c>
      <c r="N180" s="365">
        <v>1004</v>
      </c>
      <c r="O180" s="365">
        <v>4407</v>
      </c>
      <c r="P180" s="365">
        <v>3473</v>
      </c>
      <c r="Q180" s="365">
        <v>7880</v>
      </c>
      <c r="R180" s="365">
        <v>197</v>
      </c>
      <c r="S180" s="365">
        <v>191</v>
      </c>
      <c r="T180" s="365">
        <v>388</v>
      </c>
      <c r="U180" s="363">
        <v>6998</v>
      </c>
      <c r="V180" s="363">
        <v>4542</v>
      </c>
      <c r="W180" s="363">
        <v>11540</v>
      </c>
      <c r="X180" s="13"/>
      <c r="Y180" s="13"/>
    </row>
    <row r="181" spans="2:25" hidden="1" outlineLevel="1" x14ac:dyDescent="0.25">
      <c r="B181" s="362">
        <v>43800</v>
      </c>
      <c r="C181" s="365"/>
      <c r="D181" s="365"/>
      <c r="E181" s="365"/>
      <c r="F181" s="365"/>
      <c r="G181" s="365"/>
      <c r="H181" s="365"/>
      <c r="I181" s="365">
        <v>2295</v>
      </c>
      <c r="J181" s="365">
        <v>650</v>
      </c>
      <c r="K181" s="365">
        <v>2945</v>
      </c>
      <c r="L181" s="365">
        <v>1152</v>
      </c>
      <c r="M181" s="365">
        <v>509</v>
      </c>
      <c r="N181" s="365">
        <v>1661</v>
      </c>
      <c r="O181" s="365">
        <v>7261</v>
      </c>
      <c r="P181" s="365">
        <v>6275</v>
      </c>
      <c r="Q181" s="365">
        <v>13536</v>
      </c>
      <c r="R181" s="365">
        <v>290</v>
      </c>
      <c r="S181" s="365">
        <v>330</v>
      </c>
      <c r="T181" s="365">
        <v>620</v>
      </c>
      <c r="U181" s="363">
        <v>10998</v>
      </c>
      <c r="V181" s="363">
        <v>7764</v>
      </c>
      <c r="W181" s="363">
        <v>18762</v>
      </c>
      <c r="X181" s="13"/>
      <c r="Y181" s="13"/>
    </row>
    <row r="182" spans="2:25" collapsed="1" x14ac:dyDescent="0.25">
      <c r="B182" s="364" t="s">
        <v>710</v>
      </c>
      <c r="C182" s="363" t="s">
        <v>804</v>
      </c>
      <c r="D182" s="363" t="s">
        <v>804</v>
      </c>
      <c r="E182" s="363" t="s">
        <v>804</v>
      </c>
      <c r="F182" s="363" t="s">
        <v>804</v>
      </c>
      <c r="G182" s="363" t="s">
        <v>804</v>
      </c>
      <c r="H182" s="363" t="s">
        <v>804</v>
      </c>
      <c r="I182" s="363">
        <v>1905</v>
      </c>
      <c r="J182" s="363">
        <v>573</v>
      </c>
      <c r="K182" s="363">
        <v>2478</v>
      </c>
      <c r="L182" s="363">
        <v>948</v>
      </c>
      <c r="M182" s="363">
        <v>439</v>
      </c>
      <c r="N182" s="363">
        <v>1386</v>
      </c>
      <c r="O182" s="363">
        <v>5122</v>
      </c>
      <c r="P182" s="363">
        <v>4284</v>
      </c>
      <c r="Q182" s="363">
        <v>9406</v>
      </c>
      <c r="R182" s="363">
        <v>252</v>
      </c>
      <c r="S182" s="363">
        <v>254</v>
      </c>
      <c r="T182" s="363">
        <v>506</v>
      </c>
      <c r="U182" s="363">
        <v>8227</v>
      </c>
      <c r="V182" s="363">
        <v>5549</v>
      </c>
      <c r="W182" s="363">
        <v>13776</v>
      </c>
      <c r="X182" s="13"/>
      <c r="Y182" s="13"/>
    </row>
    <row r="183" spans="2:25" hidden="1" outlineLevel="1" x14ac:dyDescent="0.25">
      <c r="B183" s="362">
        <v>43831</v>
      </c>
      <c r="C183" s="365"/>
      <c r="D183" s="365"/>
      <c r="E183" s="365"/>
      <c r="F183" s="365"/>
      <c r="G183" s="365"/>
      <c r="H183" s="365"/>
      <c r="I183" s="365">
        <v>2312</v>
      </c>
      <c r="J183" s="365">
        <v>698</v>
      </c>
      <c r="K183" s="365">
        <v>3010</v>
      </c>
      <c r="L183" s="365">
        <v>1196</v>
      </c>
      <c r="M183" s="365">
        <v>557</v>
      </c>
      <c r="N183" s="365">
        <v>1753</v>
      </c>
      <c r="O183" s="365">
        <v>10259</v>
      </c>
      <c r="P183" s="365">
        <v>9632</v>
      </c>
      <c r="Q183" s="365">
        <v>19891</v>
      </c>
      <c r="R183" s="365">
        <v>371</v>
      </c>
      <c r="S183" s="365">
        <v>370</v>
      </c>
      <c r="T183" s="365">
        <v>741</v>
      </c>
      <c r="U183" s="363">
        <v>14138</v>
      </c>
      <c r="V183" s="363">
        <v>11257</v>
      </c>
      <c r="W183" s="363">
        <v>25395</v>
      </c>
      <c r="X183" s="13"/>
      <c r="Y183" s="13"/>
    </row>
    <row r="184" spans="2:25" hidden="1" outlineLevel="1" x14ac:dyDescent="0.25">
      <c r="B184" s="362">
        <v>43862</v>
      </c>
      <c r="C184" s="365"/>
      <c r="D184" s="365"/>
      <c r="E184" s="365"/>
      <c r="F184" s="365"/>
      <c r="G184" s="365"/>
      <c r="H184" s="365"/>
      <c r="I184" s="365">
        <v>1941</v>
      </c>
      <c r="J184" s="365">
        <v>581</v>
      </c>
      <c r="K184" s="365">
        <v>2522</v>
      </c>
      <c r="L184" s="365">
        <v>1061</v>
      </c>
      <c r="M184" s="365">
        <v>498</v>
      </c>
      <c r="N184" s="365">
        <v>1559</v>
      </c>
      <c r="O184" s="365">
        <v>12901</v>
      </c>
      <c r="P184" s="365">
        <v>11258</v>
      </c>
      <c r="Q184" s="365">
        <v>24159</v>
      </c>
      <c r="R184" s="365">
        <v>396</v>
      </c>
      <c r="S184" s="365">
        <v>449</v>
      </c>
      <c r="T184" s="365">
        <v>845</v>
      </c>
      <c r="U184" s="363">
        <v>16299</v>
      </c>
      <c r="V184" s="363">
        <v>12786</v>
      </c>
      <c r="W184" s="363">
        <v>29085</v>
      </c>
      <c r="X184" s="13"/>
      <c r="Y184" s="13"/>
    </row>
    <row r="185" spans="2:25" hidden="1" outlineLevel="1" x14ac:dyDescent="0.25">
      <c r="B185" s="362">
        <v>43891</v>
      </c>
      <c r="C185" s="365"/>
      <c r="D185" s="365"/>
      <c r="E185" s="365"/>
      <c r="F185" s="365"/>
      <c r="G185" s="365"/>
      <c r="H185" s="365"/>
      <c r="I185" s="365">
        <v>1506</v>
      </c>
      <c r="J185" s="365">
        <v>494</v>
      </c>
      <c r="K185" s="365">
        <v>2000</v>
      </c>
      <c r="L185" s="365">
        <v>721</v>
      </c>
      <c r="M185" s="365">
        <v>398</v>
      </c>
      <c r="N185" s="365">
        <v>1119</v>
      </c>
      <c r="O185" s="365">
        <v>6539</v>
      </c>
      <c r="P185" s="365">
        <v>6109</v>
      </c>
      <c r="Q185" s="365">
        <v>12648</v>
      </c>
      <c r="R185" s="365">
        <v>263</v>
      </c>
      <c r="S185" s="365">
        <v>264</v>
      </c>
      <c r="T185" s="365">
        <v>527</v>
      </c>
      <c r="U185" s="363">
        <v>9029</v>
      </c>
      <c r="V185" s="363">
        <v>7265</v>
      </c>
      <c r="W185" s="363">
        <v>16294</v>
      </c>
      <c r="X185" s="13"/>
      <c r="Y185" s="13"/>
    </row>
    <row r="186" spans="2:25" hidden="1" outlineLevel="1" x14ac:dyDescent="0.25">
      <c r="B186" s="362">
        <v>43922</v>
      </c>
      <c r="C186" s="365"/>
      <c r="D186" s="365"/>
      <c r="E186" s="365"/>
      <c r="F186" s="365"/>
      <c r="G186" s="365"/>
      <c r="H186" s="365"/>
      <c r="I186" s="365">
        <v>1007</v>
      </c>
      <c r="J186" s="365">
        <v>361</v>
      </c>
      <c r="K186" s="365">
        <v>1368</v>
      </c>
      <c r="L186" s="365">
        <v>311</v>
      </c>
      <c r="M186" s="365">
        <v>151</v>
      </c>
      <c r="N186" s="365">
        <v>462</v>
      </c>
      <c r="O186" s="365">
        <v>3390</v>
      </c>
      <c r="P186" s="365">
        <v>3427</v>
      </c>
      <c r="Q186" s="365">
        <v>6817</v>
      </c>
      <c r="R186" s="365">
        <v>229</v>
      </c>
      <c r="S186" s="365">
        <v>221</v>
      </c>
      <c r="T186" s="365">
        <v>450</v>
      </c>
      <c r="U186" s="363">
        <v>4937</v>
      </c>
      <c r="V186" s="363">
        <v>4160</v>
      </c>
      <c r="W186" s="363">
        <v>9097</v>
      </c>
      <c r="X186" s="13"/>
      <c r="Y186" s="13"/>
    </row>
    <row r="187" spans="2:25" hidden="1" outlineLevel="1" x14ac:dyDescent="0.25">
      <c r="B187" s="362">
        <v>43952</v>
      </c>
      <c r="C187" s="365"/>
      <c r="D187" s="365"/>
      <c r="E187" s="365"/>
      <c r="F187" s="365"/>
      <c r="G187" s="365"/>
      <c r="H187" s="365"/>
      <c r="I187" s="365">
        <v>1582</v>
      </c>
      <c r="J187" s="365">
        <v>476</v>
      </c>
      <c r="K187" s="365">
        <v>2058</v>
      </c>
      <c r="L187" s="365">
        <v>574</v>
      </c>
      <c r="M187" s="365">
        <v>269</v>
      </c>
      <c r="N187" s="365">
        <v>843</v>
      </c>
      <c r="O187" s="365">
        <v>5247</v>
      </c>
      <c r="P187" s="365">
        <v>5642</v>
      </c>
      <c r="Q187" s="365">
        <v>10889</v>
      </c>
      <c r="R187" s="365">
        <v>380</v>
      </c>
      <c r="S187" s="365">
        <v>338</v>
      </c>
      <c r="T187" s="365">
        <v>718</v>
      </c>
      <c r="U187" s="363">
        <v>7783</v>
      </c>
      <c r="V187" s="363">
        <v>6725</v>
      </c>
      <c r="W187" s="363">
        <v>14508</v>
      </c>
      <c r="X187" s="13"/>
      <c r="Y187" s="13"/>
    </row>
    <row r="188" spans="2:25" hidden="1" outlineLevel="1" x14ac:dyDescent="0.25">
      <c r="B188" s="362">
        <v>43983</v>
      </c>
      <c r="C188" s="365"/>
      <c r="D188" s="365"/>
      <c r="E188" s="365"/>
      <c r="F188" s="365"/>
      <c r="G188" s="365"/>
      <c r="H188" s="365"/>
      <c r="I188" s="365">
        <v>1449</v>
      </c>
      <c r="J188" s="365">
        <v>470</v>
      </c>
      <c r="K188" s="365">
        <v>1919</v>
      </c>
      <c r="L188" s="365">
        <v>503</v>
      </c>
      <c r="M188" s="365">
        <v>270</v>
      </c>
      <c r="N188" s="365">
        <v>773</v>
      </c>
      <c r="O188" s="365">
        <v>4830</v>
      </c>
      <c r="P188" s="365">
        <v>4771</v>
      </c>
      <c r="Q188" s="365">
        <v>9601</v>
      </c>
      <c r="R188" s="365">
        <v>306</v>
      </c>
      <c r="S188" s="365">
        <v>331</v>
      </c>
      <c r="T188" s="365">
        <v>637</v>
      </c>
      <c r="U188" s="363">
        <v>7088</v>
      </c>
      <c r="V188" s="363">
        <v>5842</v>
      </c>
      <c r="W188" s="363">
        <v>12930</v>
      </c>
      <c r="X188" s="13"/>
      <c r="Y188" s="13"/>
    </row>
    <row r="189" spans="2:25" hidden="1" outlineLevel="1" x14ac:dyDescent="0.25">
      <c r="B189" s="362">
        <v>44013</v>
      </c>
      <c r="C189" s="365"/>
      <c r="D189" s="365"/>
      <c r="E189" s="365"/>
      <c r="F189" s="365"/>
      <c r="G189" s="365"/>
      <c r="H189" s="365"/>
      <c r="I189" s="365">
        <v>2138</v>
      </c>
      <c r="J189" s="365">
        <v>678</v>
      </c>
      <c r="K189" s="365">
        <v>2816</v>
      </c>
      <c r="L189" s="365">
        <v>617</v>
      </c>
      <c r="M189" s="365">
        <v>322</v>
      </c>
      <c r="N189" s="365">
        <v>939</v>
      </c>
      <c r="O189" s="365">
        <v>6230</v>
      </c>
      <c r="P189" s="365">
        <v>5184</v>
      </c>
      <c r="Q189" s="365">
        <v>11414</v>
      </c>
      <c r="R189" s="365">
        <v>249</v>
      </c>
      <c r="S189" s="365">
        <v>281</v>
      </c>
      <c r="T189" s="365">
        <v>530</v>
      </c>
      <c r="U189" s="363">
        <v>9234</v>
      </c>
      <c r="V189" s="363">
        <v>6465</v>
      </c>
      <c r="W189" s="363">
        <v>15699</v>
      </c>
      <c r="X189" s="13"/>
      <c r="Y189" s="13"/>
    </row>
    <row r="190" spans="2:25" hidden="1" outlineLevel="1" x14ac:dyDescent="0.25">
      <c r="B190" s="362">
        <v>44044</v>
      </c>
      <c r="C190" s="365"/>
      <c r="D190" s="365"/>
      <c r="E190" s="365"/>
      <c r="F190" s="365"/>
      <c r="G190" s="365"/>
      <c r="H190" s="365"/>
      <c r="I190" s="365">
        <v>2359</v>
      </c>
      <c r="J190" s="365">
        <v>707</v>
      </c>
      <c r="K190" s="365">
        <v>3066</v>
      </c>
      <c r="L190" s="365">
        <v>779</v>
      </c>
      <c r="M190" s="365">
        <v>402</v>
      </c>
      <c r="N190" s="365">
        <v>1181</v>
      </c>
      <c r="O190" s="365">
        <v>8006</v>
      </c>
      <c r="P190" s="365">
        <v>6797</v>
      </c>
      <c r="Q190" s="365">
        <v>14803</v>
      </c>
      <c r="R190" s="365">
        <v>300</v>
      </c>
      <c r="S190" s="365">
        <v>327</v>
      </c>
      <c r="T190" s="365">
        <v>627</v>
      </c>
      <c r="U190" s="363">
        <v>11444</v>
      </c>
      <c r="V190" s="363">
        <v>8233</v>
      </c>
      <c r="W190" s="363">
        <v>19677</v>
      </c>
      <c r="X190" s="13"/>
      <c r="Y190" s="13"/>
    </row>
    <row r="191" spans="2:25" hidden="1" outlineLevel="1" x14ac:dyDescent="0.25">
      <c r="B191" s="362">
        <v>44075</v>
      </c>
      <c r="C191" s="365"/>
      <c r="D191" s="365"/>
      <c r="E191" s="365"/>
      <c r="F191" s="365"/>
      <c r="G191" s="365"/>
      <c r="H191" s="365"/>
      <c r="I191" s="365">
        <v>2368</v>
      </c>
      <c r="J191" s="365">
        <v>642</v>
      </c>
      <c r="K191" s="365">
        <v>3010</v>
      </c>
      <c r="L191" s="365">
        <v>902</v>
      </c>
      <c r="M191" s="365">
        <v>520</v>
      </c>
      <c r="N191" s="365">
        <v>1422</v>
      </c>
      <c r="O191" s="365">
        <v>8207</v>
      </c>
      <c r="P191" s="365">
        <v>6206</v>
      </c>
      <c r="Q191" s="365">
        <v>14413</v>
      </c>
      <c r="R191" s="365">
        <v>334</v>
      </c>
      <c r="S191" s="365">
        <v>398</v>
      </c>
      <c r="T191" s="365">
        <v>732</v>
      </c>
      <c r="U191" s="363">
        <v>11811</v>
      </c>
      <c r="V191" s="363">
        <v>7766</v>
      </c>
      <c r="W191" s="363">
        <v>19577</v>
      </c>
      <c r="X191" s="13"/>
      <c r="Y191" s="13"/>
    </row>
    <row r="192" spans="2:25" hidden="1" outlineLevel="1" x14ac:dyDescent="0.25">
      <c r="B192" s="362">
        <v>44105</v>
      </c>
      <c r="C192" s="365"/>
      <c r="D192" s="365"/>
      <c r="E192" s="365"/>
      <c r="F192" s="365"/>
      <c r="G192" s="365"/>
      <c r="H192" s="365"/>
      <c r="I192" s="365">
        <v>2462</v>
      </c>
      <c r="J192" s="365">
        <v>773</v>
      </c>
      <c r="K192" s="365">
        <v>3235</v>
      </c>
      <c r="L192" s="365">
        <v>1230</v>
      </c>
      <c r="M192" s="365">
        <v>581</v>
      </c>
      <c r="N192" s="365">
        <v>1811</v>
      </c>
      <c r="O192" s="365">
        <v>8846</v>
      </c>
      <c r="P192" s="365">
        <v>6567</v>
      </c>
      <c r="Q192" s="365">
        <v>15413</v>
      </c>
      <c r="R192" s="365">
        <v>365</v>
      </c>
      <c r="S192" s="365">
        <v>470</v>
      </c>
      <c r="T192" s="365">
        <v>835</v>
      </c>
      <c r="U192" s="363">
        <v>12903</v>
      </c>
      <c r="V192" s="363">
        <v>8391</v>
      </c>
      <c r="W192" s="363">
        <v>21294</v>
      </c>
      <c r="X192" s="13"/>
      <c r="Y192" s="13"/>
    </row>
    <row r="193" spans="2:25" hidden="1" outlineLevel="1" x14ac:dyDescent="0.25">
      <c r="B193" s="362">
        <v>44136</v>
      </c>
      <c r="C193" s="365"/>
      <c r="D193" s="365"/>
      <c r="E193" s="365"/>
      <c r="F193" s="365"/>
      <c r="G193" s="365"/>
      <c r="H193" s="365"/>
      <c r="I193" s="365">
        <v>2171</v>
      </c>
      <c r="J193" s="365">
        <v>688</v>
      </c>
      <c r="K193" s="365">
        <v>2859</v>
      </c>
      <c r="L193" s="365">
        <v>1079</v>
      </c>
      <c r="M193" s="365">
        <v>523</v>
      </c>
      <c r="N193" s="365">
        <v>1602</v>
      </c>
      <c r="O193" s="365">
        <v>7924</v>
      </c>
      <c r="P193" s="365">
        <v>6059</v>
      </c>
      <c r="Q193" s="365">
        <v>13983</v>
      </c>
      <c r="R193" s="365">
        <v>287</v>
      </c>
      <c r="S193" s="365">
        <v>318</v>
      </c>
      <c r="T193" s="365">
        <v>605</v>
      </c>
      <c r="U193" s="363">
        <v>11461</v>
      </c>
      <c r="V193" s="363">
        <v>7588</v>
      </c>
      <c r="W193" s="363">
        <v>19049</v>
      </c>
      <c r="X193" s="13"/>
      <c r="Y193" s="13"/>
    </row>
    <row r="194" spans="2:25" hidden="1" outlineLevel="1" x14ac:dyDescent="0.25">
      <c r="B194" s="362">
        <v>44166</v>
      </c>
      <c r="C194" s="365"/>
      <c r="D194" s="365"/>
      <c r="E194" s="365"/>
      <c r="F194" s="365"/>
      <c r="G194" s="365"/>
      <c r="H194" s="365"/>
      <c r="I194" s="365">
        <v>2042</v>
      </c>
      <c r="J194" s="365">
        <v>584</v>
      </c>
      <c r="K194" s="365">
        <v>2626</v>
      </c>
      <c r="L194" s="365">
        <v>1029</v>
      </c>
      <c r="M194" s="365">
        <v>515</v>
      </c>
      <c r="N194" s="365">
        <v>1544</v>
      </c>
      <c r="O194" s="365">
        <v>6956</v>
      </c>
      <c r="P194" s="365">
        <v>5594</v>
      </c>
      <c r="Q194" s="365">
        <v>12550</v>
      </c>
      <c r="R194" s="365">
        <v>234</v>
      </c>
      <c r="S194" s="365">
        <v>257</v>
      </c>
      <c r="T194" s="365">
        <v>491</v>
      </c>
      <c r="U194" s="363">
        <v>10261</v>
      </c>
      <c r="V194" s="363">
        <v>6950</v>
      </c>
      <c r="W194" s="363">
        <v>17211</v>
      </c>
      <c r="X194" s="13"/>
      <c r="Y194" s="13"/>
    </row>
    <row r="195" spans="2:25" collapsed="1" x14ac:dyDescent="0.25">
      <c r="B195" s="364" t="s">
        <v>711</v>
      </c>
      <c r="C195" s="363" t="s">
        <v>804</v>
      </c>
      <c r="D195" s="363" t="s">
        <v>804</v>
      </c>
      <c r="E195" s="363" t="s">
        <v>804</v>
      </c>
      <c r="F195" s="363" t="s">
        <v>804</v>
      </c>
      <c r="G195" s="363" t="s">
        <v>804</v>
      </c>
      <c r="H195" s="363" t="s">
        <v>804</v>
      </c>
      <c r="I195" s="363">
        <v>1945</v>
      </c>
      <c r="J195" s="363">
        <v>596</v>
      </c>
      <c r="K195" s="363">
        <v>2541</v>
      </c>
      <c r="L195" s="363">
        <v>834</v>
      </c>
      <c r="M195" s="363">
        <v>417</v>
      </c>
      <c r="N195" s="363">
        <v>1251</v>
      </c>
      <c r="O195" s="363">
        <v>7445</v>
      </c>
      <c r="P195" s="363">
        <v>6437</v>
      </c>
      <c r="Q195" s="363">
        <v>13882</v>
      </c>
      <c r="R195" s="363">
        <v>310</v>
      </c>
      <c r="S195" s="363">
        <v>335</v>
      </c>
      <c r="T195" s="363">
        <v>645</v>
      </c>
      <c r="U195" s="363">
        <v>10532</v>
      </c>
      <c r="V195" s="363">
        <v>7786</v>
      </c>
      <c r="W195" s="363">
        <v>18318</v>
      </c>
      <c r="X195" s="13"/>
      <c r="Y195" s="13"/>
    </row>
    <row r="196" spans="2:25" hidden="1" outlineLevel="1" x14ac:dyDescent="0.25">
      <c r="B196" s="362">
        <v>44197</v>
      </c>
      <c r="C196" s="365"/>
      <c r="D196" s="365"/>
      <c r="E196" s="365"/>
      <c r="F196" s="365"/>
      <c r="G196" s="365"/>
      <c r="H196" s="365"/>
      <c r="I196" s="365">
        <v>2022</v>
      </c>
      <c r="J196" s="365">
        <v>604</v>
      </c>
      <c r="K196" s="365">
        <v>2626</v>
      </c>
      <c r="L196" s="365">
        <v>1166</v>
      </c>
      <c r="M196" s="365">
        <v>720</v>
      </c>
      <c r="N196" s="365">
        <v>1886</v>
      </c>
      <c r="O196" s="365">
        <v>7345</v>
      </c>
      <c r="P196" s="365">
        <v>5352</v>
      </c>
      <c r="Q196" s="365">
        <v>12697</v>
      </c>
      <c r="R196" s="365">
        <v>428</v>
      </c>
      <c r="S196" s="365">
        <v>517</v>
      </c>
      <c r="T196" s="365">
        <v>945</v>
      </c>
      <c r="U196" s="363">
        <v>10961</v>
      </c>
      <c r="V196" s="363">
        <v>7193</v>
      </c>
      <c r="W196" s="363">
        <v>18154</v>
      </c>
      <c r="X196" s="13"/>
      <c r="Y196" s="13"/>
    </row>
    <row r="197" spans="2:25" hidden="1" outlineLevel="1" x14ac:dyDescent="0.25">
      <c r="B197" s="362">
        <v>44228</v>
      </c>
      <c r="C197" s="365"/>
      <c r="D197" s="365"/>
      <c r="E197" s="365"/>
      <c r="F197" s="365"/>
      <c r="G197" s="365"/>
      <c r="H197" s="365"/>
      <c r="I197" s="365">
        <v>1834</v>
      </c>
      <c r="J197" s="365">
        <v>519</v>
      </c>
      <c r="K197" s="365">
        <v>2353</v>
      </c>
      <c r="L197" s="365">
        <v>1033</v>
      </c>
      <c r="M197" s="365">
        <v>574</v>
      </c>
      <c r="N197" s="365">
        <v>1607</v>
      </c>
      <c r="O197" s="365">
        <v>6860</v>
      </c>
      <c r="P197" s="365">
        <v>5345</v>
      </c>
      <c r="Q197" s="365">
        <v>12205</v>
      </c>
      <c r="R197" s="365">
        <v>402</v>
      </c>
      <c r="S197" s="365">
        <v>460</v>
      </c>
      <c r="T197" s="365">
        <v>862</v>
      </c>
      <c r="U197" s="363">
        <v>10129</v>
      </c>
      <c r="V197" s="363">
        <v>6898</v>
      </c>
      <c r="W197" s="363">
        <v>17027</v>
      </c>
      <c r="X197" s="13"/>
      <c r="Y197" s="13"/>
    </row>
    <row r="198" spans="2:25" hidden="1" outlineLevel="1" x14ac:dyDescent="0.25">
      <c r="B198" s="362">
        <v>44256</v>
      </c>
      <c r="C198" s="365"/>
      <c r="D198" s="365"/>
      <c r="E198" s="365"/>
      <c r="F198" s="365"/>
      <c r="G198" s="365"/>
      <c r="H198" s="365"/>
      <c r="I198" s="365">
        <v>1992</v>
      </c>
      <c r="J198" s="365">
        <v>686</v>
      </c>
      <c r="K198" s="365">
        <v>2678</v>
      </c>
      <c r="L198" s="365">
        <v>1277</v>
      </c>
      <c r="M198" s="365">
        <v>654</v>
      </c>
      <c r="N198" s="365">
        <v>1931</v>
      </c>
      <c r="O198" s="365">
        <v>7991</v>
      </c>
      <c r="P198" s="365">
        <v>6603</v>
      </c>
      <c r="Q198" s="365">
        <v>14594</v>
      </c>
      <c r="R198" s="365">
        <v>1205</v>
      </c>
      <c r="S198" s="365">
        <v>1595</v>
      </c>
      <c r="T198" s="365">
        <v>2800</v>
      </c>
      <c r="U198" s="363">
        <v>12465</v>
      </c>
      <c r="V198" s="363">
        <v>9538</v>
      </c>
      <c r="W198" s="363">
        <v>22003</v>
      </c>
      <c r="X198" s="13"/>
      <c r="Y198" s="13"/>
    </row>
    <row r="199" spans="2:25" hidden="1" outlineLevel="1" x14ac:dyDescent="0.25">
      <c r="B199" s="362">
        <v>44287</v>
      </c>
      <c r="C199" s="365"/>
      <c r="D199" s="365"/>
      <c r="E199" s="365"/>
      <c r="F199" s="365"/>
      <c r="G199" s="365"/>
      <c r="H199" s="365"/>
      <c r="I199" s="365">
        <v>2259</v>
      </c>
      <c r="J199" s="365">
        <v>694</v>
      </c>
      <c r="K199" s="365">
        <v>2953</v>
      </c>
      <c r="L199" s="365">
        <v>1437</v>
      </c>
      <c r="M199" s="365">
        <v>690</v>
      </c>
      <c r="N199" s="365">
        <v>2127</v>
      </c>
      <c r="O199" s="365">
        <v>7730</v>
      </c>
      <c r="P199" s="365">
        <v>6023</v>
      </c>
      <c r="Q199" s="365">
        <v>13753</v>
      </c>
      <c r="R199" s="365">
        <v>1351</v>
      </c>
      <c r="S199" s="365">
        <v>1712</v>
      </c>
      <c r="T199" s="365">
        <v>3063</v>
      </c>
      <c r="U199" s="363">
        <v>12777</v>
      </c>
      <c r="V199" s="363">
        <v>9119</v>
      </c>
      <c r="W199" s="363">
        <v>21896</v>
      </c>
      <c r="X199" s="13"/>
      <c r="Y199" s="13"/>
    </row>
    <row r="200" spans="2:25" hidden="1" outlineLevel="1" x14ac:dyDescent="0.25">
      <c r="B200" s="362">
        <v>44317</v>
      </c>
      <c r="C200" s="365"/>
      <c r="D200" s="365"/>
      <c r="E200" s="365"/>
      <c r="F200" s="365"/>
      <c r="G200" s="365"/>
      <c r="H200" s="365"/>
      <c r="I200" s="365">
        <v>2500</v>
      </c>
      <c r="J200" s="365">
        <v>847</v>
      </c>
      <c r="K200" s="365">
        <v>3347</v>
      </c>
      <c r="L200" s="365">
        <v>1460</v>
      </c>
      <c r="M200" s="365">
        <v>817</v>
      </c>
      <c r="N200" s="365">
        <v>2277</v>
      </c>
      <c r="O200" s="365">
        <v>7823</v>
      </c>
      <c r="P200" s="365">
        <v>5905</v>
      </c>
      <c r="Q200" s="365">
        <v>13728</v>
      </c>
      <c r="R200" s="365">
        <v>873</v>
      </c>
      <c r="S200" s="365">
        <v>1246</v>
      </c>
      <c r="T200" s="365">
        <v>2119</v>
      </c>
      <c r="U200" s="363">
        <v>12656</v>
      </c>
      <c r="V200" s="363">
        <v>8815</v>
      </c>
      <c r="W200" s="363">
        <v>21471</v>
      </c>
      <c r="X200" s="13"/>
      <c r="Y200" s="13"/>
    </row>
    <row r="201" spans="2:25" hidden="1" outlineLevel="1" x14ac:dyDescent="0.25">
      <c r="B201" s="362">
        <v>44348</v>
      </c>
      <c r="C201" s="365"/>
      <c r="D201" s="365"/>
      <c r="E201" s="365"/>
      <c r="F201" s="365"/>
      <c r="G201" s="365"/>
      <c r="H201" s="365"/>
      <c r="I201" s="365">
        <v>2691</v>
      </c>
      <c r="J201" s="365">
        <v>908</v>
      </c>
      <c r="K201" s="365">
        <v>3599</v>
      </c>
      <c r="L201" s="365">
        <v>1392</v>
      </c>
      <c r="M201" s="365">
        <v>733</v>
      </c>
      <c r="N201" s="365">
        <v>2125</v>
      </c>
      <c r="O201" s="365">
        <v>7728</v>
      </c>
      <c r="P201" s="365">
        <v>5769</v>
      </c>
      <c r="Q201" s="365">
        <v>13497</v>
      </c>
      <c r="R201" s="365">
        <v>707</v>
      </c>
      <c r="S201" s="365">
        <v>1031</v>
      </c>
      <c r="T201" s="365">
        <v>1738</v>
      </c>
      <c r="U201" s="363">
        <v>12518</v>
      </c>
      <c r="V201" s="363">
        <v>8441</v>
      </c>
      <c r="W201" s="363">
        <v>20959</v>
      </c>
      <c r="X201" s="13"/>
      <c r="Y201" s="13"/>
    </row>
    <row r="202" spans="2:25" hidden="1" outlineLevel="1" x14ac:dyDescent="0.25">
      <c r="B202" s="362">
        <v>44378</v>
      </c>
      <c r="C202" s="365"/>
      <c r="D202" s="365"/>
      <c r="E202" s="365"/>
      <c r="F202" s="365"/>
      <c r="G202" s="365"/>
      <c r="H202" s="365"/>
      <c r="I202" s="365">
        <v>3028</v>
      </c>
      <c r="J202" s="365">
        <v>1087</v>
      </c>
      <c r="K202" s="365">
        <v>4115</v>
      </c>
      <c r="L202" s="365">
        <v>1586</v>
      </c>
      <c r="M202" s="365">
        <v>823</v>
      </c>
      <c r="N202" s="365">
        <v>2409</v>
      </c>
      <c r="O202" s="365">
        <v>9141</v>
      </c>
      <c r="P202" s="365">
        <v>6684</v>
      </c>
      <c r="Q202" s="365">
        <v>15825</v>
      </c>
      <c r="R202" s="365">
        <v>632</v>
      </c>
      <c r="S202" s="365">
        <v>977</v>
      </c>
      <c r="T202" s="365">
        <v>1609</v>
      </c>
      <c r="U202" s="363">
        <v>14387</v>
      </c>
      <c r="V202" s="363">
        <v>9571</v>
      </c>
      <c r="W202" s="363">
        <v>23958</v>
      </c>
      <c r="X202" s="13"/>
      <c r="Y202" s="13"/>
    </row>
    <row r="203" spans="2:25" hidden="1" outlineLevel="1" x14ac:dyDescent="0.25">
      <c r="B203" s="362">
        <v>44409</v>
      </c>
      <c r="C203" s="365"/>
      <c r="D203" s="365"/>
      <c r="E203" s="365"/>
      <c r="F203" s="365"/>
      <c r="G203" s="365"/>
      <c r="H203" s="365"/>
      <c r="I203" s="365">
        <v>3101</v>
      </c>
      <c r="J203" s="365">
        <v>1197</v>
      </c>
      <c r="K203" s="365">
        <v>4298</v>
      </c>
      <c r="L203" s="365">
        <v>1720</v>
      </c>
      <c r="M203" s="365">
        <v>921</v>
      </c>
      <c r="N203" s="365">
        <v>2641</v>
      </c>
      <c r="O203" s="365">
        <v>10242</v>
      </c>
      <c r="P203" s="365">
        <v>7981</v>
      </c>
      <c r="Q203" s="365">
        <v>18223</v>
      </c>
      <c r="R203" s="365">
        <v>646</v>
      </c>
      <c r="S203" s="365">
        <v>907</v>
      </c>
      <c r="T203" s="365">
        <v>1553</v>
      </c>
      <c r="U203" s="363">
        <v>15709</v>
      </c>
      <c r="V203" s="363">
        <v>11006</v>
      </c>
      <c r="W203" s="363">
        <v>26715</v>
      </c>
      <c r="X203" s="13"/>
      <c r="Y203" s="13"/>
    </row>
    <row r="204" spans="2:25" hidden="1" outlineLevel="1" x14ac:dyDescent="0.25">
      <c r="B204" s="362">
        <v>44440</v>
      </c>
      <c r="C204" s="365"/>
      <c r="D204" s="365"/>
      <c r="E204" s="365"/>
      <c r="F204" s="365"/>
      <c r="G204" s="365"/>
      <c r="H204" s="365"/>
      <c r="I204" s="365">
        <v>3308</v>
      </c>
      <c r="J204" s="365">
        <v>1220</v>
      </c>
      <c r="K204" s="365">
        <v>4528</v>
      </c>
      <c r="L204" s="365">
        <v>1584</v>
      </c>
      <c r="M204" s="365">
        <v>746</v>
      </c>
      <c r="N204" s="365">
        <v>2330</v>
      </c>
      <c r="O204" s="365">
        <v>11151</v>
      </c>
      <c r="P204" s="365">
        <v>8667</v>
      </c>
      <c r="Q204" s="365">
        <v>19818</v>
      </c>
      <c r="R204" s="365">
        <v>603</v>
      </c>
      <c r="S204" s="365">
        <v>841</v>
      </c>
      <c r="T204" s="365">
        <v>1444</v>
      </c>
      <c r="U204" s="363">
        <v>16646</v>
      </c>
      <c r="V204" s="363">
        <v>11474</v>
      </c>
      <c r="W204" s="363">
        <v>28120</v>
      </c>
      <c r="X204" s="13"/>
      <c r="Y204" s="13"/>
    </row>
    <row r="205" spans="2:25" hidden="1" outlineLevel="1" x14ac:dyDescent="0.25">
      <c r="B205" s="362">
        <v>44470</v>
      </c>
      <c r="C205" s="365"/>
      <c r="D205" s="365"/>
      <c r="E205" s="365"/>
      <c r="F205" s="365"/>
      <c r="G205" s="365"/>
      <c r="H205" s="365"/>
      <c r="I205" s="365">
        <v>2512</v>
      </c>
      <c r="J205" s="365">
        <v>965</v>
      </c>
      <c r="K205" s="365">
        <v>3477</v>
      </c>
      <c r="L205" s="365">
        <v>1686</v>
      </c>
      <c r="M205" s="365">
        <v>775</v>
      </c>
      <c r="N205" s="365">
        <v>2461</v>
      </c>
      <c r="O205" s="365">
        <v>9980</v>
      </c>
      <c r="P205" s="365">
        <v>7721</v>
      </c>
      <c r="Q205" s="365">
        <v>17701</v>
      </c>
      <c r="R205" s="365">
        <v>562</v>
      </c>
      <c r="S205" s="365">
        <v>873</v>
      </c>
      <c r="T205" s="365">
        <v>1435</v>
      </c>
      <c r="U205" s="363">
        <v>14740</v>
      </c>
      <c r="V205" s="363">
        <v>10334</v>
      </c>
      <c r="W205" s="363">
        <v>25074</v>
      </c>
      <c r="X205" s="13"/>
      <c r="Y205" s="13"/>
    </row>
    <row r="206" spans="2:25" hidden="1" outlineLevel="1" x14ac:dyDescent="0.25">
      <c r="B206" s="362">
        <v>44501</v>
      </c>
      <c r="C206" s="365"/>
      <c r="D206" s="365"/>
      <c r="E206" s="365"/>
      <c r="F206" s="365"/>
      <c r="G206" s="365"/>
      <c r="H206" s="365"/>
      <c r="I206" s="365">
        <v>2874</v>
      </c>
      <c r="J206" s="365">
        <v>1008</v>
      </c>
      <c r="K206" s="365">
        <v>3882</v>
      </c>
      <c r="L206" s="365">
        <v>1847</v>
      </c>
      <c r="M206" s="365">
        <v>810</v>
      </c>
      <c r="N206" s="365">
        <v>2657</v>
      </c>
      <c r="O206" s="365">
        <v>11630</v>
      </c>
      <c r="P206" s="365">
        <v>8530</v>
      </c>
      <c r="Q206" s="365">
        <v>20160</v>
      </c>
      <c r="R206" s="365">
        <v>575</v>
      </c>
      <c r="S206" s="365">
        <v>923</v>
      </c>
      <c r="T206" s="365">
        <v>1498</v>
      </c>
      <c r="U206" s="363">
        <v>16926</v>
      </c>
      <c r="V206" s="363">
        <v>11271</v>
      </c>
      <c r="W206" s="363">
        <v>28197</v>
      </c>
      <c r="X206" s="13"/>
      <c r="Y206" s="13"/>
    </row>
    <row r="207" spans="2:25" hidden="1" outlineLevel="1" x14ac:dyDescent="0.25">
      <c r="B207" s="362">
        <v>44531</v>
      </c>
      <c r="C207" s="365"/>
      <c r="D207" s="365"/>
      <c r="E207" s="365"/>
      <c r="F207" s="365"/>
      <c r="G207" s="365"/>
      <c r="H207" s="365"/>
      <c r="I207" s="365">
        <v>2755</v>
      </c>
      <c r="J207" s="365">
        <v>1028</v>
      </c>
      <c r="K207" s="365">
        <v>3783</v>
      </c>
      <c r="L207" s="365">
        <v>1737</v>
      </c>
      <c r="M207" s="365">
        <v>773</v>
      </c>
      <c r="N207" s="365">
        <v>2510</v>
      </c>
      <c r="O207" s="365">
        <v>10348</v>
      </c>
      <c r="P207" s="365">
        <v>8555</v>
      </c>
      <c r="Q207" s="365">
        <v>18903</v>
      </c>
      <c r="R207" s="365">
        <v>606</v>
      </c>
      <c r="S207" s="365">
        <v>846</v>
      </c>
      <c r="T207" s="365">
        <v>1452</v>
      </c>
      <c r="U207" s="363">
        <v>15446</v>
      </c>
      <c r="V207" s="363">
        <v>11202</v>
      </c>
      <c r="W207" s="363">
        <v>26648</v>
      </c>
      <c r="X207" s="13"/>
      <c r="Y207" s="13"/>
    </row>
    <row r="208" spans="2:25" collapsed="1" x14ac:dyDescent="0.25">
      <c r="B208" s="364" t="s">
        <v>712</v>
      </c>
      <c r="C208" s="363" t="s">
        <v>804</v>
      </c>
      <c r="D208" s="363" t="s">
        <v>804</v>
      </c>
      <c r="E208" s="363" t="s">
        <v>804</v>
      </c>
      <c r="F208" s="363" t="s">
        <v>804</v>
      </c>
      <c r="G208" s="363" t="s">
        <v>804</v>
      </c>
      <c r="H208" s="363" t="s">
        <v>804</v>
      </c>
      <c r="I208" s="363">
        <v>2573</v>
      </c>
      <c r="J208" s="363">
        <v>897</v>
      </c>
      <c r="K208" s="363">
        <v>3470</v>
      </c>
      <c r="L208" s="363">
        <v>1494</v>
      </c>
      <c r="M208" s="363">
        <v>753</v>
      </c>
      <c r="N208" s="363">
        <v>2247</v>
      </c>
      <c r="O208" s="363">
        <v>8997</v>
      </c>
      <c r="P208" s="363">
        <v>6928</v>
      </c>
      <c r="Q208" s="363">
        <v>15925</v>
      </c>
      <c r="R208" s="363">
        <v>716</v>
      </c>
      <c r="S208" s="363">
        <v>994</v>
      </c>
      <c r="T208" s="363">
        <v>1710</v>
      </c>
      <c r="U208" s="363">
        <v>13780</v>
      </c>
      <c r="V208" s="363">
        <v>9572</v>
      </c>
      <c r="W208" s="363">
        <v>23352</v>
      </c>
      <c r="X208" s="13"/>
      <c r="Y208" s="13"/>
    </row>
    <row r="209" spans="2:25" hidden="1" outlineLevel="1" x14ac:dyDescent="0.25">
      <c r="B209" s="362">
        <v>44562</v>
      </c>
      <c r="C209" s="365"/>
      <c r="D209" s="365"/>
      <c r="E209" s="365"/>
      <c r="F209" s="365"/>
      <c r="G209" s="365"/>
      <c r="H209" s="365"/>
      <c r="I209" s="365">
        <v>3514</v>
      </c>
      <c r="J209" s="365">
        <v>1243</v>
      </c>
      <c r="K209" s="365">
        <v>4757</v>
      </c>
      <c r="L209" s="365">
        <v>2262</v>
      </c>
      <c r="M209" s="365">
        <v>938</v>
      </c>
      <c r="N209" s="365">
        <v>3200</v>
      </c>
      <c r="O209" s="365">
        <v>11788</v>
      </c>
      <c r="P209" s="365">
        <v>10306</v>
      </c>
      <c r="Q209" s="365">
        <v>22094</v>
      </c>
      <c r="R209" s="365">
        <v>684</v>
      </c>
      <c r="S209" s="365">
        <v>879</v>
      </c>
      <c r="T209" s="365">
        <v>1563</v>
      </c>
      <c r="U209" s="363">
        <v>18248</v>
      </c>
      <c r="V209" s="363">
        <v>13366</v>
      </c>
      <c r="W209" s="363">
        <v>31614</v>
      </c>
      <c r="X209" s="13"/>
      <c r="Y209" s="13"/>
    </row>
    <row r="210" spans="2:25" hidden="1" outlineLevel="1" x14ac:dyDescent="0.25">
      <c r="B210" s="362">
        <v>44593</v>
      </c>
      <c r="C210" s="365">
        <v>7438</v>
      </c>
      <c r="D210" s="365">
        <v>2420</v>
      </c>
      <c r="E210" s="365">
        <v>9858</v>
      </c>
      <c r="F210" s="365">
        <v>68542</v>
      </c>
      <c r="G210" s="365">
        <v>70810</v>
      </c>
      <c r="H210" s="365">
        <v>139352</v>
      </c>
      <c r="I210" s="365"/>
      <c r="J210" s="365"/>
      <c r="K210" s="365"/>
      <c r="L210" s="365">
        <v>1999</v>
      </c>
      <c r="M210" s="365">
        <v>988</v>
      </c>
      <c r="N210" s="365">
        <v>2987</v>
      </c>
      <c r="O210" s="365"/>
      <c r="P210" s="365"/>
      <c r="Q210" s="365"/>
      <c r="R210" s="365">
        <v>1326</v>
      </c>
      <c r="S210" s="365">
        <v>2031</v>
      </c>
      <c r="T210" s="365">
        <v>3357</v>
      </c>
      <c r="U210" s="363">
        <v>79305</v>
      </c>
      <c r="V210" s="363">
        <v>76249</v>
      </c>
      <c r="W210" s="363">
        <v>155554</v>
      </c>
      <c r="X210" s="13"/>
      <c r="Y210" s="13"/>
    </row>
    <row r="211" spans="2:25" hidden="1" outlineLevel="1" x14ac:dyDescent="0.25">
      <c r="B211" s="362">
        <v>44621</v>
      </c>
      <c r="C211" s="365">
        <v>1494</v>
      </c>
      <c r="D211" s="365">
        <v>474</v>
      </c>
      <c r="E211" s="365">
        <v>1968</v>
      </c>
      <c r="F211" s="365">
        <v>26665</v>
      </c>
      <c r="G211" s="365">
        <v>29260</v>
      </c>
      <c r="H211" s="365">
        <v>55925</v>
      </c>
      <c r="I211" s="365"/>
      <c r="J211" s="365"/>
      <c r="K211" s="365"/>
      <c r="L211" s="365">
        <v>2330</v>
      </c>
      <c r="M211" s="365">
        <v>1083</v>
      </c>
      <c r="N211" s="365">
        <v>3413</v>
      </c>
      <c r="O211" s="365"/>
      <c r="P211" s="365"/>
      <c r="Q211" s="365"/>
      <c r="R211" s="365">
        <v>770</v>
      </c>
      <c r="S211" s="365">
        <v>1171</v>
      </c>
      <c r="T211" s="365">
        <v>1941</v>
      </c>
      <c r="U211" s="363">
        <v>31259</v>
      </c>
      <c r="V211" s="363">
        <v>31988</v>
      </c>
      <c r="W211" s="363">
        <v>63247</v>
      </c>
      <c r="X211" s="13"/>
      <c r="Y211" s="13"/>
    </row>
    <row r="212" spans="2:25" hidden="1" outlineLevel="1" x14ac:dyDescent="0.25">
      <c r="B212" s="362">
        <v>44652</v>
      </c>
      <c r="C212" s="365">
        <v>1842</v>
      </c>
      <c r="D212" s="365">
        <v>782</v>
      </c>
      <c r="E212" s="365">
        <v>2624</v>
      </c>
      <c r="F212" s="365">
        <v>15676</v>
      </c>
      <c r="G212" s="365">
        <v>18387</v>
      </c>
      <c r="H212" s="365">
        <v>34063</v>
      </c>
      <c r="I212" s="365"/>
      <c r="J212" s="365"/>
      <c r="K212" s="365"/>
      <c r="L212" s="365">
        <v>2147</v>
      </c>
      <c r="M212" s="365">
        <v>957</v>
      </c>
      <c r="N212" s="365">
        <v>3104</v>
      </c>
      <c r="O212" s="365"/>
      <c r="P212" s="365"/>
      <c r="Q212" s="365"/>
      <c r="R212" s="365">
        <v>567</v>
      </c>
      <c r="S212" s="365">
        <v>789</v>
      </c>
      <c r="T212" s="365">
        <v>1356</v>
      </c>
      <c r="U212" s="363">
        <v>20232</v>
      </c>
      <c r="V212" s="363">
        <v>20915</v>
      </c>
      <c r="W212" s="363">
        <v>41147</v>
      </c>
      <c r="X212" s="13"/>
      <c r="Y212" s="13"/>
    </row>
    <row r="213" spans="2:25" hidden="1" outlineLevel="1" x14ac:dyDescent="0.25">
      <c r="B213" s="362">
        <v>44682</v>
      </c>
      <c r="C213" s="365">
        <v>2725</v>
      </c>
      <c r="D213" s="365">
        <v>1350</v>
      </c>
      <c r="E213" s="365">
        <v>4075</v>
      </c>
      <c r="F213" s="365">
        <v>13930</v>
      </c>
      <c r="G213" s="365">
        <v>17308</v>
      </c>
      <c r="H213" s="365">
        <v>31238</v>
      </c>
      <c r="I213" s="365"/>
      <c r="J213" s="365"/>
      <c r="K213" s="365"/>
      <c r="L213" s="365">
        <v>2159</v>
      </c>
      <c r="M213" s="365">
        <v>904</v>
      </c>
      <c r="N213" s="365">
        <v>3063</v>
      </c>
      <c r="O213" s="365"/>
      <c r="P213" s="365"/>
      <c r="Q213" s="365"/>
      <c r="R213" s="365">
        <v>553</v>
      </c>
      <c r="S213" s="365">
        <v>849</v>
      </c>
      <c r="T213" s="365">
        <v>1402</v>
      </c>
      <c r="U213" s="363">
        <v>19367</v>
      </c>
      <c r="V213" s="363">
        <v>20411</v>
      </c>
      <c r="W213" s="363">
        <v>39778</v>
      </c>
      <c r="X213" s="13"/>
      <c r="Y213" s="13"/>
    </row>
    <row r="214" spans="2:25" hidden="1" outlineLevel="1" x14ac:dyDescent="0.25">
      <c r="B214" s="362">
        <v>44713</v>
      </c>
      <c r="C214" s="365">
        <v>2661</v>
      </c>
      <c r="D214" s="365">
        <v>1372</v>
      </c>
      <c r="E214" s="365">
        <v>4033</v>
      </c>
      <c r="F214" s="365">
        <v>14125</v>
      </c>
      <c r="G214" s="365">
        <v>17821</v>
      </c>
      <c r="H214" s="365">
        <v>31946</v>
      </c>
      <c r="I214" s="365"/>
      <c r="J214" s="365"/>
      <c r="K214" s="365"/>
      <c r="L214" s="365">
        <v>1866</v>
      </c>
      <c r="M214" s="365">
        <v>819</v>
      </c>
      <c r="N214" s="365">
        <v>2685</v>
      </c>
      <c r="O214" s="365"/>
      <c r="P214" s="365"/>
      <c r="Q214" s="365"/>
      <c r="R214" s="365">
        <v>532</v>
      </c>
      <c r="S214" s="365">
        <v>830</v>
      </c>
      <c r="T214" s="365">
        <v>1362</v>
      </c>
      <c r="U214" s="363">
        <v>19184</v>
      </c>
      <c r="V214" s="363">
        <v>20842</v>
      </c>
      <c r="W214" s="363">
        <v>40026</v>
      </c>
      <c r="X214" s="13"/>
      <c r="Y214" s="13"/>
    </row>
    <row r="215" spans="2:25" hidden="1" outlineLevel="1" x14ac:dyDescent="0.25">
      <c r="B215" s="362">
        <v>44743</v>
      </c>
      <c r="C215" s="365">
        <v>2859</v>
      </c>
      <c r="D215" s="365">
        <v>1490</v>
      </c>
      <c r="E215" s="365">
        <v>4349</v>
      </c>
      <c r="F215" s="365">
        <v>15930</v>
      </c>
      <c r="G215" s="365">
        <v>19256</v>
      </c>
      <c r="H215" s="365">
        <v>35186</v>
      </c>
      <c r="I215" s="365"/>
      <c r="J215" s="365"/>
      <c r="K215" s="365"/>
      <c r="L215" s="365">
        <v>2177</v>
      </c>
      <c r="M215" s="365">
        <v>922</v>
      </c>
      <c r="N215" s="365">
        <v>3099</v>
      </c>
      <c r="O215" s="365"/>
      <c r="P215" s="365"/>
      <c r="Q215" s="365"/>
      <c r="R215" s="365">
        <v>601</v>
      </c>
      <c r="S215" s="365">
        <v>961</v>
      </c>
      <c r="T215" s="365">
        <v>1562</v>
      </c>
      <c r="U215" s="363">
        <v>21567</v>
      </c>
      <c r="V215" s="363">
        <v>22629</v>
      </c>
      <c r="W215" s="363">
        <v>44196</v>
      </c>
      <c r="X215" s="13"/>
      <c r="Y215" s="13"/>
    </row>
    <row r="216" spans="2:25" hidden="1" outlineLevel="1" x14ac:dyDescent="0.25">
      <c r="B216" s="362">
        <v>44774</v>
      </c>
      <c r="C216" s="365">
        <v>3789</v>
      </c>
      <c r="D216" s="365">
        <v>1758</v>
      </c>
      <c r="E216" s="365">
        <v>5547</v>
      </c>
      <c r="F216" s="365">
        <v>23065</v>
      </c>
      <c r="G216" s="365">
        <v>29040</v>
      </c>
      <c r="H216" s="365">
        <v>52105</v>
      </c>
      <c r="I216" s="365"/>
      <c r="J216" s="365"/>
      <c r="K216" s="365"/>
      <c r="L216" s="365">
        <v>2605</v>
      </c>
      <c r="M216" s="365">
        <v>1009</v>
      </c>
      <c r="N216" s="365">
        <v>3614</v>
      </c>
      <c r="O216" s="365"/>
      <c r="P216" s="365"/>
      <c r="Q216" s="365"/>
      <c r="R216" s="365">
        <v>790</v>
      </c>
      <c r="S216" s="365">
        <v>1214</v>
      </c>
      <c r="T216" s="365">
        <v>2004</v>
      </c>
      <c r="U216" s="363">
        <v>30249</v>
      </c>
      <c r="V216" s="363">
        <v>33021</v>
      </c>
      <c r="W216" s="363">
        <v>63270</v>
      </c>
      <c r="X216" s="13"/>
      <c r="Y216" s="13"/>
    </row>
    <row r="217" spans="2:25" hidden="1" outlineLevel="1" x14ac:dyDescent="0.25">
      <c r="B217" s="362">
        <v>44805</v>
      </c>
      <c r="C217" s="365">
        <v>2957</v>
      </c>
      <c r="D217" s="365">
        <v>1424</v>
      </c>
      <c r="E217" s="365">
        <v>4381</v>
      </c>
      <c r="F217" s="365">
        <v>14494</v>
      </c>
      <c r="G217" s="365">
        <v>15438</v>
      </c>
      <c r="H217" s="365">
        <v>29932</v>
      </c>
      <c r="I217" s="365"/>
      <c r="J217" s="365"/>
      <c r="K217" s="365"/>
      <c r="L217" s="365">
        <v>1902</v>
      </c>
      <c r="M217" s="365">
        <v>786</v>
      </c>
      <c r="N217" s="365">
        <v>2688</v>
      </c>
      <c r="O217" s="365"/>
      <c r="P217" s="365"/>
      <c r="Q217" s="365"/>
      <c r="R217" s="365">
        <v>508</v>
      </c>
      <c r="S217" s="365">
        <v>797</v>
      </c>
      <c r="T217" s="365">
        <v>1305</v>
      </c>
      <c r="U217" s="363">
        <v>19861</v>
      </c>
      <c r="V217" s="363">
        <v>18445</v>
      </c>
      <c r="W217" s="363">
        <v>38306</v>
      </c>
      <c r="X217" s="13"/>
      <c r="Y217" s="13"/>
    </row>
    <row r="218" spans="2:25" hidden="1" outlineLevel="1" x14ac:dyDescent="0.25">
      <c r="B218" s="362">
        <v>44835</v>
      </c>
      <c r="C218" s="365">
        <v>3505</v>
      </c>
      <c r="D218" s="365">
        <v>1554</v>
      </c>
      <c r="E218" s="365">
        <v>5059</v>
      </c>
      <c r="F218" s="365">
        <v>20520</v>
      </c>
      <c r="G218" s="365">
        <v>20023</v>
      </c>
      <c r="H218" s="365">
        <v>40543</v>
      </c>
      <c r="I218" s="365"/>
      <c r="J218" s="365"/>
      <c r="K218" s="365"/>
      <c r="L218" s="365">
        <v>1972</v>
      </c>
      <c r="M218" s="365">
        <v>769</v>
      </c>
      <c r="N218" s="365">
        <v>2741</v>
      </c>
      <c r="O218" s="365"/>
      <c r="P218" s="365"/>
      <c r="Q218" s="365"/>
      <c r="R218" s="365">
        <v>500</v>
      </c>
      <c r="S218" s="365">
        <v>749</v>
      </c>
      <c r="T218" s="365">
        <v>1249</v>
      </c>
      <c r="U218" s="363">
        <v>26497</v>
      </c>
      <c r="V218" s="363">
        <v>23095</v>
      </c>
      <c r="W218" s="363">
        <v>49592</v>
      </c>
      <c r="X218" s="13"/>
      <c r="Y218" s="13"/>
    </row>
    <row r="219" spans="2:25" hidden="1" outlineLevel="1" x14ac:dyDescent="0.25">
      <c r="B219" s="362">
        <v>44866</v>
      </c>
      <c r="C219" s="365">
        <v>3782</v>
      </c>
      <c r="D219" s="365">
        <v>1380</v>
      </c>
      <c r="E219" s="365">
        <v>5162</v>
      </c>
      <c r="F219" s="365">
        <v>18900</v>
      </c>
      <c r="G219" s="365">
        <v>19495</v>
      </c>
      <c r="H219" s="365">
        <v>38395</v>
      </c>
      <c r="I219" s="365"/>
      <c r="J219" s="365"/>
      <c r="K219" s="365"/>
      <c r="L219" s="365">
        <v>2214</v>
      </c>
      <c r="M219" s="365">
        <v>882</v>
      </c>
      <c r="N219" s="365">
        <v>3096</v>
      </c>
      <c r="O219" s="365"/>
      <c r="P219" s="365"/>
      <c r="Q219" s="365"/>
      <c r="R219" s="365">
        <v>515</v>
      </c>
      <c r="S219" s="365">
        <v>844</v>
      </c>
      <c r="T219" s="365">
        <v>1359</v>
      </c>
      <c r="U219" s="363">
        <v>25411</v>
      </c>
      <c r="V219" s="363">
        <v>22601</v>
      </c>
      <c r="W219" s="363">
        <v>48012</v>
      </c>
      <c r="X219" s="13"/>
      <c r="Y219" s="13"/>
    </row>
    <row r="220" spans="2:25" hidden="1" outlineLevel="1" x14ac:dyDescent="0.25">
      <c r="B220" s="362">
        <v>44896</v>
      </c>
      <c r="C220" s="365">
        <v>3292</v>
      </c>
      <c r="D220" s="365">
        <v>839</v>
      </c>
      <c r="E220" s="365">
        <v>4131</v>
      </c>
      <c r="F220" s="365">
        <v>14886</v>
      </c>
      <c r="G220" s="365">
        <v>16239</v>
      </c>
      <c r="H220" s="365">
        <v>31125</v>
      </c>
      <c r="I220" s="365"/>
      <c r="J220" s="365"/>
      <c r="K220" s="365"/>
      <c r="L220" s="365">
        <v>1685</v>
      </c>
      <c r="M220" s="365">
        <v>754</v>
      </c>
      <c r="N220" s="365">
        <v>2439</v>
      </c>
      <c r="O220" s="365"/>
      <c r="P220" s="365"/>
      <c r="Q220" s="365"/>
      <c r="R220" s="365">
        <v>496</v>
      </c>
      <c r="S220" s="365">
        <v>753</v>
      </c>
      <c r="T220" s="365">
        <v>1249</v>
      </c>
      <c r="U220" s="363">
        <v>20359</v>
      </c>
      <c r="V220" s="363">
        <v>18585</v>
      </c>
      <c r="W220" s="363">
        <v>38944</v>
      </c>
      <c r="X220" s="13"/>
      <c r="Y220" s="13"/>
    </row>
    <row r="221" spans="2:25" collapsed="1" x14ac:dyDescent="0.25">
      <c r="B221" s="364" t="s">
        <v>713</v>
      </c>
      <c r="C221" s="363">
        <v>3304</v>
      </c>
      <c r="D221" s="363">
        <v>1349</v>
      </c>
      <c r="E221" s="363">
        <v>4653</v>
      </c>
      <c r="F221" s="363">
        <v>22430</v>
      </c>
      <c r="G221" s="363">
        <v>24825</v>
      </c>
      <c r="H221" s="363">
        <v>47255</v>
      </c>
      <c r="I221" s="363">
        <v>3514</v>
      </c>
      <c r="J221" s="363">
        <v>1243</v>
      </c>
      <c r="K221" s="363">
        <v>4757</v>
      </c>
      <c r="L221" s="363">
        <v>2110</v>
      </c>
      <c r="M221" s="363">
        <v>901</v>
      </c>
      <c r="N221" s="363">
        <v>3011</v>
      </c>
      <c r="O221" s="363">
        <v>11788</v>
      </c>
      <c r="P221" s="363">
        <v>10306</v>
      </c>
      <c r="Q221" s="363">
        <v>22094</v>
      </c>
      <c r="R221" s="363">
        <v>654</v>
      </c>
      <c r="S221" s="363">
        <v>989</v>
      </c>
      <c r="T221" s="363">
        <v>1642</v>
      </c>
      <c r="U221" s="363">
        <v>27628</v>
      </c>
      <c r="V221" s="363">
        <v>26846</v>
      </c>
      <c r="W221" s="363">
        <v>54474</v>
      </c>
      <c r="X221" s="13"/>
      <c r="Y221" s="13"/>
    </row>
    <row r="222" spans="2:25" outlineLevel="1" x14ac:dyDescent="0.25">
      <c r="B222" s="362">
        <v>44927</v>
      </c>
      <c r="C222" s="365">
        <v>1435</v>
      </c>
      <c r="D222" s="365">
        <v>527</v>
      </c>
      <c r="E222" s="365">
        <v>1962</v>
      </c>
      <c r="F222" s="365">
        <v>14938</v>
      </c>
      <c r="G222" s="365">
        <v>14906</v>
      </c>
      <c r="H222" s="365">
        <v>29844</v>
      </c>
      <c r="I222" s="365"/>
      <c r="J222" s="365"/>
      <c r="K222" s="365"/>
      <c r="L222" s="365">
        <v>2042</v>
      </c>
      <c r="M222" s="365">
        <v>872</v>
      </c>
      <c r="N222" s="365">
        <v>2914</v>
      </c>
      <c r="O222" s="365"/>
      <c r="P222" s="365"/>
      <c r="Q222" s="365"/>
      <c r="R222" s="365">
        <v>522</v>
      </c>
      <c r="S222" s="365">
        <v>837</v>
      </c>
      <c r="T222" s="365">
        <v>1359</v>
      </c>
      <c r="U222" s="363">
        <v>18937</v>
      </c>
      <c r="V222" s="363">
        <v>17142</v>
      </c>
      <c r="W222" s="363">
        <v>36079</v>
      </c>
      <c r="X222" s="13"/>
      <c r="Y222" s="13"/>
    </row>
    <row r="223" spans="2:25" outlineLevel="1" x14ac:dyDescent="0.25">
      <c r="B223" s="362">
        <v>44958</v>
      </c>
      <c r="C223" s="365">
        <v>1007</v>
      </c>
      <c r="D223" s="365">
        <v>363</v>
      </c>
      <c r="E223" s="365">
        <v>1370</v>
      </c>
      <c r="F223" s="365">
        <v>11736</v>
      </c>
      <c r="G223" s="365">
        <v>11309</v>
      </c>
      <c r="H223" s="365">
        <v>23045</v>
      </c>
      <c r="I223" s="365"/>
      <c r="J223" s="365"/>
      <c r="K223" s="365"/>
      <c r="L223" s="365">
        <v>1739</v>
      </c>
      <c r="M223" s="365">
        <v>739</v>
      </c>
      <c r="N223" s="365">
        <v>2478</v>
      </c>
      <c r="O223" s="365"/>
      <c r="P223" s="365"/>
      <c r="Q223" s="365"/>
      <c r="R223" s="365">
        <v>536</v>
      </c>
      <c r="S223" s="365">
        <v>737</v>
      </c>
      <c r="T223" s="365">
        <v>1273</v>
      </c>
      <c r="U223" s="363">
        <v>15018</v>
      </c>
      <c r="V223" s="363">
        <v>13148</v>
      </c>
      <c r="W223" s="363">
        <v>28166</v>
      </c>
      <c r="X223" s="13"/>
      <c r="Y223" s="13"/>
    </row>
    <row r="224" spans="2:25" outlineLevel="1" x14ac:dyDescent="0.25">
      <c r="B224" s="362">
        <v>44986</v>
      </c>
      <c r="C224" s="365">
        <v>1258</v>
      </c>
      <c r="D224" s="365">
        <v>493</v>
      </c>
      <c r="E224" s="365">
        <v>1751</v>
      </c>
      <c r="F224" s="365">
        <v>11487</v>
      </c>
      <c r="G224" s="365">
        <v>11087</v>
      </c>
      <c r="H224" s="365">
        <v>22574</v>
      </c>
      <c r="I224" s="365"/>
      <c r="J224" s="365"/>
      <c r="K224" s="365"/>
      <c r="L224" s="365">
        <v>2414</v>
      </c>
      <c r="M224" s="365">
        <v>919</v>
      </c>
      <c r="N224" s="365">
        <v>3333</v>
      </c>
      <c r="O224" s="365"/>
      <c r="P224" s="365"/>
      <c r="Q224" s="365"/>
      <c r="R224" s="365">
        <v>627</v>
      </c>
      <c r="S224" s="365">
        <v>777</v>
      </c>
      <c r="T224" s="365">
        <v>1404</v>
      </c>
      <c r="U224" s="363">
        <v>15786</v>
      </c>
      <c r="V224" s="363">
        <v>13276</v>
      </c>
      <c r="W224" s="363">
        <v>29062</v>
      </c>
      <c r="X224" s="13"/>
      <c r="Y224" s="13"/>
    </row>
    <row r="225" spans="2:25" outlineLevel="1" x14ac:dyDescent="0.25">
      <c r="B225" s="362">
        <v>45017</v>
      </c>
      <c r="C225" s="365">
        <v>849</v>
      </c>
      <c r="D225" s="365">
        <v>349</v>
      </c>
      <c r="E225" s="365">
        <v>1198</v>
      </c>
      <c r="F225" s="365">
        <v>10724</v>
      </c>
      <c r="G225" s="365">
        <v>10379</v>
      </c>
      <c r="H225" s="365">
        <v>21103</v>
      </c>
      <c r="I225" s="365"/>
      <c r="J225" s="365"/>
      <c r="K225" s="365"/>
      <c r="L225" s="365">
        <v>1878</v>
      </c>
      <c r="M225" s="365">
        <v>754</v>
      </c>
      <c r="N225" s="365">
        <v>2632</v>
      </c>
      <c r="O225" s="365"/>
      <c r="P225" s="365"/>
      <c r="Q225" s="365"/>
      <c r="R225" s="365">
        <v>465</v>
      </c>
      <c r="S225" s="365">
        <v>674</v>
      </c>
      <c r="T225" s="365">
        <v>1139</v>
      </c>
      <c r="U225" s="363">
        <v>13916</v>
      </c>
      <c r="V225" s="363">
        <v>12156</v>
      </c>
      <c r="W225" s="363">
        <v>26072</v>
      </c>
      <c r="X225" s="13"/>
      <c r="Y225" s="13"/>
    </row>
    <row r="226" spans="2:25" outlineLevel="1" x14ac:dyDescent="0.25">
      <c r="B226" s="362">
        <v>45047</v>
      </c>
      <c r="C226" s="365">
        <v>994</v>
      </c>
      <c r="D226" s="365">
        <v>448</v>
      </c>
      <c r="E226" s="365">
        <v>1442</v>
      </c>
      <c r="F226" s="365">
        <v>10443</v>
      </c>
      <c r="G226" s="365">
        <v>10349</v>
      </c>
      <c r="H226" s="365">
        <v>20792</v>
      </c>
      <c r="I226" s="365"/>
      <c r="J226" s="365"/>
      <c r="K226" s="365"/>
      <c r="L226" s="365">
        <v>1978</v>
      </c>
      <c r="M226" s="365">
        <v>868</v>
      </c>
      <c r="N226" s="365">
        <v>2846</v>
      </c>
      <c r="O226" s="365"/>
      <c r="P226" s="365"/>
      <c r="Q226" s="365"/>
      <c r="R226" s="365">
        <v>535</v>
      </c>
      <c r="S226" s="365">
        <v>799</v>
      </c>
      <c r="T226" s="365">
        <v>1334</v>
      </c>
      <c r="U226" s="363">
        <v>13950</v>
      </c>
      <c r="V226" s="363">
        <v>12464</v>
      </c>
      <c r="W226" s="363">
        <v>26414</v>
      </c>
      <c r="X226" s="13"/>
      <c r="Y226" s="13"/>
    </row>
    <row r="227" spans="2:25" outlineLevel="1" x14ac:dyDescent="0.25">
      <c r="B227" s="362">
        <v>45078</v>
      </c>
      <c r="C227" s="365">
        <v>880</v>
      </c>
      <c r="D227" s="365">
        <v>361</v>
      </c>
      <c r="E227" s="365">
        <v>1241</v>
      </c>
      <c r="F227" s="365">
        <v>9650</v>
      </c>
      <c r="G227" s="365">
        <v>8812</v>
      </c>
      <c r="H227" s="365">
        <v>18462</v>
      </c>
      <c r="I227" s="365"/>
      <c r="J227" s="365"/>
      <c r="K227" s="365"/>
      <c r="L227" s="365">
        <v>1701</v>
      </c>
      <c r="M227" s="365">
        <v>781</v>
      </c>
      <c r="N227" s="365">
        <v>2482</v>
      </c>
      <c r="O227" s="365"/>
      <c r="P227" s="365"/>
      <c r="Q227" s="365"/>
      <c r="R227" s="365">
        <v>494</v>
      </c>
      <c r="S227" s="365">
        <v>686</v>
      </c>
      <c r="T227" s="365">
        <v>1180</v>
      </c>
      <c r="U227" s="363">
        <v>12725</v>
      </c>
      <c r="V227" s="363">
        <v>10640</v>
      </c>
      <c r="W227" s="363">
        <v>23365</v>
      </c>
      <c r="X227" s="13"/>
      <c r="Y227" s="13"/>
    </row>
    <row r="228" spans="2:25" outlineLevel="1" x14ac:dyDescent="0.25">
      <c r="B228" s="362">
        <v>45108</v>
      </c>
      <c r="C228" s="365">
        <v>1075</v>
      </c>
      <c r="D228" s="365">
        <v>496</v>
      </c>
      <c r="E228" s="365">
        <v>1571</v>
      </c>
      <c r="F228" s="365">
        <v>11403</v>
      </c>
      <c r="G228" s="365">
        <v>10186</v>
      </c>
      <c r="H228" s="365">
        <v>21589</v>
      </c>
      <c r="I228" s="365"/>
      <c r="J228" s="365"/>
      <c r="K228" s="365"/>
      <c r="L228" s="365">
        <v>1913</v>
      </c>
      <c r="M228" s="365">
        <v>859</v>
      </c>
      <c r="N228" s="365">
        <v>2772</v>
      </c>
      <c r="O228" s="365"/>
      <c r="P228" s="365"/>
      <c r="Q228" s="365"/>
      <c r="R228" s="365">
        <v>472</v>
      </c>
      <c r="S228" s="365">
        <v>744</v>
      </c>
      <c r="T228" s="365">
        <v>1216</v>
      </c>
      <c r="U228" s="363">
        <v>14863</v>
      </c>
      <c r="V228" s="363">
        <v>12285</v>
      </c>
      <c r="W228" s="363">
        <v>27148</v>
      </c>
      <c r="X228" s="13"/>
      <c r="Y228" s="13"/>
    </row>
    <row r="229" spans="2:25" outlineLevel="1" x14ac:dyDescent="0.25">
      <c r="B229" s="362">
        <v>45139</v>
      </c>
      <c r="C229" s="365">
        <v>871</v>
      </c>
      <c r="D229" s="365">
        <v>326</v>
      </c>
      <c r="E229" s="365">
        <v>1197</v>
      </c>
      <c r="F229" s="365">
        <v>10965</v>
      </c>
      <c r="G229" s="365">
        <v>9875</v>
      </c>
      <c r="H229" s="365">
        <v>20840</v>
      </c>
      <c r="I229" s="365"/>
      <c r="J229" s="365"/>
      <c r="K229" s="365"/>
      <c r="L229" s="365">
        <v>1958</v>
      </c>
      <c r="M229" s="365">
        <v>810</v>
      </c>
      <c r="N229" s="365">
        <v>2768</v>
      </c>
      <c r="O229" s="365"/>
      <c r="P229" s="365"/>
      <c r="Q229" s="365"/>
      <c r="R229" s="365">
        <v>504</v>
      </c>
      <c r="S229" s="365">
        <v>807</v>
      </c>
      <c r="T229" s="365">
        <v>1311</v>
      </c>
      <c r="U229" s="363">
        <v>14298</v>
      </c>
      <c r="V229" s="363">
        <v>11818</v>
      </c>
      <c r="W229" s="363">
        <v>26116</v>
      </c>
      <c r="X229" s="13"/>
      <c r="Y229" s="13"/>
    </row>
    <row r="230" spans="2:25" outlineLevel="1" x14ac:dyDescent="0.25">
      <c r="B230" s="362">
        <v>45170</v>
      </c>
      <c r="C230" s="365">
        <v>3281</v>
      </c>
      <c r="D230" s="365">
        <v>3509</v>
      </c>
      <c r="E230" s="365">
        <v>6790</v>
      </c>
      <c r="F230" s="365">
        <v>8791</v>
      </c>
      <c r="G230" s="365">
        <v>6054</v>
      </c>
      <c r="H230" s="365">
        <v>14845</v>
      </c>
      <c r="I230" s="365"/>
      <c r="J230" s="365"/>
      <c r="K230" s="365"/>
      <c r="L230" s="365">
        <v>1514</v>
      </c>
      <c r="M230" s="365">
        <v>661</v>
      </c>
      <c r="N230" s="365">
        <v>2175</v>
      </c>
      <c r="O230" s="365"/>
      <c r="P230" s="365"/>
      <c r="Q230" s="365"/>
      <c r="R230" s="365">
        <v>503</v>
      </c>
      <c r="S230" s="365">
        <v>741</v>
      </c>
      <c r="T230" s="365">
        <v>1244</v>
      </c>
      <c r="U230" s="363">
        <v>14089</v>
      </c>
      <c r="V230" s="363">
        <v>10965</v>
      </c>
      <c r="W230" s="363">
        <v>25054</v>
      </c>
      <c r="X230" s="13"/>
      <c r="Y230" s="13"/>
    </row>
    <row r="231" spans="2:25" ht="30" x14ac:dyDescent="0.25">
      <c r="B231" s="364" t="s">
        <v>864</v>
      </c>
      <c r="C231" s="363">
        <v>1294</v>
      </c>
      <c r="D231" s="363">
        <v>764</v>
      </c>
      <c r="E231" s="363">
        <v>2058</v>
      </c>
      <c r="F231" s="363">
        <v>11126</v>
      </c>
      <c r="G231" s="363">
        <v>10329</v>
      </c>
      <c r="H231" s="363">
        <v>21455</v>
      </c>
      <c r="I231" s="363" t="s">
        <v>804</v>
      </c>
      <c r="J231" s="363" t="s">
        <v>804</v>
      </c>
      <c r="K231" s="363" t="s">
        <v>804</v>
      </c>
      <c r="L231" s="363">
        <v>1904</v>
      </c>
      <c r="M231" s="363">
        <v>807</v>
      </c>
      <c r="N231" s="363">
        <v>2711</v>
      </c>
      <c r="O231" s="363" t="s">
        <v>804</v>
      </c>
      <c r="P231" s="363" t="s">
        <v>804</v>
      </c>
      <c r="Q231" s="363" t="s">
        <v>804</v>
      </c>
      <c r="R231" s="363">
        <v>518</v>
      </c>
      <c r="S231" s="363">
        <v>756</v>
      </c>
      <c r="T231" s="363">
        <v>1273</v>
      </c>
      <c r="U231" s="363">
        <v>14842</v>
      </c>
      <c r="V231" s="363">
        <v>12655</v>
      </c>
      <c r="W231" s="363">
        <v>27497</v>
      </c>
      <c r="X231" s="13"/>
      <c r="Y231" s="13"/>
    </row>
    <row r="232" spans="2:25" x14ac:dyDescent="0.25">
      <c r="B232" s="364" t="s">
        <v>491</v>
      </c>
      <c r="C232" s="363">
        <v>47994</v>
      </c>
      <c r="D232" s="363">
        <v>21715</v>
      </c>
      <c r="E232" s="363">
        <v>69709</v>
      </c>
      <c r="F232" s="363">
        <v>346870</v>
      </c>
      <c r="G232" s="363">
        <v>366034</v>
      </c>
      <c r="H232" s="363">
        <v>712904</v>
      </c>
      <c r="I232" s="363">
        <v>429114</v>
      </c>
      <c r="J232" s="363">
        <v>131263</v>
      </c>
      <c r="K232" s="363">
        <v>560377</v>
      </c>
      <c r="L232" s="363">
        <v>260351</v>
      </c>
      <c r="M232" s="363">
        <v>103660</v>
      </c>
      <c r="N232" s="363">
        <v>364011</v>
      </c>
      <c r="O232" s="363">
        <v>1010533</v>
      </c>
      <c r="P232" s="363">
        <v>786550</v>
      </c>
      <c r="Q232" s="363">
        <v>1797083</v>
      </c>
      <c r="R232" s="363">
        <v>71027</v>
      </c>
      <c r="S232" s="363">
        <v>70641</v>
      </c>
      <c r="T232" s="363">
        <v>141668</v>
      </c>
      <c r="U232" s="363">
        <v>2165889</v>
      </c>
      <c r="V232" s="363">
        <v>1479863</v>
      </c>
      <c r="W232" s="363">
        <v>3645752</v>
      </c>
      <c r="X232" s="13"/>
      <c r="Y232" s="13"/>
    </row>
    <row r="233" spans="2:25" ht="107.25" customHeight="1" x14ac:dyDescent="0.25">
      <c r="B233" s="428" t="s">
        <v>814</v>
      </c>
      <c r="C233" s="428"/>
      <c r="D233" s="428"/>
      <c r="E233" s="428"/>
      <c r="F233" s="428"/>
      <c r="G233" s="428"/>
      <c r="H233" s="428"/>
      <c r="I233" s="428"/>
      <c r="J233" s="428"/>
      <c r="K233" s="428"/>
      <c r="L233" s="428"/>
      <c r="M233" s="428"/>
      <c r="N233" s="428"/>
      <c r="O233" s="428"/>
      <c r="P233" s="428"/>
      <c r="Q233" s="428"/>
      <c r="R233" s="428"/>
      <c r="S233" s="428"/>
      <c r="T233" s="428"/>
      <c r="U233" s="428"/>
      <c r="V233" s="428"/>
      <c r="W233" s="428"/>
      <c r="X233" s="13"/>
      <c r="Y233" s="13"/>
    </row>
    <row r="234" spans="2:25" x14ac:dyDescent="0.25">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2:25" x14ac:dyDescent="0.25">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2:25" x14ac:dyDescent="0.25">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2:25" x14ac:dyDescent="0.25">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2:25" x14ac:dyDescent="0.25">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2:25" x14ac:dyDescent="0.25">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2:25" x14ac:dyDescent="0.25">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3:25" x14ac:dyDescent="0.25">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3:25" x14ac:dyDescent="0.25">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3:25" x14ac:dyDescent="0.25">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3:25" x14ac:dyDescent="0.25">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3:25" x14ac:dyDescent="0.25">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3:25" x14ac:dyDescent="0.25">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3:25" x14ac:dyDescent="0.25">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3:25" x14ac:dyDescent="0.25">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3:25" x14ac:dyDescent="0.25">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3:25" x14ac:dyDescent="0.25">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3:25" x14ac:dyDescent="0.25">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3:25" x14ac:dyDescent="0.25">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3:25" x14ac:dyDescent="0.25">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3:25" x14ac:dyDescent="0.25">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3:25" x14ac:dyDescent="0.25">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3:25" x14ac:dyDescent="0.25">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3:25" x14ac:dyDescent="0.25">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3:25" x14ac:dyDescent="0.25">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3:25" x14ac:dyDescent="0.25">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3: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3: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3: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3: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3: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3: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3: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3: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3: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3: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3: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3: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3: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2: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2: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2:25" x14ac:dyDescent="0.25">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2:25" x14ac:dyDescent="0.25">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2:25" x14ac:dyDescent="0.25">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80" spans="2:25" x14ac:dyDescent="0.25">
      <c r="B280" s="158"/>
      <c r="C280" s="190"/>
      <c r="D280" s="190"/>
      <c r="E280" s="190"/>
      <c r="F280" s="190"/>
      <c r="G280" s="190"/>
      <c r="H280" s="190"/>
      <c r="I280" s="13"/>
      <c r="J280" s="13"/>
      <c r="K280" s="13"/>
      <c r="L280" s="13"/>
      <c r="M280" s="13"/>
      <c r="N280" s="13"/>
      <c r="O280" s="13"/>
      <c r="P280" s="13"/>
      <c r="Q280" s="13"/>
      <c r="R280" s="13"/>
      <c r="S280" s="13"/>
      <c r="T280" s="13"/>
      <c r="U280" s="13"/>
      <c r="V280" s="13"/>
      <c r="W280" s="13"/>
      <c r="X280" s="13"/>
      <c r="Y280" s="13"/>
    </row>
  </sheetData>
  <mergeCells count="25">
    <mergeCell ref="B233:W233"/>
    <mergeCell ref="U30:W31"/>
    <mergeCell ref="B13:B15"/>
    <mergeCell ref="B10:B12"/>
    <mergeCell ref="B16:B18"/>
    <mergeCell ref="B19:B21"/>
    <mergeCell ref="B22:B24"/>
    <mergeCell ref="B25:O25"/>
    <mergeCell ref="C31:E31"/>
    <mergeCell ref="B30:B32"/>
    <mergeCell ref="F31:H31"/>
    <mergeCell ref="I31:K31"/>
    <mergeCell ref="L31:N31"/>
    <mergeCell ref="O31:Q31"/>
    <mergeCell ref="R31:T31"/>
    <mergeCell ref="C30:T30"/>
    <mergeCell ref="D7:O7"/>
    <mergeCell ref="B7:B9"/>
    <mergeCell ref="C7:C9"/>
    <mergeCell ref="L8:M8"/>
    <mergeCell ref="H8:I8"/>
    <mergeCell ref="D8:E8"/>
    <mergeCell ref="F8:G8"/>
    <mergeCell ref="N8:O8"/>
    <mergeCell ref="J8:K8"/>
  </mergeCells>
  <phoneticPr fontId="27" type="noConversion"/>
  <pageMargins left="0.7" right="0.7" top="0.75" bottom="0.75" header="0.3" footer="0.3"/>
  <pageSetup scale="8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 workbookViewId="1"/>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22</v>
      </c>
      <c r="C2"/>
      <c r="D2"/>
    </row>
    <row r="3" spans="2:35" ht="17.45" customHeight="1" x14ac:dyDescent="0.35">
      <c r="B3" s="204" t="s">
        <v>547</v>
      </c>
    </row>
    <row r="4" spans="2:35" ht="18.75" x14ac:dyDescent="0.3">
      <c r="B4" s="2" t="s">
        <v>23</v>
      </c>
      <c r="C4" s="2"/>
      <c r="D4" s="2"/>
      <c r="E4" s="2"/>
      <c r="F4" s="2"/>
      <c r="G4" s="2"/>
      <c r="H4" s="2"/>
      <c r="I4" s="8"/>
    </row>
    <row r="5" spans="2:35" x14ac:dyDescent="0.25">
      <c r="B5" s="15" t="s">
        <v>1</v>
      </c>
      <c r="C5" s="9"/>
      <c r="D5" s="9"/>
      <c r="E5" s="9"/>
      <c r="F5" s="9"/>
      <c r="G5" s="9"/>
      <c r="H5" s="9"/>
    </row>
    <row r="7" spans="2:35" ht="32.450000000000003" customHeight="1" x14ac:dyDescent="0.25">
      <c r="B7" s="437" t="s">
        <v>10</v>
      </c>
      <c r="C7" s="438" t="s">
        <v>24</v>
      </c>
      <c r="D7" s="439"/>
      <c r="E7" s="439"/>
      <c r="F7" s="439"/>
      <c r="G7" s="439"/>
      <c r="H7" s="439"/>
    </row>
    <row r="8" spans="2:35" ht="37.9" customHeight="1" x14ac:dyDescent="0.25">
      <c r="B8" s="437"/>
      <c r="C8" s="16" t="s">
        <v>25</v>
      </c>
      <c r="D8" s="16" t="s">
        <v>26</v>
      </c>
      <c r="E8" s="17" t="s">
        <v>13</v>
      </c>
      <c r="F8" s="16" t="s">
        <v>27</v>
      </c>
      <c r="G8" s="16" t="s">
        <v>14</v>
      </c>
      <c r="H8" s="18" t="s">
        <v>28</v>
      </c>
      <c r="K8" s="203" t="s">
        <v>546</v>
      </c>
    </row>
    <row r="9" spans="2:35" ht="15.75" customHeight="1" x14ac:dyDescent="0.3">
      <c r="B9" s="19" t="s">
        <v>29</v>
      </c>
      <c r="C9" s="20">
        <v>83903</v>
      </c>
      <c r="D9" s="20">
        <v>36885</v>
      </c>
      <c r="E9" s="20">
        <v>12630</v>
      </c>
      <c r="F9" s="20">
        <v>5944</v>
      </c>
      <c r="G9" s="20"/>
      <c r="H9" s="20">
        <f t="shared" ref="H9:H28" si="0">SUM(C9:F9)</f>
        <v>139362</v>
      </c>
      <c r="K9" s="21" t="s">
        <v>30</v>
      </c>
      <c r="L9" s="8"/>
      <c r="M9" s="8"/>
      <c r="N9" s="8"/>
      <c r="O9" s="8"/>
      <c r="P9" s="8"/>
      <c r="Q9" s="8"/>
      <c r="R9" s="8"/>
      <c r="S9" s="8"/>
      <c r="T9" s="8"/>
      <c r="AD9" s="21" t="s">
        <v>30</v>
      </c>
    </row>
    <row r="10" spans="2:35" ht="15.75" customHeight="1" x14ac:dyDescent="0.25">
      <c r="B10" s="19" t="s">
        <v>31</v>
      </c>
      <c r="C10" s="20">
        <v>59154</v>
      </c>
      <c r="D10" s="20">
        <v>35458</v>
      </c>
      <c r="E10" s="20">
        <v>298121</v>
      </c>
      <c r="F10" s="20">
        <v>11707</v>
      </c>
      <c r="G10" s="20"/>
      <c r="H10" s="20">
        <f t="shared" si="0"/>
        <v>404440</v>
      </c>
      <c r="K10" s="3" t="s">
        <v>1</v>
      </c>
      <c r="AD10" s="3" t="s">
        <v>509</v>
      </c>
    </row>
    <row r="11" spans="2:35" ht="15.75" customHeight="1" thickBot="1" x14ac:dyDescent="0.3">
      <c r="B11" s="19" t="s">
        <v>32</v>
      </c>
      <c r="C11" s="20">
        <v>40733</v>
      </c>
      <c r="D11" s="20">
        <v>24967</v>
      </c>
      <c r="E11" s="20">
        <v>168046</v>
      </c>
      <c r="F11" s="20">
        <v>11929</v>
      </c>
      <c r="G11" s="20"/>
      <c r="H11" s="20">
        <f t="shared" si="0"/>
        <v>245675</v>
      </c>
    </row>
    <row r="12" spans="2:35" ht="15.75" customHeight="1" thickBot="1" x14ac:dyDescent="0.3">
      <c r="B12" s="19" t="s">
        <v>33</v>
      </c>
      <c r="C12" s="20">
        <v>37414</v>
      </c>
      <c r="D12" s="20">
        <v>20938</v>
      </c>
      <c r="E12" s="20">
        <v>126071</v>
      </c>
      <c r="F12" s="20">
        <v>10368</v>
      </c>
      <c r="G12" s="20"/>
      <c r="H12" s="20">
        <f t="shared" si="0"/>
        <v>194791</v>
      </c>
      <c r="K12" s="22" t="s">
        <v>34</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28</v>
      </c>
      <c r="AD12" s="196" t="s">
        <v>34</v>
      </c>
      <c r="AE12" s="197">
        <v>44835</v>
      </c>
      <c r="AF12" s="197">
        <v>44866</v>
      </c>
      <c r="AG12" s="197">
        <v>44896</v>
      </c>
      <c r="AH12" s="196" t="s">
        <v>477</v>
      </c>
      <c r="AI12"/>
    </row>
    <row r="13" spans="2:35" ht="15.75" customHeight="1" x14ac:dyDescent="0.25">
      <c r="B13" s="19" t="s">
        <v>35</v>
      </c>
      <c r="C13" s="20">
        <v>34111</v>
      </c>
      <c r="D13" s="20">
        <v>19594</v>
      </c>
      <c r="E13" s="20">
        <v>130339</v>
      </c>
      <c r="F13" s="20">
        <v>8226</v>
      </c>
      <c r="G13" s="20"/>
      <c r="H13" s="20">
        <f t="shared" si="0"/>
        <v>192270</v>
      </c>
      <c r="K13" s="26" t="s">
        <v>36</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4" t="s">
        <v>36</v>
      </c>
      <c r="AE13" s="195">
        <v>19719</v>
      </c>
      <c r="AF13" s="195">
        <v>22796</v>
      </c>
      <c r="AG13" s="195">
        <v>17770</v>
      </c>
      <c r="AH13" s="195">
        <f>SUM(AE13:AG13)</f>
        <v>60285</v>
      </c>
      <c r="AI13"/>
    </row>
    <row r="14" spans="2:35" ht="15.75" customHeight="1" x14ac:dyDescent="0.25">
      <c r="B14" s="19" t="s">
        <v>37</v>
      </c>
      <c r="C14" s="20">
        <v>32718</v>
      </c>
      <c r="D14" s="20">
        <v>17032</v>
      </c>
      <c r="E14" s="20">
        <v>76989</v>
      </c>
      <c r="F14" s="20">
        <v>7295</v>
      </c>
      <c r="G14" s="20"/>
      <c r="H14" s="20">
        <f t="shared" si="0"/>
        <v>134034</v>
      </c>
      <c r="K14" s="31" t="s">
        <v>38</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4" t="s">
        <v>38</v>
      </c>
      <c r="AE14" s="195">
        <v>6527</v>
      </c>
      <c r="AF14" s="195">
        <v>6510</v>
      </c>
      <c r="AG14" s="195">
        <v>5625</v>
      </c>
      <c r="AH14" s="195">
        <f t="shared" ref="AH14:AH17" si="2">SUM(AE14:AG14)</f>
        <v>18662</v>
      </c>
      <c r="AI14"/>
    </row>
    <row r="15" spans="2:35" ht="15.75" customHeight="1" x14ac:dyDescent="0.25">
      <c r="B15" s="19" t="s">
        <v>39</v>
      </c>
      <c r="C15" s="20">
        <v>39392</v>
      </c>
      <c r="D15" s="20">
        <v>17573</v>
      </c>
      <c r="E15" s="20">
        <v>88545</v>
      </c>
      <c r="F15" s="20">
        <v>6054</v>
      </c>
      <c r="G15" s="20"/>
      <c r="H15" s="20">
        <f t="shared" si="0"/>
        <v>151564</v>
      </c>
      <c r="I15" s="36"/>
      <c r="K15" s="31" t="s">
        <v>40</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4" t="s">
        <v>40</v>
      </c>
      <c r="AE15" s="195">
        <v>623</v>
      </c>
      <c r="AF15" s="195">
        <v>681</v>
      </c>
      <c r="AG15" s="195">
        <v>385</v>
      </c>
      <c r="AH15" s="195">
        <f t="shared" si="2"/>
        <v>1689</v>
      </c>
      <c r="AI15"/>
    </row>
    <row r="16" spans="2:35" x14ac:dyDescent="0.25">
      <c r="B16" s="19" t="s">
        <v>41</v>
      </c>
      <c r="C16" s="20">
        <v>31042</v>
      </c>
      <c r="D16" s="20">
        <v>18557</v>
      </c>
      <c r="E16" s="20">
        <v>88878</v>
      </c>
      <c r="F16" s="20">
        <v>2501</v>
      </c>
      <c r="G16" s="20"/>
      <c r="H16" s="20">
        <f t="shared" si="0"/>
        <v>140978</v>
      </c>
      <c r="I16" s="36"/>
      <c r="K16" s="31" t="s">
        <v>42</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4" t="s">
        <v>42</v>
      </c>
      <c r="AE16" s="195">
        <v>2426</v>
      </c>
      <c r="AF16" s="195">
        <v>2788</v>
      </c>
      <c r="AG16" s="195">
        <v>2390</v>
      </c>
      <c r="AH16" s="195">
        <f t="shared" si="2"/>
        <v>7604</v>
      </c>
      <c r="AI16"/>
    </row>
    <row r="17" spans="2:35" x14ac:dyDescent="0.25">
      <c r="B17" s="37" t="s">
        <v>43</v>
      </c>
      <c r="C17" s="33">
        <v>2173</v>
      </c>
      <c r="D17" s="33">
        <v>1500</v>
      </c>
      <c r="E17" s="33">
        <v>6222</v>
      </c>
      <c r="F17" s="33">
        <v>224</v>
      </c>
      <c r="G17" s="33"/>
      <c r="H17" s="33">
        <f t="shared" si="0"/>
        <v>10119</v>
      </c>
      <c r="K17" s="31" t="s">
        <v>44</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4" t="s">
        <v>44</v>
      </c>
      <c r="AE17" s="195">
        <v>20297</v>
      </c>
      <c r="AF17" s="195">
        <v>15246</v>
      </c>
      <c r="AG17" s="195">
        <v>12744</v>
      </c>
      <c r="AH17" s="195">
        <f t="shared" si="2"/>
        <v>48287</v>
      </c>
      <c r="AI17"/>
    </row>
    <row r="18" spans="2:35" x14ac:dyDescent="0.25">
      <c r="B18" s="37" t="s">
        <v>45</v>
      </c>
      <c r="C18" s="33">
        <v>2224</v>
      </c>
      <c r="D18" s="33">
        <v>1403</v>
      </c>
      <c r="E18" s="33">
        <v>6802</v>
      </c>
      <c r="F18" s="33">
        <v>216</v>
      </c>
      <c r="G18" s="33"/>
      <c r="H18" s="33">
        <f t="shared" si="0"/>
        <v>10645</v>
      </c>
      <c r="K18" s="31" t="s">
        <v>46</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4" t="s">
        <v>46</v>
      </c>
      <c r="AE18" s="195"/>
      <c r="AF18" s="195"/>
      <c r="AG18" s="195"/>
      <c r="AH18" s="195"/>
      <c r="AI18"/>
    </row>
    <row r="19" spans="2:35" ht="15.75" thickBot="1" x14ac:dyDescent="0.3">
      <c r="B19" s="37" t="s">
        <v>47</v>
      </c>
      <c r="C19" s="33">
        <v>2350</v>
      </c>
      <c r="D19" s="33">
        <v>1601</v>
      </c>
      <c r="E19" s="33">
        <v>6925</v>
      </c>
      <c r="F19" s="33">
        <v>207</v>
      </c>
      <c r="G19" s="33"/>
      <c r="H19" s="33">
        <f t="shared" si="0"/>
        <v>11083</v>
      </c>
      <c r="K19" s="38" t="s">
        <v>28</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8" t="s">
        <v>28</v>
      </c>
      <c r="AE19" s="140">
        <f>SUM(AE13:AE18)</f>
        <v>49592</v>
      </c>
      <c r="AF19" s="140">
        <f t="shared" ref="AF19:AH19" si="4">SUM(AF13:AF18)</f>
        <v>48021</v>
      </c>
      <c r="AG19" s="140">
        <f t="shared" si="4"/>
        <v>38914</v>
      </c>
      <c r="AH19" s="140">
        <f t="shared" si="4"/>
        <v>136527</v>
      </c>
      <c r="AI19"/>
    </row>
    <row r="20" spans="2:35" x14ac:dyDescent="0.25">
      <c r="B20" s="37" t="s">
        <v>48</v>
      </c>
      <c r="C20" s="33">
        <v>3284</v>
      </c>
      <c r="D20" s="33">
        <v>1531</v>
      </c>
      <c r="E20" s="33">
        <v>7503</v>
      </c>
      <c r="F20" s="33">
        <v>205</v>
      </c>
      <c r="G20" s="33"/>
      <c r="H20" s="33">
        <f t="shared" si="0"/>
        <v>12523</v>
      </c>
      <c r="K20" s="5" t="s">
        <v>20</v>
      </c>
    </row>
    <row r="21" spans="2:35" x14ac:dyDescent="0.25">
      <c r="B21" s="37" t="s">
        <v>49</v>
      </c>
      <c r="C21" s="33">
        <v>2764</v>
      </c>
      <c r="D21" s="33">
        <v>1579</v>
      </c>
      <c r="E21" s="33">
        <v>9264</v>
      </c>
      <c r="F21" s="33">
        <v>224</v>
      </c>
      <c r="G21" s="33"/>
      <c r="H21" s="33">
        <f t="shared" si="0"/>
        <v>13831</v>
      </c>
    </row>
    <row r="22" spans="2:35" x14ac:dyDescent="0.25">
      <c r="B22" s="37" t="s">
        <v>50</v>
      </c>
      <c r="C22" s="33">
        <v>2478</v>
      </c>
      <c r="D22" s="33">
        <v>1445</v>
      </c>
      <c r="E22" s="33">
        <v>6920</v>
      </c>
      <c r="F22" s="33">
        <v>174</v>
      </c>
      <c r="G22" s="33"/>
      <c r="H22" s="33">
        <f t="shared" si="0"/>
        <v>11017</v>
      </c>
    </row>
    <row r="23" spans="2:35" ht="18.75" x14ac:dyDescent="0.3">
      <c r="B23" s="37" t="s">
        <v>51</v>
      </c>
      <c r="C23" s="33">
        <v>2663</v>
      </c>
      <c r="D23" s="33">
        <v>1514</v>
      </c>
      <c r="E23" s="33">
        <v>6996</v>
      </c>
      <c r="F23" s="33">
        <v>198</v>
      </c>
      <c r="G23" s="33"/>
      <c r="H23" s="33">
        <f t="shared" si="0"/>
        <v>11371</v>
      </c>
      <c r="K23" s="21" t="s">
        <v>52</v>
      </c>
      <c r="L23" s="8"/>
      <c r="M23" s="8"/>
      <c r="N23" s="8"/>
      <c r="O23" s="8"/>
      <c r="P23" s="8"/>
      <c r="Q23" s="8"/>
      <c r="R23" s="8"/>
      <c r="S23" s="8"/>
      <c r="T23" s="8"/>
    </row>
    <row r="24" spans="2:35" x14ac:dyDescent="0.25">
      <c r="B24" s="37" t="s">
        <v>53</v>
      </c>
      <c r="C24" s="33">
        <v>2949</v>
      </c>
      <c r="D24" s="33">
        <v>1850</v>
      </c>
      <c r="E24" s="33">
        <v>8983</v>
      </c>
      <c r="F24" s="33">
        <v>245</v>
      </c>
      <c r="G24" s="33"/>
      <c r="H24" s="33">
        <f t="shared" si="0"/>
        <v>14027</v>
      </c>
      <c r="K24" s="15" t="s">
        <v>9</v>
      </c>
    </row>
    <row r="25" spans="2:35" ht="15.75" thickBot="1" x14ac:dyDescent="0.3">
      <c r="B25" s="37" t="s">
        <v>54</v>
      </c>
      <c r="C25" s="33">
        <v>2715</v>
      </c>
      <c r="D25" s="33">
        <v>1614</v>
      </c>
      <c r="E25" s="33">
        <v>7860</v>
      </c>
      <c r="F25" s="33">
        <v>213</v>
      </c>
      <c r="G25" s="33"/>
      <c r="H25" s="33">
        <f t="shared" si="0"/>
        <v>12402</v>
      </c>
    </row>
    <row r="26" spans="2:35" ht="15.75" thickBot="1" x14ac:dyDescent="0.3">
      <c r="B26" s="37" t="s">
        <v>55</v>
      </c>
      <c r="C26" s="33">
        <v>2274</v>
      </c>
      <c r="D26" s="33">
        <v>1331</v>
      </c>
      <c r="E26" s="33">
        <v>6676</v>
      </c>
      <c r="F26" s="33">
        <v>215</v>
      </c>
      <c r="G26" s="33"/>
      <c r="H26" s="33">
        <f t="shared" si="0"/>
        <v>10496</v>
      </c>
      <c r="K26" s="22" t="s">
        <v>34</v>
      </c>
      <c r="L26" s="43" t="s">
        <v>45</v>
      </c>
      <c r="M26" s="44" t="s">
        <v>47</v>
      </c>
      <c r="N26" s="44" t="s">
        <v>48</v>
      </c>
      <c r="O26" s="44" t="s">
        <v>49</v>
      </c>
      <c r="P26" s="44" t="s">
        <v>50</v>
      </c>
      <c r="Q26" s="44" t="s">
        <v>51</v>
      </c>
      <c r="R26" s="44" t="s">
        <v>53</v>
      </c>
      <c r="S26" s="44" t="s">
        <v>54</v>
      </c>
      <c r="T26" s="44" t="s">
        <v>55</v>
      </c>
      <c r="U26" s="44" t="s">
        <v>56</v>
      </c>
      <c r="V26" s="45" t="s">
        <v>57</v>
      </c>
      <c r="W26" s="22" t="s">
        <v>28</v>
      </c>
    </row>
    <row r="27" spans="2:35" x14ac:dyDescent="0.25">
      <c r="B27" s="37" t="s">
        <v>56</v>
      </c>
      <c r="C27" s="33">
        <v>2376</v>
      </c>
      <c r="D27" s="33">
        <v>1259</v>
      </c>
      <c r="E27" s="33">
        <v>6679</v>
      </c>
      <c r="F27" s="33">
        <v>208</v>
      </c>
      <c r="G27" s="33"/>
      <c r="H27" s="33">
        <f t="shared" si="0"/>
        <v>10522</v>
      </c>
      <c r="K27" s="26" t="s">
        <v>36</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57</v>
      </c>
      <c r="C28" s="33">
        <v>2435</v>
      </c>
      <c r="D28" s="33">
        <v>1467</v>
      </c>
      <c r="E28" s="33">
        <v>6602</v>
      </c>
      <c r="F28" s="33">
        <v>248</v>
      </c>
      <c r="G28" s="33"/>
      <c r="H28" s="33">
        <f t="shared" si="0"/>
        <v>10752</v>
      </c>
      <c r="K28" s="31" t="s">
        <v>38</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58</v>
      </c>
      <c r="C29" s="20">
        <f t="shared" ref="C29:H29" si="6">SUM(C17:C28)</f>
        <v>30685</v>
      </c>
      <c r="D29" s="20">
        <f t="shared" si="6"/>
        <v>18094</v>
      </c>
      <c r="E29" s="20">
        <f t="shared" si="6"/>
        <v>87432</v>
      </c>
      <c r="F29" s="20">
        <f t="shared" si="6"/>
        <v>2577</v>
      </c>
      <c r="G29" s="20"/>
      <c r="H29" s="20">
        <f t="shared" si="6"/>
        <v>138788</v>
      </c>
      <c r="I29" s="36"/>
      <c r="K29" s="31" t="s">
        <v>40</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43</v>
      </c>
      <c r="C30" s="33">
        <v>3122</v>
      </c>
      <c r="D30" s="33">
        <v>1508</v>
      </c>
      <c r="E30" s="33">
        <v>7979</v>
      </c>
      <c r="F30" s="33">
        <v>269</v>
      </c>
      <c r="G30" s="33"/>
      <c r="H30" s="33">
        <f t="shared" ref="H30:H41" si="7">SUM(C30:F30)</f>
        <v>12878</v>
      </c>
      <c r="K30" s="31" t="s">
        <v>42</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45</v>
      </c>
      <c r="C31" s="33">
        <v>2377</v>
      </c>
      <c r="D31" s="33">
        <v>1375</v>
      </c>
      <c r="E31" s="33">
        <v>7282</v>
      </c>
      <c r="F31" s="33">
        <v>213</v>
      </c>
      <c r="G31" s="33"/>
      <c r="H31" s="33">
        <f t="shared" si="7"/>
        <v>11247</v>
      </c>
      <c r="K31" s="31" t="s">
        <v>46</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47</v>
      </c>
      <c r="C32" s="33">
        <v>2340</v>
      </c>
      <c r="D32" s="33">
        <v>1762</v>
      </c>
      <c r="E32" s="33">
        <v>8966</v>
      </c>
      <c r="F32" s="33">
        <v>224</v>
      </c>
      <c r="G32" s="33"/>
      <c r="H32" s="33">
        <f t="shared" si="7"/>
        <v>13292</v>
      </c>
      <c r="K32" s="48" t="s">
        <v>28</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48</v>
      </c>
      <c r="C33" s="33">
        <v>2319</v>
      </c>
      <c r="D33" s="33">
        <v>1421</v>
      </c>
      <c r="E33" s="33">
        <v>7022</v>
      </c>
      <c r="F33" s="33">
        <v>212</v>
      </c>
      <c r="G33" s="33"/>
      <c r="H33" s="33">
        <f t="shared" si="7"/>
        <v>10974</v>
      </c>
      <c r="K33" s="5" t="s">
        <v>20</v>
      </c>
    </row>
    <row r="34" spans="2:18" x14ac:dyDescent="0.25">
      <c r="B34" s="37" t="s">
        <v>49</v>
      </c>
      <c r="C34" s="33">
        <v>2725</v>
      </c>
      <c r="D34" s="33">
        <v>1582</v>
      </c>
      <c r="E34" s="33">
        <v>9937</v>
      </c>
      <c r="F34" s="33">
        <v>270</v>
      </c>
      <c r="G34" s="33"/>
      <c r="H34" s="33">
        <f t="shared" si="7"/>
        <v>14514</v>
      </c>
    </row>
    <row r="35" spans="2:18" x14ac:dyDescent="0.25">
      <c r="B35" s="37" t="s">
        <v>50</v>
      </c>
      <c r="C35" s="33">
        <v>2467</v>
      </c>
      <c r="D35" s="33">
        <v>1474</v>
      </c>
      <c r="E35" s="33">
        <v>7973</v>
      </c>
      <c r="F35" s="33">
        <v>218</v>
      </c>
      <c r="G35" s="33"/>
      <c r="H35" s="33">
        <f t="shared" si="7"/>
        <v>12132</v>
      </c>
    </row>
    <row r="36" spans="2:18" ht="18.75" x14ac:dyDescent="0.3">
      <c r="B36" s="37" t="s">
        <v>51</v>
      </c>
      <c r="C36" s="33">
        <v>2809</v>
      </c>
      <c r="D36" s="33">
        <v>1626</v>
      </c>
      <c r="E36" s="33">
        <v>9532</v>
      </c>
      <c r="F36" s="33">
        <v>294</v>
      </c>
      <c r="G36" s="33"/>
      <c r="H36" s="33">
        <f t="shared" si="7"/>
        <v>14261</v>
      </c>
      <c r="K36" s="2" t="s">
        <v>59</v>
      </c>
      <c r="L36" s="8"/>
      <c r="M36" s="8"/>
      <c r="N36" s="8"/>
      <c r="O36" s="8"/>
      <c r="P36" s="8"/>
      <c r="Q36" s="8"/>
      <c r="R36" s="8"/>
    </row>
    <row r="37" spans="2:18" x14ac:dyDescent="0.25">
      <c r="B37" s="37" t="s">
        <v>53</v>
      </c>
      <c r="C37" s="33">
        <v>2996</v>
      </c>
      <c r="D37" s="33">
        <v>1673</v>
      </c>
      <c r="E37" s="33">
        <v>9947</v>
      </c>
      <c r="F37" s="33">
        <v>305</v>
      </c>
      <c r="G37" s="33"/>
      <c r="H37" s="33">
        <f t="shared" si="7"/>
        <v>14921</v>
      </c>
      <c r="K37" s="15" t="s">
        <v>9</v>
      </c>
    </row>
    <row r="38" spans="2:18" ht="15.75" thickBot="1" x14ac:dyDescent="0.3">
      <c r="B38" s="37" t="s">
        <v>54</v>
      </c>
      <c r="C38" s="33">
        <v>2682</v>
      </c>
      <c r="D38" s="33">
        <v>1371</v>
      </c>
      <c r="E38" s="33">
        <v>8257</v>
      </c>
      <c r="F38" s="33">
        <v>259</v>
      </c>
      <c r="G38" s="33"/>
      <c r="H38" s="33">
        <f t="shared" si="7"/>
        <v>12569</v>
      </c>
    </row>
    <row r="39" spans="2:18" ht="15.75" thickBot="1" x14ac:dyDescent="0.3">
      <c r="B39" s="37" t="s">
        <v>55</v>
      </c>
      <c r="C39" s="33">
        <v>3034</v>
      </c>
      <c r="D39" s="33">
        <v>1585</v>
      </c>
      <c r="E39" s="33">
        <v>9685</v>
      </c>
      <c r="F39" s="33">
        <v>312</v>
      </c>
      <c r="G39" s="33"/>
      <c r="H39" s="33">
        <f t="shared" si="7"/>
        <v>14616</v>
      </c>
      <c r="K39" s="52" t="s">
        <v>60</v>
      </c>
      <c r="L39" s="53" t="s">
        <v>25</v>
      </c>
      <c r="M39" s="54" t="s">
        <v>26</v>
      </c>
      <c r="N39" s="54" t="s">
        <v>12</v>
      </c>
      <c r="O39" s="54" t="s">
        <v>27</v>
      </c>
      <c r="P39" s="54" t="s">
        <v>14</v>
      </c>
      <c r="Q39" s="55" t="s">
        <v>28</v>
      </c>
    </row>
    <row r="40" spans="2:18" x14ac:dyDescent="0.25">
      <c r="B40" s="37" t="s">
        <v>56</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57</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61</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43</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45</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47</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48</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49</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50</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51</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53</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54</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55</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56</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57</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62</v>
      </c>
      <c r="C55" s="20">
        <f>SUM(C43:C54)</f>
        <v>31567</v>
      </c>
      <c r="D55" s="20">
        <f t="shared" ref="D55:F55" si="12">SUM(D43:D54)</f>
        <v>16995</v>
      </c>
      <c r="E55" s="20">
        <f t="shared" si="12"/>
        <v>123567</v>
      </c>
      <c r="F55" s="20">
        <f t="shared" si="12"/>
        <v>6272</v>
      </c>
      <c r="G55" s="20"/>
      <c r="H55" s="20">
        <f>SUM(H43:H54)</f>
        <v>178401</v>
      </c>
      <c r="I55" s="36"/>
      <c r="J55" s="68"/>
      <c r="K55" s="69" t="s">
        <v>28</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43</v>
      </c>
      <c r="C56" s="46">
        <v>2750</v>
      </c>
      <c r="D56" s="33">
        <v>1462</v>
      </c>
      <c r="E56" s="33">
        <v>10200</v>
      </c>
      <c r="F56" s="33">
        <v>565</v>
      </c>
      <c r="G56" s="33"/>
      <c r="H56" s="33">
        <f t="shared" ref="H56:H80" si="14">SUM(C56:F56)</f>
        <v>14977</v>
      </c>
      <c r="K56" s="5" t="s">
        <v>20</v>
      </c>
    </row>
    <row r="57" spans="2:19" x14ac:dyDescent="0.25">
      <c r="B57" s="37" t="s">
        <v>45</v>
      </c>
      <c r="C57" s="46">
        <v>2188</v>
      </c>
      <c r="D57" s="33">
        <v>1293</v>
      </c>
      <c r="E57" s="33">
        <v>8591</v>
      </c>
      <c r="F57" s="33">
        <v>685</v>
      </c>
      <c r="G57" s="33"/>
      <c r="H57" s="33">
        <f t="shared" si="14"/>
        <v>12757</v>
      </c>
      <c r="K57" s="440" t="s">
        <v>21</v>
      </c>
      <c r="L57" s="440"/>
      <c r="M57" s="440"/>
      <c r="N57" s="440"/>
      <c r="O57" s="440"/>
      <c r="P57" s="440"/>
      <c r="Q57" s="440"/>
      <c r="R57" s="70"/>
      <c r="S57" s="70"/>
    </row>
    <row r="58" spans="2:19" x14ac:dyDescent="0.25">
      <c r="B58" s="37" t="s">
        <v>47</v>
      </c>
      <c r="C58" s="46">
        <v>2496</v>
      </c>
      <c r="D58" s="33">
        <v>1471</v>
      </c>
      <c r="E58" s="33">
        <v>9418</v>
      </c>
      <c r="F58" s="33">
        <v>638</v>
      </c>
      <c r="G58" s="33"/>
      <c r="H58" s="33">
        <f t="shared" si="14"/>
        <v>14023</v>
      </c>
      <c r="K58" s="440"/>
      <c r="L58" s="440"/>
      <c r="M58" s="440"/>
      <c r="N58" s="440"/>
      <c r="O58" s="440"/>
      <c r="P58" s="440"/>
      <c r="Q58" s="440"/>
      <c r="R58" s="70"/>
      <c r="S58" s="70"/>
    </row>
    <row r="59" spans="2:19" x14ac:dyDescent="0.25">
      <c r="B59" s="37" t="s">
        <v>48</v>
      </c>
      <c r="C59" s="46">
        <v>2388</v>
      </c>
      <c r="D59" s="33">
        <v>1544</v>
      </c>
      <c r="E59" s="33">
        <v>9186</v>
      </c>
      <c r="F59" s="33">
        <v>584</v>
      </c>
      <c r="G59" s="33"/>
      <c r="H59" s="33">
        <f t="shared" si="14"/>
        <v>13702</v>
      </c>
      <c r="K59" s="440"/>
      <c r="L59" s="440"/>
      <c r="M59" s="440"/>
      <c r="N59" s="440"/>
      <c r="O59" s="440"/>
      <c r="P59" s="440"/>
      <c r="Q59" s="440"/>
      <c r="R59" s="70"/>
      <c r="S59" s="70"/>
    </row>
    <row r="60" spans="2:19" x14ac:dyDescent="0.25">
      <c r="B60" s="37" t="s">
        <v>49</v>
      </c>
      <c r="C60" s="46">
        <v>2428</v>
      </c>
      <c r="D60" s="33">
        <v>1373</v>
      </c>
      <c r="E60" s="33">
        <v>9457</v>
      </c>
      <c r="F60" s="33">
        <v>483</v>
      </c>
      <c r="G60" s="33"/>
      <c r="H60" s="33">
        <f t="shared" si="14"/>
        <v>13741</v>
      </c>
      <c r="K60" s="440"/>
      <c r="L60" s="440"/>
      <c r="M60" s="440"/>
      <c r="N60" s="440"/>
      <c r="O60" s="440"/>
      <c r="P60" s="440"/>
      <c r="Q60" s="440"/>
      <c r="R60" s="70"/>
      <c r="S60" s="70"/>
    </row>
    <row r="61" spans="2:19" x14ac:dyDescent="0.25">
      <c r="B61" s="37" t="s">
        <v>50</v>
      </c>
      <c r="C61" s="46">
        <v>2221</v>
      </c>
      <c r="D61" s="33">
        <v>1366</v>
      </c>
      <c r="E61" s="33">
        <v>8050</v>
      </c>
      <c r="F61" s="33">
        <v>401</v>
      </c>
      <c r="G61" s="33"/>
      <c r="H61" s="33">
        <f t="shared" si="14"/>
        <v>12038</v>
      </c>
      <c r="K61" s="440"/>
      <c r="L61" s="440"/>
      <c r="M61" s="440"/>
      <c r="N61" s="440"/>
      <c r="O61" s="440"/>
      <c r="P61" s="440"/>
      <c r="Q61" s="440"/>
      <c r="R61" s="70"/>
      <c r="S61" s="70"/>
    </row>
    <row r="62" spans="2:19" x14ac:dyDescent="0.25">
      <c r="B62" s="37" t="s">
        <v>51</v>
      </c>
      <c r="C62" s="46">
        <v>2612</v>
      </c>
      <c r="D62" s="33">
        <v>1574</v>
      </c>
      <c r="E62" s="33">
        <v>10193</v>
      </c>
      <c r="F62" s="33">
        <v>470</v>
      </c>
      <c r="G62" s="33"/>
      <c r="H62" s="33">
        <f t="shared" si="14"/>
        <v>14849</v>
      </c>
      <c r="K62" s="440"/>
      <c r="L62" s="440"/>
      <c r="M62" s="440"/>
      <c r="N62" s="440"/>
      <c r="O62" s="440"/>
      <c r="P62" s="440"/>
      <c r="Q62" s="440"/>
      <c r="R62" s="70"/>
      <c r="S62" s="70"/>
    </row>
    <row r="63" spans="2:19" x14ac:dyDescent="0.25">
      <c r="B63" s="37" t="s">
        <v>53</v>
      </c>
      <c r="C63" s="46">
        <v>2584</v>
      </c>
      <c r="D63" s="33">
        <v>1488</v>
      </c>
      <c r="E63" s="33">
        <v>9712</v>
      </c>
      <c r="F63" s="33">
        <v>424</v>
      </c>
      <c r="G63" s="33"/>
      <c r="H63" s="33">
        <f t="shared" si="14"/>
        <v>14208</v>
      </c>
      <c r="K63" s="440"/>
      <c r="L63" s="440"/>
      <c r="M63" s="440"/>
      <c r="N63" s="440"/>
      <c r="O63" s="440"/>
      <c r="P63" s="440"/>
      <c r="Q63" s="440"/>
      <c r="R63" s="70"/>
      <c r="S63" s="70"/>
    </row>
    <row r="64" spans="2:19" x14ac:dyDescent="0.25">
      <c r="B64" s="37" t="s">
        <v>54</v>
      </c>
      <c r="C64" s="46">
        <v>2469</v>
      </c>
      <c r="D64" s="33">
        <v>1221</v>
      </c>
      <c r="E64" s="33">
        <v>8795</v>
      </c>
      <c r="F64" s="33">
        <v>457</v>
      </c>
      <c r="G64" s="33"/>
      <c r="H64" s="33">
        <f t="shared" si="14"/>
        <v>12942</v>
      </c>
      <c r="K64" s="440"/>
      <c r="L64" s="440"/>
      <c r="M64" s="440"/>
      <c r="N64" s="440"/>
      <c r="O64" s="440"/>
      <c r="P64" s="440"/>
      <c r="Q64" s="440"/>
    </row>
    <row r="65" spans="2:17" x14ac:dyDescent="0.25">
      <c r="B65" s="37" t="s">
        <v>55</v>
      </c>
      <c r="C65" s="46">
        <v>2384</v>
      </c>
      <c r="D65" s="33">
        <v>1180</v>
      </c>
      <c r="E65" s="33">
        <v>7849</v>
      </c>
      <c r="F65" s="33">
        <v>360</v>
      </c>
      <c r="G65" s="33"/>
      <c r="H65" s="33">
        <f t="shared" si="14"/>
        <v>11773</v>
      </c>
      <c r="K65" s="440"/>
      <c r="L65" s="440"/>
      <c r="M65" s="440"/>
      <c r="N65" s="440"/>
      <c r="O65" s="440"/>
      <c r="P65" s="440"/>
      <c r="Q65" s="440"/>
    </row>
    <row r="66" spans="2:17" x14ac:dyDescent="0.25">
      <c r="B66" s="37" t="s">
        <v>56</v>
      </c>
      <c r="C66" s="46">
        <v>2268</v>
      </c>
      <c r="D66" s="33">
        <v>1004</v>
      </c>
      <c r="E66" s="33">
        <v>7880</v>
      </c>
      <c r="F66" s="33">
        <v>388</v>
      </c>
      <c r="G66" s="33"/>
      <c r="H66" s="33">
        <f t="shared" si="14"/>
        <v>11540</v>
      </c>
      <c r="K66" s="440"/>
      <c r="L66" s="440"/>
      <c r="M66" s="440"/>
      <c r="N66" s="440"/>
      <c r="O66" s="440"/>
      <c r="P66" s="440"/>
      <c r="Q66" s="440"/>
    </row>
    <row r="67" spans="2:17" x14ac:dyDescent="0.25">
      <c r="B67" s="37" t="s">
        <v>57</v>
      </c>
      <c r="C67" s="46">
        <v>2945</v>
      </c>
      <c r="D67" s="33">
        <v>1661</v>
      </c>
      <c r="E67" s="33">
        <v>13536</v>
      </c>
      <c r="F67" s="33">
        <v>620</v>
      </c>
      <c r="G67" s="33"/>
      <c r="H67" s="33">
        <f t="shared" si="14"/>
        <v>18762</v>
      </c>
      <c r="K67" s="13"/>
      <c r="L67" s="13"/>
      <c r="M67" s="13"/>
      <c r="N67" s="13"/>
      <c r="O67" s="13"/>
      <c r="P67" s="13"/>
      <c r="Q67" s="13"/>
    </row>
    <row r="68" spans="2:17" x14ac:dyDescent="0.25">
      <c r="B68" s="19" t="s">
        <v>63</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43</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45</v>
      </c>
      <c r="C70" s="46">
        <v>2521</v>
      </c>
      <c r="D70" s="33">
        <v>1559</v>
      </c>
      <c r="E70" s="33">
        <v>24159</v>
      </c>
      <c r="F70" s="33">
        <v>845</v>
      </c>
      <c r="G70" s="33"/>
      <c r="H70" s="74">
        <f t="shared" si="14"/>
        <v>29084</v>
      </c>
      <c r="J70" s="75"/>
      <c r="K70" s="21" t="s">
        <v>64</v>
      </c>
      <c r="L70" s="8"/>
      <c r="M70" s="8"/>
      <c r="N70" s="8"/>
      <c r="O70" s="77"/>
    </row>
    <row r="71" spans="2:17" x14ac:dyDescent="0.25">
      <c r="B71" s="37" t="s">
        <v>47</v>
      </c>
      <c r="C71" s="46">
        <v>2000</v>
      </c>
      <c r="D71" s="33">
        <v>1119</v>
      </c>
      <c r="E71" s="33">
        <v>12648</v>
      </c>
      <c r="F71" s="33">
        <v>527</v>
      </c>
      <c r="G71" s="33"/>
      <c r="H71" s="74">
        <f t="shared" si="14"/>
        <v>16294</v>
      </c>
      <c r="J71" s="75"/>
      <c r="K71"/>
      <c r="O71" s="77"/>
    </row>
    <row r="72" spans="2:17" x14ac:dyDescent="0.25">
      <c r="B72" s="37" t="s">
        <v>48</v>
      </c>
      <c r="C72" s="46">
        <v>1368</v>
      </c>
      <c r="D72" s="33">
        <v>462</v>
      </c>
      <c r="E72" s="33">
        <v>6817</v>
      </c>
      <c r="F72" s="33">
        <v>450</v>
      </c>
      <c r="G72" s="33"/>
      <c r="H72" s="74">
        <f t="shared" si="14"/>
        <v>9097</v>
      </c>
      <c r="J72" s="75"/>
      <c r="K72" s="78">
        <v>40000</v>
      </c>
      <c r="O72" s="77"/>
    </row>
    <row r="73" spans="2:17" x14ac:dyDescent="0.25">
      <c r="B73" s="37" t="s">
        <v>49</v>
      </c>
      <c r="C73" s="46">
        <v>2058</v>
      </c>
      <c r="D73" s="33">
        <v>843</v>
      </c>
      <c r="E73" s="33">
        <v>10889</v>
      </c>
      <c r="F73" s="33">
        <v>718</v>
      </c>
      <c r="G73" s="33"/>
      <c r="H73" s="74">
        <f t="shared" si="14"/>
        <v>14508</v>
      </c>
      <c r="J73" s="75"/>
      <c r="K73" s="5" t="s">
        <v>65</v>
      </c>
      <c r="O73" s="77"/>
    </row>
    <row r="74" spans="2:17" x14ac:dyDescent="0.25">
      <c r="B74" s="37" t="s">
        <v>50</v>
      </c>
      <c r="C74" s="46">
        <v>1919</v>
      </c>
      <c r="D74" s="33">
        <v>773</v>
      </c>
      <c r="E74" s="33">
        <v>9601</v>
      </c>
      <c r="F74" s="33">
        <v>637</v>
      </c>
      <c r="G74" s="33"/>
      <c r="H74" s="74">
        <f t="shared" si="14"/>
        <v>12930</v>
      </c>
      <c r="J74" s="75"/>
      <c r="O74" s="77"/>
    </row>
    <row r="75" spans="2:17" x14ac:dyDescent="0.25">
      <c r="B75" s="37" t="s">
        <v>51</v>
      </c>
      <c r="C75" s="46">
        <v>2816</v>
      </c>
      <c r="D75" s="33">
        <v>939</v>
      </c>
      <c r="E75" s="33">
        <v>11414</v>
      </c>
      <c r="F75" s="33">
        <v>530</v>
      </c>
      <c r="G75" s="33"/>
      <c r="H75" s="74">
        <f t="shared" si="14"/>
        <v>15699</v>
      </c>
      <c r="J75" s="75"/>
      <c r="O75" s="77"/>
    </row>
    <row r="76" spans="2:17" ht="18.75" x14ac:dyDescent="0.3">
      <c r="B76" s="37" t="s">
        <v>53</v>
      </c>
      <c r="C76" s="46">
        <v>3066</v>
      </c>
      <c r="D76" s="33">
        <v>1181</v>
      </c>
      <c r="E76" s="33">
        <v>14803</v>
      </c>
      <c r="F76" s="33">
        <v>627</v>
      </c>
      <c r="G76" s="33"/>
      <c r="H76" s="74">
        <f t="shared" si="14"/>
        <v>19677</v>
      </c>
      <c r="J76" s="75"/>
      <c r="K76" s="21" t="s">
        <v>66</v>
      </c>
      <c r="L76" s="8"/>
      <c r="M76" s="8"/>
      <c r="N76" s="8"/>
      <c r="O76" s="77"/>
    </row>
    <row r="77" spans="2:17" x14ac:dyDescent="0.25">
      <c r="B77" s="37" t="s">
        <v>54</v>
      </c>
      <c r="C77" s="46">
        <v>3009</v>
      </c>
      <c r="D77" s="33">
        <v>1422</v>
      </c>
      <c r="E77" s="33">
        <v>14413</v>
      </c>
      <c r="F77" s="33">
        <v>732</v>
      </c>
      <c r="G77" s="33"/>
      <c r="H77" s="74">
        <f t="shared" si="14"/>
        <v>19576</v>
      </c>
      <c r="J77" s="75"/>
      <c r="K77"/>
      <c r="O77" s="77"/>
    </row>
    <row r="78" spans="2:17" x14ac:dyDescent="0.25">
      <c r="B78" s="37" t="s">
        <v>55</v>
      </c>
      <c r="C78" s="46">
        <v>3231</v>
      </c>
      <c r="D78" s="33">
        <v>1811</v>
      </c>
      <c r="E78" s="33">
        <v>15413</v>
      </c>
      <c r="F78" s="33">
        <v>835</v>
      </c>
      <c r="G78" s="33"/>
      <c r="H78" s="74">
        <f t="shared" si="14"/>
        <v>21290</v>
      </c>
      <c r="J78" s="75"/>
      <c r="K78" s="33">
        <v>65000</v>
      </c>
      <c r="O78" s="77"/>
    </row>
    <row r="79" spans="2:17" x14ac:dyDescent="0.25">
      <c r="B79" s="37" t="s">
        <v>56</v>
      </c>
      <c r="C79" s="46">
        <v>2859</v>
      </c>
      <c r="D79" s="33">
        <v>1602</v>
      </c>
      <c r="E79" s="33">
        <v>13983</v>
      </c>
      <c r="F79" s="33">
        <v>605</v>
      </c>
      <c r="G79" s="33"/>
      <c r="H79" s="74">
        <f t="shared" si="14"/>
        <v>19049</v>
      </c>
      <c r="J79" s="75"/>
      <c r="K79" s="5" t="s">
        <v>65</v>
      </c>
      <c r="O79" s="77"/>
    </row>
    <row r="80" spans="2:17" x14ac:dyDescent="0.25">
      <c r="B80" s="37" t="s">
        <v>57</v>
      </c>
      <c r="C80" s="46">
        <v>2625</v>
      </c>
      <c r="D80" s="33">
        <v>1544</v>
      </c>
      <c r="E80" s="33">
        <v>12550</v>
      </c>
      <c r="F80" s="33">
        <v>491</v>
      </c>
      <c r="G80" s="33"/>
      <c r="H80" s="74">
        <f t="shared" si="14"/>
        <v>17210</v>
      </c>
      <c r="I80" s="36"/>
      <c r="J80" s="79"/>
      <c r="K80" s="80"/>
      <c r="L80" s="81"/>
      <c r="M80" s="81"/>
      <c r="N80" s="81"/>
      <c r="O80" s="82"/>
    </row>
    <row r="81" spans="2:12" x14ac:dyDescent="0.25">
      <c r="B81" s="19" t="s">
        <v>67</v>
      </c>
      <c r="C81" s="20">
        <f>SUM(C69:C80)</f>
        <v>30482</v>
      </c>
      <c r="D81" s="20">
        <f>SUM(D69:D80)</f>
        <v>15008</v>
      </c>
      <c r="E81" s="20">
        <f t="shared" ref="E81" si="16">SUM(E69:E80)</f>
        <v>166581</v>
      </c>
      <c r="F81" s="20">
        <f>SUM(F69:F80)</f>
        <v>7738</v>
      </c>
      <c r="G81" s="20"/>
      <c r="H81" s="20">
        <f>SUM(H69:H80)</f>
        <v>219809</v>
      </c>
      <c r="J81" s="12"/>
      <c r="K81" s="11"/>
    </row>
    <row r="82" spans="2:12" x14ac:dyDescent="0.25">
      <c r="B82" s="37" t="s">
        <v>43</v>
      </c>
      <c r="C82" s="46">
        <v>2624</v>
      </c>
      <c r="D82" s="33">
        <v>1886</v>
      </c>
      <c r="E82" s="33">
        <v>12697</v>
      </c>
      <c r="F82" s="33">
        <v>945</v>
      </c>
      <c r="G82" s="33"/>
      <c r="H82" s="74">
        <f t="shared" ref="H82:H93" si="17">SUM(C82:F82)</f>
        <v>18152</v>
      </c>
    </row>
    <row r="83" spans="2:12" x14ac:dyDescent="0.25">
      <c r="B83" s="37" t="s">
        <v>45</v>
      </c>
      <c r="C83" s="46">
        <v>2353</v>
      </c>
      <c r="D83" s="33">
        <v>1607</v>
      </c>
      <c r="E83" s="33">
        <v>12205</v>
      </c>
      <c r="F83" s="33">
        <v>862</v>
      </c>
      <c r="G83" s="33"/>
      <c r="H83" s="74">
        <f t="shared" si="17"/>
        <v>17027</v>
      </c>
    </row>
    <row r="84" spans="2:12" x14ac:dyDescent="0.25">
      <c r="B84" s="37" t="s">
        <v>47</v>
      </c>
      <c r="C84" s="46">
        <v>2678</v>
      </c>
      <c r="D84" s="33">
        <v>1931</v>
      </c>
      <c r="E84" s="33">
        <v>14594</v>
      </c>
      <c r="F84" s="33">
        <v>2800</v>
      </c>
      <c r="G84" s="33"/>
      <c r="H84" s="74">
        <f t="shared" si="17"/>
        <v>22003</v>
      </c>
    </row>
    <row r="85" spans="2:12" x14ac:dyDescent="0.25">
      <c r="B85" s="37" t="s">
        <v>48</v>
      </c>
      <c r="C85" s="46">
        <v>2953</v>
      </c>
      <c r="D85" s="33">
        <v>2127</v>
      </c>
      <c r="E85" s="33">
        <v>13753</v>
      </c>
      <c r="F85" s="33">
        <v>3063</v>
      </c>
      <c r="G85" s="33"/>
      <c r="H85" s="74">
        <f t="shared" si="17"/>
        <v>21896</v>
      </c>
    </row>
    <row r="86" spans="2:12" x14ac:dyDescent="0.25">
      <c r="B86" s="37" t="s">
        <v>49</v>
      </c>
      <c r="C86" s="46">
        <v>3346</v>
      </c>
      <c r="D86" s="33">
        <v>2277</v>
      </c>
      <c r="E86" s="33">
        <v>13729</v>
      </c>
      <c r="F86" s="33">
        <v>2119</v>
      </c>
      <c r="G86" s="33"/>
      <c r="H86" s="74">
        <f t="shared" si="17"/>
        <v>21471</v>
      </c>
    </row>
    <row r="87" spans="2:12" x14ac:dyDescent="0.25">
      <c r="B87" s="37" t="s">
        <v>50</v>
      </c>
      <c r="C87" s="46">
        <v>3596</v>
      </c>
      <c r="D87" s="33">
        <v>2125</v>
      </c>
      <c r="E87" s="33">
        <v>13497</v>
      </c>
      <c r="F87" s="33">
        <v>1738</v>
      </c>
      <c r="G87" s="33"/>
      <c r="H87" s="74">
        <f t="shared" si="17"/>
        <v>20956</v>
      </c>
    </row>
    <row r="88" spans="2:12" x14ac:dyDescent="0.25">
      <c r="B88" s="37" t="s">
        <v>51</v>
      </c>
      <c r="C88" s="46">
        <v>4119</v>
      </c>
      <c r="D88" s="33">
        <v>2409</v>
      </c>
      <c r="E88" s="33">
        <v>15819</v>
      </c>
      <c r="F88" s="33">
        <v>1609</v>
      </c>
      <c r="G88" s="33"/>
      <c r="H88" s="74">
        <f t="shared" si="17"/>
        <v>23956</v>
      </c>
    </row>
    <row r="89" spans="2:12" x14ac:dyDescent="0.25">
      <c r="B89" s="37" t="s">
        <v>53</v>
      </c>
      <c r="C89" s="46">
        <v>4297</v>
      </c>
      <c r="D89" s="33">
        <v>2641</v>
      </c>
      <c r="E89" s="33">
        <v>18223</v>
      </c>
      <c r="F89" s="33">
        <v>1553</v>
      </c>
      <c r="G89" s="33"/>
      <c r="H89" s="74">
        <f t="shared" si="17"/>
        <v>26714</v>
      </c>
    </row>
    <row r="90" spans="2:12" x14ac:dyDescent="0.25">
      <c r="B90" s="37" t="s">
        <v>54</v>
      </c>
      <c r="C90" s="46">
        <v>4529</v>
      </c>
      <c r="D90" s="33">
        <v>2330</v>
      </c>
      <c r="E90" s="33">
        <v>19815</v>
      </c>
      <c r="F90" s="33">
        <v>1444</v>
      </c>
      <c r="G90" s="33"/>
      <c r="H90" s="74">
        <f t="shared" si="17"/>
        <v>28118</v>
      </c>
    </row>
    <row r="91" spans="2:12" x14ac:dyDescent="0.25">
      <c r="B91" s="37" t="s">
        <v>55</v>
      </c>
      <c r="C91" s="46">
        <v>3477</v>
      </c>
      <c r="D91" s="33">
        <v>2464</v>
      </c>
      <c r="E91" s="33">
        <v>17701</v>
      </c>
      <c r="F91" s="33">
        <v>1432</v>
      </c>
      <c r="G91" s="33"/>
      <c r="H91" s="74">
        <f t="shared" si="17"/>
        <v>25074</v>
      </c>
    </row>
    <row r="92" spans="2:12" x14ac:dyDescent="0.25">
      <c r="B92" s="37" t="s">
        <v>56</v>
      </c>
      <c r="C92" s="46">
        <v>3890</v>
      </c>
      <c r="D92" s="33">
        <v>2658</v>
      </c>
      <c r="E92" s="33">
        <v>20150</v>
      </c>
      <c r="F92" s="33">
        <v>1497</v>
      </c>
      <c r="G92" s="33"/>
      <c r="H92" s="74">
        <f t="shared" si="17"/>
        <v>28195</v>
      </c>
      <c r="I92" s="36"/>
      <c r="J92" s="11"/>
    </row>
    <row r="93" spans="2:12" x14ac:dyDescent="0.25">
      <c r="B93" s="37" t="s">
        <v>57</v>
      </c>
      <c r="C93" s="46">
        <v>3791</v>
      </c>
      <c r="D93" s="33">
        <v>2514</v>
      </c>
      <c r="E93" s="33">
        <v>18895</v>
      </c>
      <c r="F93" s="33">
        <v>1448</v>
      </c>
      <c r="G93" s="33"/>
      <c r="H93" s="74">
        <f t="shared" si="17"/>
        <v>26648</v>
      </c>
      <c r="I93" s="36"/>
      <c r="J93" s="11"/>
    </row>
    <row r="94" spans="2:12" x14ac:dyDescent="0.25">
      <c r="B94" s="19" t="s">
        <v>68</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43</v>
      </c>
      <c r="C95" s="46">
        <v>4879</v>
      </c>
      <c r="D95" s="33">
        <v>3211</v>
      </c>
      <c r="E95" s="33">
        <v>21970</v>
      </c>
      <c r="F95" s="33">
        <v>1552</v>
      </c>
      <c r="G95" s="33">
        <v>0</v>
      </c>
      <c r="H95" s="74">
        <f t="shared" ref="H95:H106" si="19">SUM(C95:G95)</f>
        <v>31612</v>
      </c>
    </row>
    <row r="96" spans="2:12" x14ac:dyDescent="0.25">
      <c r="B96" s="37" t="s">
        <v>45</v>
      </c>
      <c r="C96" s="46">
        <v>0</v>
      </c>
      <c r="D96" s="33">
        <v>3005</v>
      </c>
      <c r="E96" s="33">
        <v>0</v>
      </c>
      <c r="F96" s="33">
        <v>3339</v>
      </c>
      <c r="G96" s="33">
        <v>149186</v>
      </c>
      <c r="H96" s="74">
        <f t="shared" si="19"/>
        <v>155530</v>
      </c>
    </row>
    <row r="97" spans="2:17" x14ac:dyDescent="0.25">
      <c r="B97" s="37" t="s">
        <v>47</v>
      </c>
      <c r="C97" s="46">
        <v>0</v>
      </c>
      <c r="D97" s="33">
        <v>3441</v>
      </c>
      <c r="E97" s="33">
        <v>0</v>
      </c>
      <c r="F97" s="33">
        <v>1913</v>
      </c>
      <c r="G97" s="33">
        <v>57867</v>
      </c>
      <c r="H97" s="74">
        <f t="shared" si="19"/>
        <v>63221</v>
      </c>
    </row>
    <row r="98" spans="2:17" x14ac:dyDescent="0.25">
      <c r="B98" s="37" t="s">
        <v>48</v>
      </c>
      <c r="C98" s="46">
        <v>0</v>
      </c>
      <c r="D98" s="33">
        <v>3126</v>
      </c>
      <c r="E98" s="33">
        <v>0</v>
      </c>
      <c r="F98" s="33">
        <v>1334</v>
      </c>
      <c r="G98" s="33">
        <v>36680</v>
      </c>
      <c r="H98" s="74">
        <f t="shared" si="19"/>
        <v>41140</v>
      </c>
    </row>
    <row r="99" spans="2:17" x14ac:dyDescent="0.25">
      <c r="B99" s="37" t="s">
        <v>49</v>
      </c>
      <c r="C99" s="46">
        <v>0</v>
      </c>
      <c r="D99" s="33">
        <v>3083</v>
      </c>
      <c r="E99" s="33">
        <v>0</v>
      </c>
      <c r="F99" s="33">
        <v>1382</v>
      </c>
      <c r="G99" s="33">
        <v>35311</v>
      </c>
      <c r="H99" s="74">
        <f t="shared" si="19"/>
        <v>39776</v>
      </c>
    </row>
    <row r="100" spans="2:17" x14ac:dyDescent="0.25">
      <c r="B100" s="37" t="s">
        <v>50</v>
      </c>
      <c r="C100" s="46">
        <v>0</v>
      </c>
      <c r="D100" s="33">
        <v>2713</v>
      </c>
      <c r="E100" s="33">
        <v>0</v>
      </c>
      <c r="F100" s="33">
        <v>1334</v>
      </c>
      <c r="G100" s="33">
        <v>35974</v>
      </c>
      <c r="H100" s="74">
        <f t="shared" si="19"/>
        <v>40021</v>
      </c>
    </row>
    <row r="101" spans="2:17" x14ac:dyDescent="0.25">
      <c r="B101" s="37" t="s">
        <v>51</v>
      </c>
      <c r="C101" s="46">
        <v>0</v>
      </c>
      <c r="D101" s="33">
        <v>3135</v>
      </c>
      <c r="E101" s="33">
        <v>0</v>
      </c>
      <c r="F101" s="33">
        <v>1526</v>
      </c>
      <c r="G101" s="33">
        <v>39533</v>
      </c>
      <c r="H101" s="74">
        <f t="shared" si="19"/>
        <v>44194</v>
      </c>
    </row>
    <row r="102" spans="2:17" x14ac:dyDescent="0.25">
      <c r="B102" s="37" t="s">
        <v>53</v>
      </c>
      <c r="C102" s="46">
        <v>0</v>
      </c>
      <c r="D102" s="33">
        <v>3668</v>
      </c>
      <c r="E102" s="33">
        <v>0</v>
      </c>
      <c r="F102" s="33">
        <v>1950</v>
      </c>
      <c r="G102" s="33">
        <v>57652</v>
      </c>
      <c r="H102" s="74">
        <f t="shared" si="19"/>
        <v>63270</v>
      </c>
    </row>
    <row r="103" spans="2:17" x14ac:dyDescent="0.25">
      <c r="B103" s="37" t="s">
        <v>54</v>
      </c>
      <c r="C103" s="46">
        <v>0</v>
      </c>
      <c r="D103" s="33">
        <v>2716</v>
      </c>
      <c r="E103" s="33">
        <v>0</v>
      </c>
      <c r="F103" s="33">
        <v>1277</v>
      </c>
      <c r="G103" s="33">
        <v>34313</v>
      </c>
      <c r="H103" s="74">
        <f t="shared" si="19"/>
        <v>38306</v>
      </c>
    </row>
    <row r="104" spans="2:17" x14ac:dyDescent="0.25">
      <c r="B104" s="37" t="s">
        <v>55</v>
      </c>
      <c r="C104" s="46">
        <v>0</v>
      </c>
      <c r="D104" s="33">
        <v>2773</v>
      </c>
      <c r="E104" s="33">
        <v>0</v>
      </c>
      <c r="F104" s="33">
        <v>1217</v>
      </c>
      <c r="G104" s="33">
        <v>45602</v>
      </c>
      <c r="H104" s="74">
        <f t="shared" si="19"/>
        <v>49592</v>
      </c>
    </row>
    <row r="105" spans="2:17" x14ac:dyDescent="0.25">
      <c r="B105" s="37" t="s">
        <v>56</v>
      </c>
      <c r="C105" s="46">
        <v>0</v>
      </c>
      <c r="D105" s="33">
        <v>3106</v>
      </c>
      <c r="E105" s="33">
        <v>0</v>
      </c>
      <c r="F105" s="33">
        <v>1353</v>
      </c>
      <c r="G105" s="33">
        <v>43552</v>
      </c>
      <c r="H105" s="74">
        <f t="shared" si="19"/>
        <v>48011</v>
      </c>
      <c r="I105" s="36"/>
      <c r="J105" s="11"/>
      <c r="K105" s="11"/>
    </row>
    <row r="106" spans="2:17" x14ac:dyDescent="0.25">
      <c r="B106" s="37" t="s">
        <v>57</v>
      </c>
      <c r="C106" s="46">
        <v>0</v>
      </c>
      <c r="D106" s="33">
        <v>2423</v>
      </c>
      <c r="E106" s="33">
        <v>0</v>
      </c>
      <c r="F106" s="33">
        <v>1266</v>
      </c>
      <c r="G106" s="33">
        <v>35225</v>
      </c>
      <c r="H106" s="74">
        <f t="shared" si="19"/>
        <v>38914</v>
      </c>
      <c r="I106" s="36"/>
      <c r="J106" s="11"/>
      <c r="K106" s="11"/>
    </row>
    <row r="107" spans="2:17" x14ac:dyDescent="0.25">
      <c r="B107" s="19" t="s">
        <v>69</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7</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20</v>
      </c>
    </row>
    <row r="111" spans="2:17" ht="31.15" customHeight="1" x14ac:dyDescent="0.25">
      <c r="B111" s="440" t="s">
        <v>21</v>
      </c>
      <c r="C111" s="440"/>
      <c r="D111" s="440"/>
      <c r="E111" s="440"/>
      <c r="F111" s="440"/>
      <c r="G111" s="440"/>
      <c r="H111" s="440"/>
      <c r="I111" s="440"/>
      <c r="J111" s="440"/>
      <c r="K111" s="85"/>
      <c r="L111" s="85"/>
      <c r="M111" s="85"/>
      <c r="N111" s="85"/>
      <c r="O111" s="85"/>
      <c r="P111" s="85"/>
      <c r="Q111" s="85"/>
    </row>
    <row r="112" spans="2:17" x14ac:dyDescent="0.25">
      <c r="B112" s="440"/>
      <c r="C112" s="440"/>
      <c r="D112" s="440"/>
      <c r="E112" s="440"/>
      <c r="F112" s="440"/>
      <c r="G112" s="440"/>
      <c r="H112" s="440"/>
      <c r="I112" s="440"/>
      <c r="J112" s="440"/>
      <c r="K112" s="85"/>
      <c r="L112" s="85"/>
      <c r="M112" s="85"/>
      <c r="N112" s="85"/>
      <c r="O112" s="85"/>
      <c r="P112" s="85"/>
      <c r="Q112" s="85"/>
    </row>
    <row r="113" spans="2:17" x14ac:dyDescent="0.25">
      <c r="B113" s="440"/>
      <c r="C113" s="440"/>
      <c r="D113" s="440"/>
      <c r="E113" s="440"/>
      <c r="F113" s="440"/>
      <c r="G113" s="440"/>
      <c r="H113" s="440"/>
      <c r="I113" s="440"/>
      <c r="J113" s="440"/>
      <c r="K113" s="85"/>
      <c r="L113" s="85"/>
      <c r="M113" s="85"/>
      <c r="N113" s="85"/>
      <c r="O113" s="85"/>
      <c r="P113" s="85"/>
      <c r="Q113" s="85"/>
    </row>
    <row r="114" spans="2:17" x14ac:dyDescent="0.25">
      <c r="B114" s="440"/>
      <c r="C114" s="440"/>
      <c r="D114" s="440"/>
      <c r="E114" s="440"/>
      <c r="F114" s="440"/>
      <c r="G114" s="440"/>
      <c r="H114" s="440"/>
      <c r="I114" s="440"/>
      <c r="J114" s="440"/>
      <c r="K114" s="85"/>
      <c r="L114" s="85"/>
      <c r="M114" s="85"/>
      <c r="N114" s="85"/>
      <c r="O114" s="85"/>
      <c r="P114" s="85"/>
      <c r="Q114" s="85"/>
    </row>
    <row r="115" spans="2:17" x14ac:dyDescent="0.25">
      <c r="B115" s="440"/>
      <c r="C115" s="440"/>
      <c r="D115" s="440"/>
      <c r="E115" s="440"/>
      <c r="F115" s="440"/>
      <c r="G115" s="440"/>
      <c r="H115" s="440"/>
      <c r="I115" s="440"/>
      <c r="J115" s="440"/>
      <c r="K115" s="85"/>
      <c r="L115" s="85"/>
      <c r="M115" s="85"/>
      <c r="N115" s="85"/>
      <c r="O115" s="85"/>
      <c r="P115" s="85"/>
      <c r="Q115" s="85"/>
    </row>
    <row r="116" spans="2:17" x14ac:dyDescent="0.25">
      <c r="B116" s="440"/>
      <c r="C116" s="440"/>
      <c r="D116" s="440"/>
      <c r="E116" s="440"/>
      <c r="F116" s="440"/>
      <c r="G116" s="440"/>
      <c r="H116" s="440"/>
      <c r="I116" s="440"/>
      <c r="J116" s="440"/>
    </row>
    <row r="117" spans="2:17" x14ac:dyDescent="0.25">
      <c r="B117" s="440"/>
      <c r="C117" s="440"/>
      <c r="D117" s="440"/>
      <c r="E117" s="440"/>
      <c r="F117" s="440"/>
      <c r="G117" s="440"/>
      <c r="H117" s="440"/>
      <c r="I117" s="440"/>
      <c r="J117" s="440"/>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X563"/>
  <sheetViews>
    <sheetView showGridLines="0" workbookViewId="0"/>
    <sheetView topLeftCell="A494" workbookViewId="1">
      <selection activeCell="B505" sqref="B505:Q505"/>
    </sheetView>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9.28515625" style="7" bestFit="1" customWidth="1"/>
    <col min="10" max="10" width="9" style="7" bestFit="1" customWidth="1"/>
    <col min="11" max="11" width="13" style="7" customWidth="1"/>
    <col min="12" max="12" width="11.42578125" style="7" customWidth="1"/>
    <col min="13" max="13" width="9" style="7" bestFit="1" customWidth="1"/>
    <col min="14" max="14" width="8.5703125" style="7" bestFit="1" customWidth="1"/>
    <col min="15" max="15" width="9.5703125" style="7" bestFit="1" customWidth="1"/>
    <col min="16" max="16" width="15.5703125" style="7" customWidth="1"/>
    <col min="17" max="17" width="9.5703125" style="7" bestFit="1"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3" ht="23.25" x14ac:dyDescent="0.25">
      <c r="B2" s="1" t="s">
        <v>716</v>
      </c>
    </row>
    <row r="4" spans="2:23" ht="15" customHeight="1" x14ac:dyDescent="0.3">
      <c r="B4" s="2" t="s">
        <v>786</v>
      </c>
      <c r="C4" s="2"/>
      <c r="D4" s="2"/>
      <c r="E4" s="2"/>
      <c r="F4" s="334"/>
      <c r="G4" s="13"/>
      <c r="H4" s="13"/>
      <c r="I4" s="13"/>
      <c r="J4" s="13"/>
      <c r="K4" s="13"/>
      <c r="L4" s="13"/>
      <c r="M4" s="13"/>
      <c r="N4" s="13"/>
      <c r="O4" s="13"/>
      <c r="P4" s="13"/>
      <c r="Q4" s="13"/>
      <c r="R4" s="13"/>
      <c r="S4" s="13"/>
      <c r="T4" s="13"/>
      <c r="U4" s="13"/>
      <c r="V4" s="13"/>
      <c r="W4" s="13"/>
    </row>
    <row r="5" spans="2:23" x14ac:dyDescent="0.25">
      <c r="B5" s="15" t="s">
        <v>857</v>
      </c>
      <c r="C5" s="13"/>
      <c r="D5" s="13"/>
      <c r="E5" s="13"/>
      <c r="F5" s="13"/>
      <c r="G5" s="13"/>
      <c r="H5" s="13"/>
      <c r="I5" s="13"/>
      <c r="J5" s="13"/>
      <c r="K5" s="13"/>
      <c r="L5" s="13"/>
      <c r="M5" s="13"/>
      <c r="N5" s="13"/>
      <c r="O5" s="13"/>
      <c r="P5" s="13"/>
      <c r="Q5" s="13"/>
      <c r="R5" s="13"/>
      <c r="S5" s="13"/>
      <c r="T5" s="13"/>
      <c r="U5" s="13"/>
      <c r="V5" s="13"/>
      <c r="W5" s="13"/>
    </row>
    <row r="6" spans="2:23" x14ac:dyDescent="0.25">
      <c r="B6" s="15"/>
      <c r="C6" s="13"/>
      <c r="D6" s="13"/>
      <c r="E6" s="13"/>
      <c r="F6" s="13"/>
      <c r="G6" s="13"/>
      <c r="H6" s="13"/>
      <c r="I6" s="13"/>
      <c r="J6" s="13"/>
      <c r="K6" s="13"/>
      <c r="L6" s="13"/>
      <c r="M6" s="13"/>
      <c r="N6" s="13"/>
      <c r="O6" s="13"/>
      <c r="P6" s="13"/>
      <c r="Q6" s="13"/>
      <c r="R6" s="13"/>
      <c r="S6" s="13"/>
      <c r="T6" s="13"/>
      <c r="U6" s="13"/>
      <c r="V6" s="13"/>
      <c r="W6" s="13"/>
    </row>
    <row r="7" spans="2:23" ht="15" customHeight="1" x14ac:dyDescent="0.25">
      <c r="B7" s="441" t="s">
        <v>526</v>
      </c>
      <c r="C7" s="426" t="s">
        <v>481</v>
      </c>
      <c r="D7" s="426"/>
      <c r="E7" s="426"/>
      <c r="F7" s="426"/>
      <c r="G7" s="426"/>
      <c r="H7" s="426"/>
      <c r="I7" s="426"/>
      <c r="J7" s="426"/>
      <c r="K7" s="426"/>
      <c r="L7" s="426"/>
      <c r="M7" s="426"/>
      <c r="N7" s="426"/>
      <c r="O7" s="443" t="s">
        <v>697</v>
      </c>
      <c r="P7" s="444"/>
      <c r="Q7" s="445"/>
      <c r="R7" s="13"/>
      <c r="S7" s="13"/>
      <c r="T7" s="13"/>
      <c r="U7" s="13"/>
      <c r="V7" s="13"/>
      <c r="W7" s="13"/>
    </row>
    <row r="8" spans="2:23" ht="15" customHeight="1" x14ac:dyDescent="0.25">
      <c r="B8" s="441"/>
      <c r="C8" s="426" t="s">
        <v>658</v>
      </c>
      <c r="D8" s="426"/>
      <c r="E8" s="426"/>
      <c r="F8" s="426" t="s">
        <v>490</v>
      </c>
      <c r="G8" s="426"/>
      <c r="H8" s="426"/>
      <c r="I8" s="426" t="s">
        <v>4</v>
      </c>
      <c r="J8" s="426"/>
      <c r="K8" s="426"/>
      <c r="L8" s="426" t="s">
        <v>6</v>
      </c>
      <c r="M8" s="426"/>
      <c r="N8" s="426"/>
      <c r="O8" s="446"/>
      <c r="P8" s="447"/>
      <c r="Q8" s="448"/>
      <c r="R8" s="13"/>
      <c r="S8" s="13"/>
      <c r="T8" s="13"/>
      <c r="U8" s="13"/>
      <c r="V8" s="13"/>
      <c r="W8" s="13"/>
    </row>
    <row r="9" spans="2:23" x14ac:dyDescent="0.25">
      <c r="B9" s="441"/>
      <c r="C9" s="161" t="s">
        <v>76</v>
      </c>
      <c r="D9" s="161" t="s">
        <v>77</v>
      </c>
      <c r="E9" s="161" t="s">
        <v>28</v>
      </c>
      <c r="F9" s="161" t="s">
        <v>76</v>
      </c>
      <c r="G9" s="161" t="s">
        <v>77</v>
      </c>
      <c r="H9" s="161" t="s">
        <v>28</v>
      </c>
      <c r="I9" s="161" t="s">
        <v>76</v>
      </c>
      <c r="J9" s="161" t="s">
        <v>77</v>
      </c>
      <c r="K9" s="161" t="s">
        <v>28</v>
      </c>
      <c r="L9" s="161" t="s">
        <v>76</v>
      </c>
      <c r="M9" s="161" t="s">
        <v>77</v>
      </c>
      <c r="N9" s="161" t="s">
        <v>28</v>
      </c>
      <c r="O9" s="244" t="s">
        <v>76</v>
      </c>
      <c r="P9" s="244" t="s">
        <v>77</v>
      </c>
      <c r="Q9" s="244" t="s">
        <v>28</v>
      </c>
      <c r="R9" s="13"/>
      <c r="S9" s="13"/>
      <c r="T9" s="13"/>
      <c r="U9" s="13"/>
      <c r="V9" s="13"/>
      <c r="W9" s="13"/>
    </row>
    <row r="10" spans="2:23" x14ac:dyDescent="0.25">
      <c r="B10" s="313" t="s">
        <v>524</v>
      </c>
      <c r="C10" s="277">
        <v>63</v>
      </c>
      <c r="D10" s="277">
        <v>52</v>
      </c>
      <c r="E10" s="318">
        <v>115</v>
      </c>
      <c r="F10" s="277">
        <v>355</v>
      </c>
      <c r="G10" s="277">
        <v>309</v>
      </c>
      <c r="H10" s="318">
        <v>664</v>
      </c>
      <c r="I10" s="277">
        <v>53</v>
      </c>
      <c r="J10" s="277">
        <v>39</v>
      </c>
      <c r="K10" s="318">
        <v>92</v>
      </c>
      <c r="L10" s="277">
        <v>27</v>
      </c>
      <c r="M10" s="277">
        <v>35</v>
      </c>
      <c r="N10" s="318">
        <v>62</v>
      </c>
      <c r="O10" s="316">
        <v>498</v>
      </c>
      <c r="P10" s="310">
        <v>435</v>
      </c>
      <c r="Q10" s="310">
        <v>933</v>
      </c>
      <c r="R10" s="13"/>
      <c r="S10" s="13"/>
      <c r="T10" s="13"/>
      <c r="U10" s="13"/>
      <c r="V10" s="13"/>
      <c r="W10" s="13"/>
    </row>
    <row r="11" spans="2:23" ht="15" customHeight="1" x14ac:dyDescent="0.25">
      <c r="B11" s="314" t="s">
        <v>510</v>
      </c>
      <c r="C11" s="277">
        <v>60</v>
      </c>
      <c r="D11" s="277">
        <v>44</v>
      </c>
      <c r="E11" s="318">
        <v>104</v>
      </c>
      <c r="F11" s="277">
        <v>422</v>
      </c>
      <c r="G11" s="277">
        <v>416</v>
      </c>
      <c r="H11" s="318">
        <v>838</v>
      </c>
      <c r="I11" s="277">
        <v>81</v>
      </c>
      <c r="J11" s="277">
        <v>28</v>
      </c>
      <c r="K11" s="318">
        <v>109</v>
      </c>
      <c r="L11" s="277">
        <v>32</v>
      </c>
      <c r="M11" s="277">
        <v>37</v>
      </c>
      <c r="N11" s="318">
        <v>69</v>
      </c>
      <c r="O11" s="316">
        <v>595</v>
      </c>
      <c r="P11" s="310">
        <v>525</v>
      </c>
      <c r="Q11" s="310">
        <v>1120</v>
      </c>
      <c r="R11" s="13"/>
      <c r="S11" s="13"/>
      <c r="T11" s="13"/>
      <c r="U11" s="13"/>
      <c r="V11" s="13"/>
      <c r="W11" s="13"/>
    </row>
    <row r="12" spans="2:23" x14ac:dyDescent="0.25">
      <c r="B12" s="314" t="s">
        <v>511</v>
      </c>
      <c r="C12" s="277">
        <v>105</v>
      </c>
      <c r="D12" s="277">
        <v>72</v>
      </c>
      <c r="E12" s="318">
        <v>177</v>
      </c>
      <c r="F12" s="277">
        <v>836</v>
      </c>
      <c r="G12" s="277">
        <v>812</v>
      </c>
      <c r="H12" s="318">
        <v>1648</v>
      </c>
      <c r="I12" s="277">
        <v>121</v>
      </c>
      <c r="J12" s="277">
        <v>48</v>
      </c>
      <c r="K12" s="318">
        <v>169</v>
      </c>
      <c r="L12" s="277">
        <v>20</v>
      </c>
      <c r="M12" s="277">
        <v>44</v>
      </c>
      <c r="N12" s="318">
        <v>64</v>
      </c>
      <c r="O12" s="316">
        <v>1082</v>
      </c>
      <c r="P12" s="310">
        <v>976</v>
      </c>
      <c r="Q12" s="310">
        <v>2058</v>
      </c>
      <c r="R12" s="13"/>
      <c r="S12" s="13"/>
      <c r="T12" s="13"/>
      <c r="U12" s="13"/>
      <c r="V12" s="13"/>
      <c r="W12" s="13"/>
    </row>
    <row r="13" spans="2:23" x14ac:dyDescent="0.25">
      <c r="B13" s="314" t="s">
        <v>512</v>
      </c>
      <c r="C13" s="277">
        <v>68</v>
      </c>
      <c r="D13" s="277">
        <v>71</v>
      </c>
      <c r="E13" s="318">
        <v>139</v>
      </c>
      <c r="F13" s="277">
        <v>478</v>
      </c>
      <c r="G13" s="277">
        <v>472</v>
      </c>
      <c r="H13" s="318">
        <v>950</v>
      </c>
      <c r="I13" s="277">
        <v>85</v>
      </c>
      <c r="J13" s="277">
        <v>32</v>
      </c>
      <c r="K13" s="318">
        <v>117</v>
      </c>
      <c r="L13" s="277">
        <v>22</v>
      </c>
      <c r="M13" s="277">
        <v>39</v>
      </c>
      <c r="N13" s="318">
        <v>61</v>
      </c>
      <c r="O13" s="316">
        <v>653</v>
      </c>
      <c r="P13" s="310">
        <v>614</v>
      </c>
      <c r="Q13" s="310">
        <v>1267</v>
      </c>
      <c r="R13" s="13"/>
      <c r="S13" s="13"/>
      <c r="T13" s="13"/>
      <c r="U13" s="13"/>
      <c r="V13" s="13"/>
      <c r="W13" s="13"/>
    </row>
    <row r="14" spans="2:23" ht="15" customHeight="1" x14ac:dyDescent="0.25">
      <c r="B14" s="314" t="s">
        <v>513</v>
      </c>
      <c r="C14" s="277">
        <v>223</v>
      </c>
      <c r="D14" s="277">
        <v>184</v>
      </c>
      <c r="E14" s="318">
        <v>407</v>
      </c>
      <c r="F14" s="277">
        <v>1295</v>
      </c>
      <c r="G14" s="277">
        <v>1110</v>
      </c>
      <c r="H14" s="318">
        <v>2405</v>
      </c>
      <c r="I14" s="277">
        <v>279</v>
      </c>
      <c r="J14" s="277">
        <v>118</v>
      </c>
      <c r="K14" s="318">
        <v>397</v>
      </c>
      <c r="L14" s="277">
        <v>74</v>
      </c>
      <c r="M14" s="277">
        <v>115</v>
      </c>
      <c r="N14" s="318">
        <v>189</v>
      </c>
      <c r="O14" s="316">
        <v>1871</v>
      </c>
      <c r="P14" s="310">
        <v>1527</v>
      </c>
      <c r="Q14" s="310">
        <v>3398</v>
      </c>
      <c r="R14" s="13"/>
      <c r="S14" s="13"/>
      <c r="T14" s="13"/>
      <c r="U14" s="13"/>
      <c r="V14" s="13"/>
      <c r="W14" s="13"/>
    </row>
    <row r="15" spans="2:23" x14ac:dyDescent="0.25">
      <c r="B15" s="314" t="s">
        <v>514</v>
      </c>
      <c r="C15" s="277">
        <v>612</v>
      </c>
      <c r="D15" s="277">
        <v>527</v>
      </c>
      <c r="E15" s="318">
        <v>1139</v>
      </c>
      <c r="F15" s="277">
        <v>3757</v>
      </c>
      <c r="G15" s="277">
        <v>2842</v>
      </c>
      <c r="H15" s="318">
        <v>6599</v>
      </c>
      <c r="I15" s="277">
        <v>552</v>
      </c>
      <c r="J15" s="277">
        <v>251</v>
      </c>
      <c r="K15" s="318">
        <v>803</v>
      </c>
      <c r="L15" s="277">
        <v>144</v>
      </c>
      <c r="M15" s="277">
        <v>247</v>
      </c>
      <c r="N15" s="318">
        <v>391</v>
      </c>
      <c r="O15" s="316">
        <v>5065</v>
      </c>
      <c r="P15" s="310">
        <v>3867</v>
      </c>
      <c r="Q15" s="310">
        <v>8932</v>
      </c>
      <c r="R15" s="13"/>
      <c r="S15" s="13"/>
      <c r="T15" s="13"/>
      <c r="U15" s="13"/>
      <c r="V15" s="13"/>
      <c r="W15" s="13"/>
    </row>
    <row r="16" spans="2:23" x14ac:dyDescent="0.25">
      <c r="B16" s="314" t="s">
        <v>522</v>
      </c>
      <c r="C16" s="277">
        <v>1803</v>
      </c>
      <c r="D16" s="277">
        <v>1397</v>
      </c>
      <c r="E16" s="318">
        <v>3200</v>
      </c>
      <c r="F16" s="277">
        <v>12415</v>
      </c>
      <c r="G16" s="277">
        <v>9916</v>
      </c>
      <c r="H16" s="318">
        <v>22331</v>
      </c>
      <c r="I16" s="277">
        <v>1384</v>
      </c>
      <c r="J16" s="277">
        <v>666</v>
      </c>
      <c r="K16" s="318">
        <v>2050</v>
      </c>
      <c r="L16" s="277">
        <v>423</v>
      </c>
      <c r="M16" s="277">
        <v>638</v>
      </c>
      <c r="N16" s="318">
        <v>1061</v>
      </c>
      <c r="O16" s="316">
        <v>16025</v>
      </c>
      <c r="P16" s="310">
        <v>12617</v>
      </c>
      <c r="Q16" s="310">
        <v>28642</v>
      </c>
      <c r="R16" s="13"/>
      <c r="S16" s="13"/>
      <c r="T16" s="13"/>
      <c r="U16" s="13"/>
      <c r="V16" s="13"/>
      <c r="W16" s="13"/>
    </row>
    <row r="17" spans="2:23" ht="15" customHeight="1" x14ac:dyDescent="0.25">
      <c r="B17" s="160" t="s">
        <v>515</v>
      </c>
      <c r="C17" s="277">
        <v>309</v>
      </c>
      <c r="D17" s="277">
        <v>285</v>
      </c>
      <c r="E17" s="318">
        <v>594</v>
      </c>
      <c r="F17" s="277">
        <v>1716</v>
      </c>
      <c r="G17" s="277">
        <v>1613</v>
      </c>
      <c r="H17" s="318">
        <v>3329</v>
      </c>
      <c r="I17" s="277">
        <v>340</v>
      </c>
      <c r="J17" s="277">
        <v>120</v>
      </c>
      <c r="K17" s="318">
        <v>460</v>
      </c>
      <c r="L17" s="277">
        <v>109</v>
      </c>
      <c r="M17" s="277">
        <v>174</v>
      </c>
      <c r="N17" s="318">
        <v>283</v>
      </c>
      <c r="O17" s="316">
        <v>2474</v>
      </c>
      <c r="P17" s="310">
        <v>2192</v>
      </c>
      <c r="Q17" s="310">
        <v>4666</v>
      </c>
      <c r="R17" s="13"/>
      <c r="S17" s="13"/>
      <c r="T17" s="13"/>
      <c r="U17" s="13"/>
      <c r="V17" s="13"/>
      <c r="W17" s="13"/>
    </row>
    <row r="18" spans="2:23" x14ac:dyDescent="0.25">
      <c r="B18" s="309" t="s">
        <v>516</v>
      </c>
      <c r="C18" s="277">
        <v>337</v>
      </c>
      <c r="D18" s="277">
        <v>391</v>
      </c>
      <c r="E18" s="318">
        <v>728</v>
      </c>
      <c r="F18" s="277">
        <v>1892</v>
      </c>
      <c r="G18" s="277">
        <v>1734</v>
      </c>
      <c r="H18" s="318">
        <v>3626</v>
      </c>
      <c r="I18" s="277">
        <v>437</v>
      </c>
      <c r="J18" s="277">
        <v>169</v>
      </c>
      <c r="K18" s="318">
        <v>606</v>
      </c>
      <c r="L18" s="277">
        <v>115</v>
      </c>
      <c r="M18" s="277">
        <v>164</v>
      </c>
      <c r="N18" s="318">
        <v>279</v>
      </c>
      <c r="O18" s="316">
        <v>2781</v>
      </c>
      <c r="P18" s="310">
        <v>2458</v>
      </c>
      <c r="Q18" s="310">
        <v>5239</v>
      </c>
      <c r="R18" s="13"/>
      <c r="S18" s="13"/>
      <c r="T18" s="13"/>
      <c r="U18" s="13"/>
      <c r="V18" s="13"/>
      <c r="W18" s="13"/>
    </row>
    <row r="19" spans="2:23" x14ac:dyDescent="0.25">
      <c r="B19" s="309" t="s">
        <v>865</v>
      </c>
      <c r="C19" s="277">
        <v>209</v>
      </c>
      <c r="D19" s="277">
        <v>182</v>
      </c>
      <c r="E19" s="318">
        <v>391</v>
      </c>
      <c r="F19" s="277">
        <v>915</v>
      </c>
      <c r="G19" s="277">
        <v>795</v>
      </c>
      <c r="H19" s="318">
        <v>1710</v>
      </c>
      <c r="I19" s="277">
        <v>373</v>
      </c>
      <c r="J19" s="277">
        <v>132</v>
      </c>
      <c r="K19" s="318">
        <v>505</v>
      </c>
      <c r="L19" s="277">
        <v>83</v>
      </c>
      <c r="M19" s="277">
        <v>102</v>
      </c>
      <c r="N19" s="318">
        <v>185</v>
      </c>
      <c r="O19" s="316">
        <v>1580</v>
      </c>
      <c r="P19" s="310">
        <v>1211</v>
      </c>
      <c r="Q19" s="310">
        <v>2791</v>
      </c>
      <c r="R19" s="13"/>
      <c r="S19" s="13"/>
      <c r="T19" s="13"/>
      <c r="U19" s="13"/>
      <c r="V19" s="13"/>
      <c r="W19" s="13"/>
    </row>
    <row r="20" spans="2:23" ht="15" customHeight="1" x14ac:dyDescent="0.25">
      <c r="B20" s="309" t="s">
        <v>517</v>
      </c>
      <c r="C20" s="277">
        <v>580</v>
      </c>
      <c r="D20" s="277">
        <v>422</v>
      </c>
      <c r="E20" s="318">
        <v>1002</v>
      </c>
      <c r="F20" s="277">
        <v>2859</v>
      </c>
      <c r="G20" s="277">
        <v>2366</v>
      </c>
      <c r="H20" s="318">
        <v>5225</v>
      </c>
      <c r="I20" s="277">
        <v>675</v>
      </c>
      <c r="J20" s="277">
        <v>251</v>
      </c>
      <c r="K20" s="318">
        <v>926</v>
      </c>
      <c r="L20" s="277">
        <v>153</v>
      </c>
      <c r="M20" s="277">
        <v>228</v>
      </c>
      <c r="N20" s="318">
        <v>381</v>
      </c>
      <c r="O20" s="316">
        <v>4267</v>
      </c>
      <c r="P20" s="310">
        <v>3267</v>
      </c>
      <c r="Q20" s="310">
        <v>7534</v>
      </c>
      <c r="R20" s="13"/>
      <c r="S20" s="13"/>
      <c r="T20" s="13"/>
      <c r="U20" s="13"/>
      <c r="V20" s="13"/>
      <c r="W20" s="13"/>
    </row>
    <row r="21" spans="2:23" x14ac:dyDescent="0.25">
      <c r="B21" s="309" t="s">
        <v>518</v>
      </c>
      <c r="C21" s="277">
        <v>315</v>
      </c>
      <c r="D21" s="277">
        <v>273</v>
      </c>
      <c r="E21" s="318">
        <v>588</v>
      </c>
      <c r="F21" s="277">
        <v>1625</v>
      </c>
      <c r="G21" s="277">
        <v>1528</v>
      </c>
      <c r="H21" s="318">
        <v>3153</v>
      </c>
      <c r="I21" s="277">
        <v>400</v>
      </c>
      <c r="J21" s="277">
        <v>207</v>
      </c>
      <c r="K21" s="318">
        <v>607</v>
      </c>
      <c r="L21" s="277">
        <v>92</v>
      </c>
      <c r="M21" s="277">
        <v>170</v>
      </c>
      <c r="N21" s="318">
        <v>262</v>
      </c>
      <c r="O21" s="316">
        <v>2432</v>
      </c>
      <c r="P21" s="310">
        <v>2178</v>
      </c>
      <c r="Q21" s="310">
        <v>4610</v>
      </c>
      <c r="R21" s="13"/>
      <c r="S21" s="13"/>
      <c r="T21" s="13"/>
      <c r="U21" s="13"/>
      <c r="V21" s="13"/>
      <c r="W21" s="13"/>
    </row>
    <row r="22" spans="2:23" x14ac:dyDescent="0.25">
      <c r="B22" s="309" t="s">
        <v>523</v>
      </c>
      <c r="C22" s="277">
        <v>154</v>
      </c>
      <c r="D22" s="277">
        <v>99</v>
      </c>
      <c r="E22" s="318">
        <v>253</v>
      </c>
      <c r="F22" s="277">
        <v>713</v>
      </c>
      <c r="G22" s="277">
        <v>630</v>
      </c>
      <c r="H22" s="318">
        <v>1343</v>
      </c>
      <c r="I22" s="277">
        <v>175</v>
      </c>
      <c r="J22" s="277">
        <v>70</v>
      </c>
      <c r="K22" s="318">
        <v>245</v>
      </c>
      <c r="L22" s="277">
        <v>59</v>
      </c>
      <c r="M22" s="277">
        <v>105</v>
      </c>
      <c r="N22" s="318">
        <v>164</v>
      </c>
      <c r="O22" s="316">
        <v>1101</v>
      </c>
      <c r="P22" s="310">
        <v>904</v>
      </c>
      <c r="Q22" s="310">
        <v>2005</v>
      </c>
      <c r="R22" s="13"/>
      <c r="S22" s="13"/>
      <c r="T22" s="13"/>
      <c r="U22" s="13"/>
      <c r="V22" s="13"/>
      <c r="W22" s="13"/>
    </row>
    <row r="23" spans="2:23" x14ac:dyDescent="0.25">
      <c r="B23" s="309" t="s">
        <v>519</v>
      </c>
      <c r="C23" s="277">
        <v>306</v>
      </c>
      <c r="D23" s="277">
        <v>271</v>
      </c>
      <c r="E23" s="318">
        <v>577</v>
      </c>
      <c r="F23" s="277">
        <v>1402</v>
      </c>
      <c r="G23" s="277">
        <v>1186</v>
      </c>
      <c r="H23" s="318">
        <v>2588</v>
      </c>
      <c r="I23" s="277">
        <v>373</v>
      </c>
      <c r="J23" s="277">
        <v>172</v>
      </c>
      <c r="K23" s="318">
        <v>545</v>
      </c>
      <c r="L23" s="277">
        <v>99</v>
      </c>
      <c r="M23" s="277">
        <v>157</v>
      </c>
      <c r="N23" s="318">
        <v>256</v>
      </c>
      <c r="O23" s="316">
        <v>2180</v>
      </c>
      <c r="P23" s="310">
        <v>1786</v>
      </c>
      <c r="Q23" s="310">
        <v>3966</v>
      </c>
      <c r="R23" s="13"/>
      <c r="S23" s="13"/>
      <c r="T23" s="13"/>
      <c r="U23" s="13"/>
      <c r="V23" s="13"/>
      <c r="W23" s="13"/>
    </row>
    <row r="24" spans="2:23" ht="30" x14ac:dyDescent="0.25">
      <c r="B24" s="160" t="s">
        <v>520</v>
      </c>
      <c r="C24" s="277">
        <v>27</v>
      </c>
      <c r="D24" s="277">
        <v>25</v>
      </c>
      <c r="E24" s="318">
        <v>52</v>
      </c>
      <c r="F24" s="277">
        <v>167</v>
      </c>
      <c r="G24" s="277">
        <v>139</v>
      </c>
      <c r="H24" s="318">
        <v>306</v>
      </c>
      <c r="I24" s="277">
        <v>28</v>
      </c>
      <c r="J24" s="277">
        <v>14</v>
      </c>
      <c r="K24" s="318">
        <v>42</v>
      </c>
      <c r="L24" s="277">
        <v>12</v>
      </c>
      <c r="M24" s="277">
        <v>14</v>
      </c>
      <c r="N24" s="318">
        <v>26</v>
      </c>
      <c r="O24" s="316">
        <v>234</v>
      </c>
      <c r="P24" s="310">
        <v>192</v>
      </c>
      <c r="Q24" s="310">
        <v>426</v>
      </c>
      <c r="R24" s="13"/>
      <c r="S24" s="13"/>
      <c r="T24" s="13"/>
      <c r="U24" s="13"/>
      <c r="V24" s="13"/>
      <c r="W24" s="13"/>
    </row>
    <row r="25" spans="2:23" x14ac:dyDescent="0.25">
      <c r="B25" s="309" t="s">
        <v>521</v>
      </c>
      <c r="C25" s="277">
        <v>56</v>
      </c>
      <c r="D25" s="277">
        <v>36</v>
      </c>
      <c r="E25" s="318">
        <v>92</v>
      </c>
      <c r="F25" s="277">
        <v>312</v>
      </c>
      <c r="G25" s="277">
        <v>247</v>
      </c>
      <c r="H25" s="318">
        <v>559</v>
      </c>
      <c r="I25" s="277">
        <v>29</v>
      </c>
      <c r="J25" s="277">
        <v>13</v>
      </c>
      <c r="K25" s="318">
        <v>42</v>
      </c>
      <c r="L25" s="277">
        <v>15</v>
      </c>
      <c r="M25" s="277">
        <v>23</v>
      </c>
      <c r="N25" s="318">
        <v>38</v>
      </c>
      <c r="O25" s="316">
        <v>412</v>
      </c>
      <c r="P25" s="310">
        <v>319</v>
      </c>
      <c r="Q25" s="310">
        <v>731</v>
      </c>
      <c r="R25" s="13"/>
      <c r="S25" s="13"/>
      <c r="T25" s="13"/>
      <c r="U25" s="13"/>
      <c r="V25" s="13"/>
      <c r="W25" s="13"/>
    </row>
    <row r="26" spans="2:23" x14ac:dyDescent="0.25">
      <c r="B26" s="315" t="s">
        <v>28</v>
      </c>
      <c r="C26" s="271">
        <v>5227</v>
      </c>
      <c r="D26" s="271">
        <v>4331</v>
      </c>
      <c r="E26" s="271">
        <v>9558</v>
      </c>
      <c r="F26" s="271">
        <v>31159</v>
      </c>
      <c r="G26" s="271">
        <v>26115</v>
      </c>
      <c r="H26" s="271">
        <v>57274</v>
      </c>
      <c r="I26" s="271">
        <v>5385</v>
      </c>
      <c r="J26" s="271">
        <v>2330</v>
      </c>
      <c r="K26" s="271">
        <v>7715</v>
      </c>
      <c r="L26" s="271">
        <v>1479</v>
      </c>
      <c r="M26" s="271">
        <v>2292</v>
      </c>
      <c r="N26" s="271">
        <v>3771</v>
      </c>
      <c r="O26" s="317">
        <v>43250</v>
      </c>
      <c r="P26" s="310">
        <v>35068</v>
      </c>
      <c r="Q26" s="310">
        <v>78318</v>
      </c>
      <c r="R26" s="13"/>
      <c r="S26" s="13"/>
      <c r="T26" s="13"/>
      <c r="U26" s="13"/>
      <c r="V26" s="13"/>
      <c r="W26" s="13"/>
    </row>
    <row r="27" spans="2:23" ht="99" customHeight="1" x14ac:dyDescent="0.25">
      <c r="B27" s="440" t="s">
        <v>814</v>
      </c>
      <c r="C27" s="440"/>
      <c r="D27" s="440"/>
      <c r="E27" s="440"/>
      <c r="F27" s="440"/>
      <c r="G27" s="440"/>
      <c r="H27" s="440"/>
      <c r="I27" s="440"/>
      <c r="J27" s="440"/>
      <c r="K27" s="440"/>
      <c r="L27" s="440"/>
      <c r="M27" s="440"/>
      <c r="N27" s="440"/>
      <c r="O27" s="440"/>
      <c r="P27" s="440"/>
      <c r="Q27" s="440"/>
      <c r="R27" s="13"/>
      <c r="S27" s="13"/>
      <c r="T27" s="13"/>
      <c r="U27" s="13"/>
      <c r="V27" s="13"/>
      <c r="W27" s="13"/>
    </row>
    <row r="28" spans="2:23" x14ac:dyDescent="0.25">
      <c r="C28" s="13"/>
      <c r="D28" s="13"/>
      <c r="E28" s="13"/>
      <c r="F28" s="13"/>
      <c r="G28" s="13"/>
      <c r="H28" s="13"/>
      <c r="I28" s="13"/>
      <c r="J28" s="13"/>
      <c r="K28" s="13"/>
      <c r="L28" s="13"/>
      <c r="M28" s="13"/>
      <c r="N28" s="13"/>
      <c r="O28" s="13"/>
      <c r="P28" s="13"/>
      <c r="Q28" s="13"/>
      <c r="R28" s="13"/>
      <c r="S28" s="13"/>
      <c r="T28" s="13"/>
      <c r="U28" s="13"/>
      <c r="V28" s="13"/>
      <c r="W28" s="13"/>
    </row>
    <row r="29" spans="2:23" customFormat="1" ht="18.75" x14ac:dyDescent="0.3">
      <c r="B29" s="2" t="s">
        <v>771</v>
      </c>
      <c r="C29" s="2"/>
      <c r="D29" s="2"/>
      <c r="E29" s="2"/>
      <c r="H29" s="228"/>
      <c r="I29" s="449"/>
      <c r="J29" s="141"/>
      <c r="K29" s="142"/>
      <c r="L29" s="142"/>
      <c r="M29" s="142"/>
      <c r="N29" s="142"/>
      <c r="O29" s="142"/>
      <c r="P29" s="142"/>
      <c r="Q29" s="228"/>
      <c r="R29" s="228"/>
      <c r="S29" s="228"/>
      <c r="T29" s="228"/>
      <c r="U29" s="228"/>
      <c r="V29" s="228"/>
      <c r="W29" s="228"/>
    </row>
    <row r="30" spans="2:23" customFormat="1" x14ac:dyDescent="0.25">
      <c r="B30" s="15" t="s">
        <v>857</v>
      </c>
      <c r="H30" s="228"/>
      <c r="I30" s="449"/>
      <c r="J30" s="141"/>
      <c r="K30" s="142"/>
      <c r="L30" s="142"/>
      <c r="M30" s="142"/>
      <c r="N30" s="142"/>
      <c r="O30" s="142"/>
      <c r="P30" s="142"/>
      <c r="Q30" s="228"/>
      <c r="R30" s="228"/>
      <c r="S30" s="228"/>
      <c r="T30" s="228"/>
      <c r="U30" s="228"/>
      <c r="V30" s="228"/>
      <c r="W30" s="228"/>
    </row>
    <row r="31" spans="2:23" customFormat="1" x14ac:dyDescent="0.25">
      <c r="H31" s="228"/>
      <c r="I31" s="234"/>
      <c r="J31" s="141"/>
      <c r="K31" s="141"/>
      <c r="L31" s="141"/>
      <c r="M31" s="141"/>
      <c r="N31" s="141"/>
      <c r="O31" s="141"/>
      <c r="P31" s="142"/>
      <c r="Q31" s="228"/>
      <c r="R31" s="228"/>
      <c r="S31" s="228"/>
      <c r="T31" s="228"/>
      <c r="U31" s="228"/>
      <c r="V31" s="228"/>
      <c r="W31" s="228"/>
    </row>
    <row r="32" spans="2:23" x14ac:dyDescent="0.25">
      <c r="B32" s="187" t="s">
        <v>524</v>
      </c>
      <c r="C32"/>
      <c r="D32"/>
      <c r="E32"/>
      <c r="F32"/>
      <c r="G32"/>
      <c r="H32" s="13"/>
      <c r="I32" s="13"/>
      <c r="J32" s="13"/>
      <c r="K32" s="13"/>
      <c r="L32" s="13"/>
      <c r="M32" s="13"/>
      <c r="N32" s="13"/>
      <c r="O32" s="13"/>
      <c r="P32" s="13"/>
      <c r="Q32" s="13"/>
      <c r="R32" s="13"/>
      <c r="S32" s="13"/>
      <c r="T32" s="13"/>
      <c r="U32" s="13"/>
      <c r="V32" s="13"/>
      <c r="W32" s="13"/>
    </row>
    <row r="33" spans="2:24" x14ac:dyDescent="0.25">
      <c r="B33" s="187"/>
      <c r="C33"/>
      <c r="D33"/>
      <c r="E33"/>
      <c r="F33"/>
      <c r="G33"/>
      <c r="H33" s="13"/>
      <c r="I33" s="13"/>
      <c r="J33" s="13"/>
      <c r="K33" s="13"/>
      <c r="L33" s="13"/>
      <c r="M33" s="13"/>
      <c r="N33" s="13"/>
      <c r="O33" s="13"/>
      <c r="P33" s="13"/>
      <c r="Q33" s="13"/>
      <c r="R33" s="13"/>
      <c r="S33" s="13"/>
      <c r="T33" s="13"/>
      <c r="U33" s="13"/>
      <c r="V33" s="13"/>
      <c r="W33" s="13"/>
    </row>
    <row r="34" spans="2:24" ht="15" customHeight="1" x14ac:dyDescent="0.25">
      <c r="B34" s="441" t="s">
        <v>537</v>
      </c>
      <c r="C34" s="426" t="s">
        <v>481</v>
      </c>
      <c r="D34" s="426"/>
      <c r="E34" s="426"/>
      <c r="F34" s="426"/>
      <c r="G34" s="426"/>
      <c r="H34" s="426"/>
      <c r="I34" s="426"/>
      <c r="J34" s="426"/>
      <c r="K34" s="426"/>
      <c r="L34" s="426"/>
      <c r="M34" s="426"/>
      <c r="N34" s="426"/>
      <c r="O34" s="443" t="s">
        <v>697</v>
      </c>
      <c r="P34" s="444"/>
      <c r="Q34" s="445"/>
      <c r="R34" s="13"/>
      <c r="S34" s="13"/>
      <c r="T34" s="13"/>
      <c r="U34" s="13"/>
      <c r="V34" s="13"/>
      <c r="W34" s="13"/>
    </row>
    <row r="35" spans="2:24" ht="15" customHeight="1" x14ac:dyDescent="0.25">
      <c r="B35" s="441"/>
      <c r="C35" s="426" t="s">
        <v>658</v>
      </c>
      <c r="D35" s="426"/>
      <c r="E35" s="426"/>
      <c r="F35" s="426" t="s">
        <v>490</v>
      </c>
      <c r="G35" s="426"/>
      <c r="H35" s="426"/>
      <c r="I35" s="426" t="s">
        <v>4</v>
      </c>
      <c r="J35" s="426"/>
      <c r="K35" s="426"/>
      <c r="L35" s="426" t="s">
        <v>6</v>
      </c>
      <c r="M35" s="426"/>
      <c r="N35" s="426"/>
      <c r="O35" s="446"/>
      <c r="P35" s="447"/>
      <c r="Q35" s="448"/>
      <c r="R35" s="13"/>
      <c r="S35" s="13"/>
      <c r="T35" s="13"/>
      <c r="U35" s="13"/>
      <c r="V35" s="13"/>
      <c r="W35" s="13"/>
    </row>
    <row r="36" spans="2:24" x14ac:dyDescent="0.25">
      <c r="B36" s="441"/>
      <c r="C36" s="161" t="s">
        <v>76</v>
      </c>
      <c r="D36" s="161" t="s">
        <v>77</v>
      </c>
      <c r="E36" s="161" t="s">
        <v>28</v>
      </c>
      <c r="F36" s="161" t="s">
        <v>76</v>
      </c>
      <c r="G36" s="161" t="s">
        <v>77</v>
      </c>
      <c r="H36" s="161" t="s">
        <v>28</v>
      </c>
      <c r="I36" s="161" t="s">
        <v>76</v>
      </c>
      <c r="J36" s="161" t="s">
        <v>77</v>
      </c>
      <c r="K36" s="161" t="s">
        <v>28</v>
      </c>
      <c r="L36" s="161" t="s">
        <v>76</v>
      </c>
      <c r="M36" s="161" t="s">
        <v>77</v>
      </c>
      <c r="N36" s="161" t="s">
        <v>28</v>
      </c>
      <c r="O36" s="244" t="s">
        <v>76</v>
      </c>
      <c r="P36" s="244" t="s">
        <v>77</v>
      </c>
      <c r="Q36" s="244" t="s">
        <v>28</v>
      </c>
      <c r="R36" s="13"/>
      <c r="S36" s="13"/>
      <c r="T36" s="13"/>
      <c r="U36" s="13"/>
      <c r="V36" s="13"/>
      <c r="W36" s="13"/>
    </row>
    <row r="37" spans="2:24" x14ac:dyDescent="0.25">
      <c r="B37" s="157" t="s">
        <v>451</v>
      </c>
      <c r="C37" s="278">
        <v>61</v>
      </c>
      <c r="D37" s="278">
        <v>51</v>
      </c>
      <c r="E37" s="278">
        <v>112</v>
      </c>
      <c r="F37" s="278">
        <v>350</v>
      </c>
      <c r="G37" s="278">
        <v>306</v>
      </c>
      <c r="H37" s="278">
        <v>656</v>
      </c>
      <c r="I37" s="278">
        <v>52</v>
      </c>
      <c r="J37" s="278">
        <v>39</v>
      </c>
      <c r="K37" s="278">
        <v>91</v>
      </c>
      <c r="L37" s="278">
        <v>27</v>
      </c>
      <c r="M37" s="278">
        <v>35</v>
      </c>
      <c r="N37" s="278">
        <v>62</v>
      </c>
      <c r="O37" s="312">
        <v>490</v>
      </c>
      <c r="P37" s="312">
        <v>431</v>
      </c>
      <c r="Q37" s="312">
        <v>921</v>
      </c>
      <c r="R37" s="13"/>
      <c r="S37" s="13"/>
      <c r="T37" s="13"/>
      <c r="U37" s="13"/>
      <c r="V37" s="13"/>
      <c r="W37" s="13"/>
      <c r="X37" s="13"/>
    </row>
    <row r="38" spans="2:24" x14ac:dyDescent="0.25">
      <c r="B38" s="157" t="s">
        <v>452</v>
      </c>
      <c r="C38" s="278"/>
      <c r="D38" s="278"/>
      <c r="E38" s="278"/>
      <c r="F38" s="278">
        <v>1</v>
      </c>
      <c r="G38" s="278"/>
      <c r="H38" s="278">
        <v>1</v>
      </c>
      <c r="I38" s="278"/>
      <c r="J38" s="278"/>
      <c r="K38" s="278"/>
      <c r="L38" s="278"/>
      <c r="M38" s="278"/>
      <c r="N38" s="278"/>
      <c r="O38" s="312">
        <v>1</v>
      </c>
      <c r="P38" s="312"/>
      <c r="Q38" s="312">
        <v>1</v>
      </c>
      <c r="R38" s="13"/>
      <c r="S38" s="13"/>
      <c r="T38" s="13"/>
      <c r="U38" s="13"/>
      <c r="V38" s="13"/>
      <c r="W38" s="13"/>
      <c r="X38" s="13"/>
    </row>
    <row r="39" spans="2:24" x14ac:dyDescent="0.25">
      <c r="B39" s="136" t="s">
        <v>453</v>
      </c>
      <c r="C39" s="278"/>
      <c r="D39" s="278"/>
      <c r="E39" s="278"/>
      <c r="F39" s="278">
        <v>1</v>
      </c>
      <c r="G39" s="278"/>
      <c r="H39" s="278">
        <v>1</v>
      </c>
      <c r="I39" s="278"/>
      <c r="J39" s="278"/>
      <c r="K39" s="278"/>
      <c r="L39" s="278"/>
      <c r="M39" s="278"/>
      <c r="N39" s="278"/>
      <c r="O39" s="312">
        <v>1</v>
      </c>
      <c r="P39" s="312"/>
      <c r="Q39" s="312">
        <v>1</v>
      </c>
      <c r="R39" s="13"/>
      <c r="S39" s="13"/>
      <c r="T39" s="13"/>
      <c r="U39" s="13"/>
      <c r="V39" s="13"/>
      <c r="W39" s="13"/>
      <c r="X39" s="13"/>
    </row>
    <row r="40" spans="2:24" x14ac:dyDescent="0.25">
      <c r="B40" s="136" t="s">
        <v>454</v>
      </c>
      <c r="C40" s="278">
        <v>2</v>
      </c>
      <c r="D40" s="278">
        <v>1</v>
      </c>
      <c r="E40" s="278">
        <v>3</v>
      </c>
      <c r="F40" s="278">
        <v>3</v>
      </c>
      <c r="G40" s="278">
        <v>3</v>
      </c>
      <c r="H40" s="278">
        <v>6</v>
      </c>
      <c r="I40" s="278">
        <v>1</v>
      </c>
      <c r="J40" s="278"/>
      <c r="K40" s="278">
        <v>1</v>
      </c>
      <c r="L40" s="278"/>
      <c r="M40" s="278"/>
      <c r="N40" s="278"/>
      <c r="O40" s="312">
        <v>6</v>
      </c>
      <c r="P40" s="312">
        <v>4</v>
      </c>
      <c r="Q40" s="312">
        <v>10</v>
      </c>
      <c r="R40" s="13"/>
      <c r="S40" s="13"/>
      <c r="T40" s="13"/>
      <c r="U40" s="13"/>
      <c r="V40" s="13"/>
      <c r="W40" s="13"/>
      <c r="X40" s="13"/>
    </row>
    <row r="41" spans="2:24" x14ac:dyDescent="0.25">
      <c r="B41" s="311" t="s">
        <v>28</v>
      </c>
      <c r="C41" s="271">
        <v>63</v>
      </c>
      <c r="D41" s="271">
        <v>52</v>
      </c>
      <c r="E41" s="271">
        <v>115</v>
      </c>
      <c r="F41" s="271">
        <v>355</v>
      </c>
      <c r="G41" s="271">
        <v>309</v>
      </c>
      <c r="H41" s="269">
        <v>664</v>
      </c>
      <c r="I41" s="271">
        <v>53</v>
      </c>
      <c r="J41" s="269">
        <v>39</v>
      </c>
      <c r="K41" s="271">
        <v>92</v>
      </c>
      <c r="L41" s="269">
        <v>27</v>
      </c>
      <c r="M41" s="271">
        <v>35</v>
      </c>
      <c r="N41" s="269">
        <v>62</v>
      </c>
      <c r="O41" s="312">
        <v>498</v>
      </c>
      <c r="P41" s="312">
        <v>435</v>
      </c>
      <c r="Q41" s="312">
        <v>933</v>
      </c>
      <c r="R41" s="13"/>
      <c r="S41" s="13"/>
      <c r="T41" s="13"/>
      <c r="U41" s="13"/>
      <c r="V41" s="13"/>
      <c r="W41" s="13"/>
      <c r="X41" s="13"/>
    </row>
    <row r="42" spans="2:24" ht="103.5" customHeight="1" x14ac:dyDescent="0.25">
      <c r="B42" s="442" t="s">
        <v>814</v>
      </c>
      <c r="C42" s="442"/>
      <c r="D42" s="442"/>
      <c r="E42" s="442"/>
      <c r="F42" s="442"/>
      <c r="G42" s="442"/>
      <c r="H42" s="442"/>
      <c r="I42" s="442"/>
      <c r="J42" s="442"/>
      <c r="K42" s="442"/>
      <c r="L42" s="442"/>
      <c r="M42" s="442"/>
      <c r="N42" s="442"/>
      <c r="O42" s="442"/>
      <c r="P42" s="442"/>
      <c r="Q42" s="442"/>
      <c r="R42" s="13"/>
      <c r="S42" s="13"/>
      <c r="T42" s="13"/>
      <c r="U42" s="13"/>
      <c r="V42" s="13"/>
      <c r="W42" s="13"/>
    </row>
    <row r="43" spans="2:24" customFormat="1" x14ac:dyDescent="0.25">
      <c r="H43" s="228"/>
      <c r="I43" s="234"/>
      <c r="J43" s="141"/>
      <c r="K43" s="141"/>
      <c r="L43" s="141"/>
      <c r="M43" s="141"/>
      <c r="N43" s="141"/>
      <c r="O43" s="141"/>
      <c r="P43" s="142"/>
      <c r="Q43" s="228"/>
      <c r="R43" s="228"/>
      <c r="S43" s="228"/>
      <c r="T43" s="228"/>
      <c r="U43" s="228"/>
      <c r="V43" s="228"/>
      <c r="W43" s="228"/>
    </row>
    <row r="44" spans="2:24" customFormat="1" x14ac:dyDescent="0.25">
      <c r="B44" s="187" t="s">
        <v>510</v>
      </c>
      <c r="H44" s="228"/>
      <c r="I44" s="234"/>
      <c r="J44" s="141"/>
      <c r="K44" s="142"/>
      <c r="L44" s="142"/>
      <c r="M44" s="142"/>
      <c r="N44" s="142"/>
      <c r="O44" s="142"/>
      <c r="P44" s="142"/>
      <c r="Q44" s="228"/>
      <c r="R44" s="228"/>
      <c r="S44" s="228"/>
      <c r="T44" s="228"/>
      <c r="U44" s="228"/>
      <c r="V44" s="228"/>
      <c r="W44" s="228"/>
    </row>
    <row r="45" spans="2:24" customFormat="1" x14ac:dyDescent="0.25">
      <c r="B45" s="187"/>
      <c r="H45" s="228"/>
      <c r="I45" s="234"/>
      <c r="J45" s="141"/>
      <c r="K45" s="142"/>
      <c r="L45" s="142"/>
      <c r="M45" s="142"/>
      <c r="N45" s="142"/>
      <c r="O45" s="142"/>
      <c r="P45" s="142"/>
      <c r="Q45" s="228"/>
      <c r="R45" s="228"/>
      <c r="S45" s="228"/>
      <c r="T45" s="228"/>
      <c r="U45" s="228"/>
      <c r="V45" s="228"/>
      <c r="W45" s="228"/>
    </row>
    <row r="46" spans="2:24" customFormat="1" ht="15" customHeight="1" x14ac:dyDescent="0.25">
      <c r="B46" s="441" t="s">
        <v>537</v>
      </c>
      <c r="C46" s="426" t="s">
        <v>481</v>
      </c>
      <c r="D46" s="426"/>
      <c r="E46" s="426"/>
      <c r="F46" s="426"/>
      <c r="G46" s="426"/>
      <c r="H46" s="426"/>
      <c r="I46" s="426"/>
      <c r="J46" s="426"/>
      <c r="K46" s="426"/>
      <c r="L46" s="426"/>
      <c r="M46" s="426"/>
      <c r="N46" s="426"/>
      <c r="O46" s="443" t="s">
        <v>697</v>
      </c>
      <c r="P46" s="444"/>
      <c r="Q46" s="445"/>
      <c r="R46" s="228"/>
      <c r="S46" s="228"/>
      <c r="T46" s="228"/>
      <c r="U46" s="228"/>
      <c r="V46" s="228"/>
      <c r="W46" s="228"/>
    </row>
    <row r="47" spans="2:24" customFormat="1" ht="15" customHeight="1" x14ac:dyDescent="0.25">
      <c r="B47" s="441"/>
      <c r="C47" s="426" t="s">
        <v>658</v>
      </c>
      <c r="D47" s="426"/>
      <c r="E47" s="426"/>
      <c r="F47" s="426" t="s">
        <v>490</v>
      </c>
      <c r="G47" s="426"/>
      <c r="H47" s="426"/>
      <c r="I47" s="426" t="s">
        <v>4</v>
      </c>
      <c r="J47" s="426"/>
      <c r="K47" s="426"/>
      <c r="L47" s="426" t="s">
        <v>6</v>
      </c>
      <c r="M47" s="426"/>
      <c r="N47" s="426"/>
      <c r="O47" s="446"/>
      <c r="P47" s="447"/>
      <c r="Q47" s="448"/>
      <c r="R47" s="228"/>
      <c r="S47" s="228"/>
      <c r="T47" s="228"/>
      <c r="U47" s="228"/>
      <c r="V47" s="228"/>
      <c r="W47" s="228"/>
    </row>
    <row r="48" spans="2:24" customFormat="1" x14ac:dyDescent="0.25">
      <c r="B48" s="441"/>
      <c r="C48" s="161" t="s">
        <v>76</v>
      </c>
      <c r="D48" s="161" t="s">
        <v>77</v>
      </c>
      <c r="E48" s="161" t="s">
        <v>28</v>
      </c>
      <c r="F48" s="161" t="s">
        <v>76</v>
      </c>
      <c r="G48" s="161" t="s">
        <v>77</v>
      </c>
      <c r="H48" s="161" t="s">
        <v>28</v>
      </c>
      <c r="I48" s="161" t="s">
        <v>76</v>
      </c>
      <c r="J48" s="161" t="s">
        <v>77</v>
      </c>
      <c r="K48" s="161" t="s">
        <v>28</v>
      </c>
      <c r="L48" s="161" t="s">
        <v>76</v>
      </c>
      <c r="M48" s="161" t="s">
        <v>77</v>
      </c>
      <c r="N48" s="161" t="s">
        <v>28</v>
      </c>
      <c r="O48" s="244" t="s">
        <v>76</v>
      </c>
      <c r="P48" s="244" t="s">
        <v>77</v>
      </c>
      <c r="Q48" s="244" t="s">
        <v>28</v>
      </c>
      <c r="R48" s="228"/>
      <c r="S48" s="228"/>
      <c r="T48" s="228"/>
      <c r="U48" s="228"/>
      <c r="V48" s="228"/>
      <c r="W48" s="228"/>
      <c r="X48" s="228"/>
    </row>
    <row r="49" spans="2:24" customFormat="1" x14ac:dyDescent="0.25">
      <c r="B49" s="236" t="s">
        <v>135</v>
      </c>
      <c r="C49" s="277">
        <v>19</v>
      </c>
      <c r="D49" s="277">
        <v>8</v>
      </c>
      <c r="E49" s="277">
        <v>27</v>
      </c>
      <c r="F49" s="277">
        <v>97</v>
      </c>
      <c r="G49" s="277">
        <v>100</v>
      </c>
      <c r="H49" s="319">
        <v>197</v>
      </c>
      <c r="I49" s="277">
        <v>37</v>
      </c>
      <c r="J49" s="319">
        <v>14</v>
      </c>
      <c r="K49" s="277">
        <v>51</v>
      </c>
      <c r="L49" s="319">
        <v>11</v>
      </c>
      <c r="M49" s="277">
        <v>11</v>
      </c>
      <c r="N49" s="319">
        <v>22</v>
      </c>
      <c r="O49" s="316">
        <v>164</v>
      </c>
      <c r="P49" s="310">
        <v>133</v>
      </c>
      <c r="Q49" s="310">
        <v>297</v>
      </c>
      <c r="R49" s="228"/>
      <c r="S49" s="228"/>
      <c r="T49" s="228"/>
      <c r="U49" s="228"/>
      <c r="V49" s="228"/>
      <c r="W49" s="228"/>
      <c r="X49" s="228"/>
    </row>
    <row r="50" spans="2:24" customFormat="1" x14ac:dyDescent="0.25">
      <c r="B50" s="237" t="s">
        <v>141</v>
      </c>
      <c r="C50" s="277">
        <v>1</v>
      </c>
      <c r="D50" s="277"/>
      <c r="E50" s="277">
        <v>1</v>
      </c>
      <c r="F50" s="277">
        <v>2</v>
      </c>
      <c r="G50" s="277">
        <v>3</v>
      </c>
      <c r="H50" s="319">
        <v>5</v>
      </c>
      <c r="I50" s="277"/>
      <c r="J50" s="319"/>
      <c r="K50" s="277"/>
      <c r="L50" s="319"/>
      <c r="M50" s="277"/>
      <c r="N50" s="319"/>
      <c r="O50" s="316">
        <v>3</v>
      </c>
      <c r="P50" s="310">
        <v>3</v>
      </c>
      <c r="Q50" s="310">
        <v>6</v>
      </c>
      <c r="R50" s="228"/>
      <c r="S50" s="228"/>
      <c r="T50" s="228"/>
      <c r="U50" s="228"/>
      <c r="V50" s="228"/>
      <c r="W50" s="228"/>
      <c r="X50" s="228"/>
    </row>
    <row r="51" spans="2:24" customFormat="1" x14ac:dyDescent="0.25">
      <c r="B51" s="237" t="s">
        <v>136</v>
      </c>
      <c r="C51" s="277"/>
      <c r="D51" s="277"/>
      <c r="E51" s="277"/>
      <c r="F51" s="277">
        <v>2</v>
      </c>
      <c r="G51" s="277"/>
      <c r="H51" s="319">
        <v>2</v>
      </c>
      <c r="I51" s="277"/>
      <c r="J51" s="319">
        <v>1</v>
      </c>
      <c r="K51" s="277">
        <v>1</v>
      </c>
      <c r="L51" s="319"/>
      <c r="M51" s="277"/>
      <c r="N51" s="319"/>
      <c r="O51" s="316">
        <v>2</v>
      </c>
      <c r="P51" s="310">
        <v>1</v>
      </c>
      <c r="Q51" s="310">
        <v>3</v>
      </c>
      <c r="R51" s="228"/>
      <c r="S51" s="228"/>
      <c r="T51" s="228"/>
      <c r="U51" s="228"/>
      <c r="V51" s="228"/>
      <c r="W51" s="228"/>
      <c r="X51" s="228"/>
    </row>
    <row r="52" spans="2:24" customFormat="1" x14ac:dyDescent="0.25">
      <c r="B52" s="237" t="s">
        <v>137</v>
      </c>
      <c r="C52" s="277">
        <v>2</v>
      </c>
      <c r="D52" s="277"/>
      <c r="E52" s="277">
        <v>2</v>
      </c>
      <c r="F52" s="277">
        <v>2</v>
      </c>
      <c r="G52" s="277">
        <v>2</v>
      </c>
      <c r="H52" s="319">
        <v>4</v>
      </c>
      <c r="I52" s="277"/>
      <c r="J52" s="319"/>
      <c r="K52" s="277"/>
      <c r="L52" s="319"/>
      <c r="M52" s="277"/>
      <c r="N52" s="319"/>
      <c r="O52" s="316">
        <v>4</v>
      </c>
      <c r="P52" s="310">
        <v>2</v>
      </c>
      <c r="Q52" s="310">
        <v>6</v>
      </c>
      <c r="R52" s="228"/>
      <c r="S52" s="228"/>
      <c r="T52" s="228"/>
      <c r="U52" s="228"/>
      <c r="V52" s="228"/>
      <c r="W52" s="228"/>
      <c r="X52" s="228"/>
    </row>
    <row r="53" spans="2:24" customFormat="1" x14ac:dyDescent="0.25">
      <c r="B53" s="238" t="s">
        <v>138</v>
      </c>
      <c r="C53" s="277">
        <v>32</v>
      </c>
      <c r="D53" s="277">
        <v>29</v>
      </c>
      <c r="E53" s="277">
        <v>61</v>
      </c>
      <c r="F53" s="277">
        <v>291</v>
      </c>
      <c r="G53" s="277">
        <v>275</v>
      </c>
      <c r="H53" s="319">
        <v>566</v>
      </c>
      <c r="I53" s="277">
        <v>41</v>
      </c>
      <c r="J53" s="319">
        <v>11</v>
      </c>
      <c r="K53" s="277">
        <v>52</v>
      </c>
      <c r="L53" s="319">
        <v>18</v>
      </c>
      <c r="M53" s="277">
        <v>23</v>
      </c>
      <c r="N53" s="319">
        <v>41</v>
      </c>
      <c r="O53" s="316">
        <v>382</v>
      </c>
      <c r="P53" s="310">
        <v>338</v>
      </c>
      <c r="Q53" s="310">
        <v>720</v>
      </c>
      <c r="R53" s="228"/>
      <c r="S53" s="228"/>
      <c r="T53" s="228"/>
      <c r="U53" s="228"/>
      <c r="V53" s="228"/>
      <c r="W53" s="228"/>
      <c r="X53" s="228"/>
    </row>
    <row r="54" spans="2:24" customFormat="1" x14ac:dyDescent="0.25">
      <c r="B54" s="176" t="s">
        <v>139</v>
      </c>
      <c r="C54" s="277">
        <v>5</v>
      </c>
      <c r="D54" s="277">
        <v>2</v>
      </c>
      <c r="E54" s="277">
        <v>7</v>
      </c>
      <c r="F54" s="277">
        <v>10</v>
      </c>
      <c r="G54" s="277">
        <v>11</v>
      </c>
      <c r="H54" s="319">
        <v>21</v>
      </c>
      <c r="I54" s="277">
        <v>1</v>
      </c>
      <c r="J54" s="319"/>
      <c r="K54" s="277">
        <v>1</v>
      </c>
      <c r="L54" s="319">
        <v>1</v>
      </c>
      <c r="M54" s="277"/>
      <c r="N54" s="319">
        <v>1</v>
      </c>
      <c r="O54" s="316">
        <v>17</v>
      </c>
      <c r="P54" s="310">
        <v>13</v>
      </c>
      <c r="Q54" s="310">
        <v>30</v>
      </c>
      <c r="R54" s="228"/>
      <c r="S54" s="228"/>
      <c r="T54" s="228"/>
      <c r="U54" s="228"/>
      <c r="V54" s="228"/>
      <c r="W54" s="228"/>
      <c r="X54" s="228"/>
    </row>
    <row r="55" spans="2:24" customFormat="1" x14ac:dyDescent="0.25">
      <c r="B55" s="176" t="s">
        <v>140</v>
      </c>
      <c r="C55" s="277">
        <v>1</v>
      </c>
      <c r="D55" s="277">
        <v>5</v>
      </c>
      <c r="E55" s="277">
        <v>6</v>
      </c>
      <c r="F55" s="277">
        <v>18</v>
      </c>
      <c r="G55" s="277">
        <v>25</v>
      </c>
      <c r="H55" s="319">
        <v>43</v>
      </c>
      <c r="I55" s="277">
        <v>2</v>
      </c>
      <c r="J55" s="319">
        <v>2</v>
      </c>
      <c r="K55" s="277">
        <v>4</v>
      </c>
      <c r="L55" s="319">
        <v>2</v>
      </c>
      <c r="M55" s="277">
        <v>3</v>
      </c>
      <c r="N55" s="319">
        <v>5</v>
      </c>
      <c r="O55" s="316">
        <v>23</v>
      </c>
      <c r="P55" s="310">
        <v>35</v>
      </c>
      <c r="Q55" s="310">
        <v>58</v>
      </c>
      <c r="R55" s="228"/>
      <c r="S55" s="228"/>
      <c r="T55" s="228"/>
      <c r="U55" s="228"/>
      <c r="V55" s="228"/>
      <c r="W55" s="228"/>
      <c r="X55" s="228"/>
    </row>
    <row r="56" spans="2:24" customFormat="1" x14ac:dyDescent="0.25">
      <c r="B56" s="311" t="s">
        <v>28</v>
      </c>
      <c r="C56" s="271">
        <v>60</v>
      </c>
      <c r="D56" s="271">
        <v>44</v>
      </c>
      <c r="E56" s="271">
        <v>104</v>
      </c>
      <c r="F56" s="271">
        <v>422</v>
      </c>
      <c r="G56" s="271">
        <v>416</v>
      </c>
      <c r="H56" s="320">
        <v>838</v>
      </c>
      <c r="I56" s="271">
        <v>81</v>
      </c>
      <c r="J56" s="320">
        <v>28</v>
      </c>
      <c r="K56" s="271">
        <v>109</v>
      </c>
      <c r="L56" s="320">
        <v>32</v>
      </c>
      <c r="M56" s="271">
        <v>37</v>
      </c>
      <c r="N56" s="320">
        <v>69</v>
      </c>
      <c r="O56" s="316">
        <v>595</v>
      </c>
      <c r="P56" s="310">
        <v>525</v>
      </c>
      <c r="Q56" s="310">
        <v>1120</v>
      </c>
      <c r="R56" s="228"/>
      <c r="S56" s="228"/>
      <c r="T56" s="228"/>
      <c r="U56" s="228"/>
      <c r="V56" s="228"/>
      <c r="W56" s="228"/>
      <c r="X56" s="228"/>
    </row>
    <row r="57" spans="2:24" customFormat="1" ht="101.25" customHeight="1" x14ac:dyDescent="0.25">
      <c r="B57" s="442" t="s">
        <v>814</v>
      </c>
      <c r="C57" s="442"/>
      <c r="D57" s="442"/>
      <c r="E57" s="442"/>
      <c r="F57" s="442"/>
      <c r="G57" s="442"/>
      <c r="H57" s="442"/>
      <c r="I57" s="442"/>
      <c r="J57" s="442"/>
      <c r="K57" s="442"/>
      <c r="L57" s="442"/>
      <c r="M57" s="442"/>
      <c r="N57" s="442"/>
      <c r="O57" s="442"/>
      <c r="P57" s="442"/>
      <c r="Q57" s="442"/>
      <c r="R57" s="228"/>
      <c r="S57" s="228"/>
      <c r="T57" s="228"/>
      <c r="U57" s="228"/>
      <c r="V57" s="228"/>
      <c r="W57" s="228"/>
    </row>
    <row r="58" spans="2:24" customFormat="1" x14ac:dyDescent="0.25">
      <c r="B58" s="158"/>
      <c r="C58" s="158"/>
      <c r="D58" s="158"/>
      <c r="H58" s="228"/>
      <c r="I58" s="228"/>
      <c r="J58" s="228"/>
      <c r="K58" s="228"/>
      <c r="L58" s="228"/>
      <c r="M58" s="228"/>
      <c r="N58" s="228"/>
      <c r="O58" s="228"/>
      <c r="P58" s="228"/>
      <c r="Q58" s="228"/>
      <c r="R58" s="228"/>
      <c r="S58" s="228"/>
      <c r="T58" s="228"/>
      <c r="U58" s="228"/>
      <c r="V58" s="228"/>
      <c r="W58" s="228"/>
    </row>
    <row r="59" spans="2:24" customFormat="1" x14ac:dyDescent="0.25">
      <c r="B59" s="187" t="s">
        <v>511</v>
      </c>
      <c r="H59" s="228"/>
      <c r="I59" s="228"/>
      <c r="J59" s="228"/>
      <c r="K59" s="228"/>
      <c r="L59" s="228"/>
      <c r="M59" s="228"/>
      <c r="N59" s="228"/>
      <c r="O59" s="228"/>
      <c r="P59" s="228"/>
      <c r="Q59" s="228"/>
      <c r="R59" s="228"/>
      <c r="S59" s="228"/>
      <c r="T59" s="228"/>
      <c r="U59" s="228"/>
      <c r="V59" s="228"/>
      <c r="W59" s="228"/>
    </row>
    <row r="60" spans="2:24" customFormat="1" x14ac:dyDescent="0.25">
      <c r="B60" s="187"/>
      <c r="H60" s="228"/>
      <c r="I60" s="228"/>
      <c r="J60" s="228"/>
      <c r="K60" s="228"/>
      <c r="L60" s="228"/>
      <c r="M60" s="228"/>
      <c r="N60" s="228"/>
      <c r="O60" s="228"/>
      <c r="P60" s="228"/>
      <c r="Q60" s="228"/>
      <c r="R60" s="228"/>
      <c r="S60" s="228"/>
      <c r="T60" s="228"/>
      <c r="U60" s="228"/>
      <c r="V60" s="228"/>
      <c r="W60" s="228"/>
    </row>
    <row r="61" spans="2:24" customFormat="1" ht="15" customHeight="1" x14ac:dyDescent="0.25">
      <c r="B61" s="441" t="s">
        <v>537</v>
      </c>
      <c r="C61" s="426" t="s">
        <v>481</v>
      </c>
      <c r="D61" s="426"/>
      <c r="E61" s="426"/>
      <c r="F61" s="426"/>
      <c r="G61" s="426"/>
      <c r="H61" s="426"/>
      <c r="I61" s="426"/>
      <c r="J61" s="426"/>
      <c r="K61" s="426"/>
      <c r="L61" s="426"/>
      <c r="M61" s="426"/>
      <c r="N61" s="426"/>
      <c r="O61" s="443" t="s">
        <v>697</v>
      </c>
      <c r="P61" s="444"/>
      <c r="Q61" s="445"/>
      <c r="R61" s="228"/>
      <c r="S61" s="228"/>
      <c r="T61" s="228"/>
      <c r="U61" s="228"/>
      <c r="V61" s="228"/>
      <c r="W61" s="228"/>
    </row>
    <row r="62" spans="2:24" customFormat="1" ht="15" customHeight="1" x14ac:dyDescent="0.25">
      <c r="B62" s="441"/>
      <c r="C62" s="426" t="s">
        <v>658</v>
      </c>
      <c r="D62" s="426"/>
      <c r="E62" s="426"/>
      <c r="F62" s="426" t="s">
        <v>490</v>
      </c>
      <c r="G62" s="426"/>
      <c r="H62" s="426"/>
      <c r="I62" s="426" t="s">
        <v>4</v>
      </c>
      <c r="J62" s="426"/>
      <c r="K62" s="426"/>
      <c r="L62" s="426" t="s">
        <v>6</v>
      </c>
      <c r="M62" s="426"/>
      <c r="N62" s="426"/>
      <c r="O62" s="446"/>
      <c r="P62" s="447"/>
      <c r="Q62" s="448"/>
      <c r="R62" s="228"/>
      <c r="S62" s="228"/>
      <c r="T62" s="228"/>
      <c r="U62" s="228"/>
      <c r="V62" s="228"/>
      <c r="W62" s="228"/>
    </row>
    <row r="63" spans="2:24" customFormat="1" x14ac:dyDescent="0.25">
      <c r="B63" s="441"/>
      <c r="C63" s="161" t="s">
        <v>76</v>
      </c>
      <c r="D63" s="161" t="s">
        <v>77</v>
      </c>
      <c r="E63" s="161" t="s">
        <v>28</v>
      </c>
      <c r="F63" s="161" t="s">
        <v>76</v>
      </c>
      <c r="G63" s="161" t="s">
        <v>77</v>
      </c>
      <c r="H63" s="161" t="s">
        <v>28</v>
      </c>
      <c r="I63" s="161" t="s">
        <v>76</v>
      </c>
      <c r="J63" s="161" t="s">
        <v>77</v>
      </c>
      <c r="K63" s="161" t="s">
        <v>28</v>
      </c>
      <c r="L63" s="161" t="s">
        <v>76</v>
      </c>
      <c r="M63" s="161" t="s">
        <v>77</v>
      </c>
      <c r="N63" s="161" t="s">
        <v>28</v>
      </c>
      <c r="O63" s="244" t="s">
        <v>76</v>
      </c>
      <c r="P63" s="244" t="s">
        <v>77</v>
      </c>
      <c r="Q63" s="244" t="s">
        <v>28</v>
      </c>
      <c r="R63" s="228"/>
      <c r="S63" s="228"/>
      <c r="T63" s="228"/>
      <c r="U63" s="228"/>
      <c r="V63" s="228"/>
      <c r="W63" s="228"/>
    </row>
    <row r="64" spans="2:24" customFormat="1" x14ac:dyDescent="0.25">
      <c r="B64" s="157" t="s">
        <v>143</v>
      </c>
      <c r="C64" s="278">
        <v>61</v>
      </c>
      <c r="D64" s="278">
        <v>47</v>
      </c>
      <c r="E64" s="278">
        <v>108</v>
      </c>
      <c r="F64" s="278">
        <v>528</v>
      </c>
      <c r="G64" s="278">
        <v>464</v>
      </c>
      <c r="H64" s="278">
        <v>992</v>
      </c>
      <c r="I64" s="278">
        <v>70</v>
      </c>
      <c r="J64" s="278">
        <v>30</v>
      </c>
      <c r="K64" s="278">
        <v>100</v>
      </c>
      <c r="L64" s="278">
        <v>15</v>
      </c>
      <c r="M64" s="278">
        <v>33</v>
      </c>
      <c r="N64" s="278">
        <v>48</v>
      </c>
      <c r="O64" s="312">
        <v>674</v>
      </c>
      <c r="P64" s="312">
        <v>574</v>
      </c>
      <c r="Q64" s="312">
        <v>1248</v>
      </c>
      <c r="R64" s="228"/>
      <c r="S64" s="228"/>
      <c r="T64" s="228"/>
      <c r="U64" s="228"/>
      <c r="V64" s="228"/>
      <c r="W64" s="228"/>
    </row>
    <row r="65" spans="2:23" customFormat="1" x14ac:dyDescent="0.25">
      <c r="B65" s="157" t="s">
        <v>144</v>
      </c>
      <c r="C65" s="278">
        <v>27</v>
      </c>
      <c r="D65" s="278">
        <v>14</v>
      </c>
      <c r="E65" s="278">
        <v>41</v>
      </c>
      <c r="F65" s="278">
        <v>215</v>
      </c>
      <c r="G65" s="278">
        <v>256</v>
      </c>
      <c r="H65" s="278">
        <v>471</v>
      </c>
      <c r="I65" s="278">
        <v>28</v>
      </c>
      <c r="J65" s="278">
        <v>6</v>
      </c>
      <c r="K65" s="278">
        <v>34</v>
      </c>
      <c r="L65" s="278">
        <v>4</v>
      </c>
      <c r="M65" s="278">
        <v>9</v>
      </c>
      <c r="N65" s="278">
        <v>13</v>
      </c>
      <c r="O65" s="312">
        <v>274</v>
      </c>
      <c r="P65" s="312">
        <v>285</v>
      </c>
      <c r="Q65" s="312">
        <v>559</v>
      </c>
      <c r="R65" s="228"/>
      <c r="S65" s="228"/>
      <c r="T65" s="228"/>
      <c r="U65" s="228"/>
      <c r="V65" s="228"/>
      <c r="W65" s="228"/>
    </row>
    <row r="66" spans="2:23" customFormat="1" x14ac:dyDescent="0.25">
      <c r="B66" s="136" t="s">
        <v>145</v>
      </c>
      <c r="C66" s="276">
        <v>1</v>
      </c>
      <c r="D66" s="276">
        <v>1</v>
      </c>
      <c r="E66" s="276">
        <v>2</v>
      </c>
      <c r="F66" s="276">
        <v>6</v>
      </c>
      <c r="G66" s="276">
        <v>7</v>
      </c>
      <c r="H66" s="276">
        <v>13</v>
      </c>
      <c r="I66" s="276">
        <v>1</v>
      </c>
      <c r="J66" s="276"/>
      <c r="K66" s="276">
        <v>1</v>
      </c>
      <c r="L66" s="276"/>
      <c r="M66" s="276"/>
      <c r="N66" s="276"/>
      <c r="O66" s="312">
        <v>8</v>
      </c>
      <c r="P66" s="312">
        <v>8</v>
      </c>
      <c r="Q66" s="312">
        <v>16</v>
      </c>
      <c r="R66" s="228"/>
      <c r="S66" s="228"/>
      <c r="T66" s="228"/>
      <c r="U66" s="228"/>
      <c r="V66" s="228"/>
      <c r="W66" s="228"/>
    </row>
    <row r="67" spans="2:23" customFormat="1" x14ac:dyDescent="0.25">
      <c r="B67" s="136" t="s">
        <v>146</v>
      </c>
      <c r="C67" s="276">
        <v>2</v>
      </c>
      <c r="D67" s="276">
        <v>1</v>
      </c>
      <c r="E67" s="276">
        <v>3</v>
      </c>
      <c r="F67" s="276">
        <v>10</v>
      </c>
      <c r="G67" s="276">
        <v>21</v>
      </c>
      <c r="H67" s="276">
        <v>31</v>
      </c>
      <c r="I67" s="276">
        <v>3</v>
      </c>
      <c r="J67" s="276">
        <v>5</v>
      </c>
      <c r="K67" s="276">
        <v>8</v>
      </c>
      <c r="L67" s="276"/>
      <c r="M67" s="276"/>
      <c r="N67" s="276"/>
      <c r="O67" s="312">
        <v>15</v>
      </c>
      <c r="P67" s="312">
        <v>27</v>
      </c>
      <c r="Q67" s="312">
        <v>42</v>
      </c>
      <c r="R67" s="228"/>
      <c r="S67" s="228"/>
      <c r="T67" s="228"/>
      <c r="U67" s="228"/>
      <c r="V67" s="228"/>
      <c r="W67" s="228"/>
    </row>
    <row r="68" spans="2:23" customFormat="1" x14ac:dyDescent="0.25">
      <c r="B68" s="136" t="s">
        <v>147</v>
      </c>
      <c r="C68" s="276"/>
      <c r="D68" s="276"/>
      <c r="E68" s="276"/>
      <c r="F68" s="276">
        <v>1</v>
      </c>
      <c r="G68" s="276">
        <v>1</v>
      </c>
      <c r="H68" s="276">
        <v>2</v>
      </c>
      <c r="I68" s="276"/>
      <c r="J68" s="276"/>
      <c r="K68" s="276"/>
      <c r="L68" s="276"/>
      <c r="M68" s="276"/>
      <c r="N68" s="276"/>
      <c r="O68" s="312">
        <v>1</v>
      </c>
      <c r="P68" s="312">
        <v>1</v>
      </c>
      <c r="Q68" s="312">
        <v>2</v>
      </c>
      <c r="R68" s="228"/>
      <c r="S68" s="228"/>
      <c r="T68" s="228"/>
      <c r="U68" s="228"/>
      <c r="V68" s="228"/>
      <c r="W68" s="228"/>
    </row>
    <row r="69" spans="2:23" x14ac:dyDescent="0.25">
      <c r="B69" s="136" t="s">
        <v>148</v>
      </c>
      <c r="C69" s="276">
        <v>2</v>
      </c>
      <c r="D69" s="276"/>
      <c r="E69" s="276">
        <v>2</v>
      </c>
      <c r="F69" s="276">
        <v>11</v>
      </c>
      <c r="G69" s="276">
        <v>11</v>
      </c>
      <c r="H69" s="276">
        <v>22</v>
      </c>
      <c r="I69" s="276">
        <v>1</v>
      </c>
      <c r="J69" s="276">
        <v>1</v>
      </c>
      <c r="K69" s="276">
        <v>2</v>
      </c>
      <c r="L69" s="276"/>
      <c r="M69" s="276">
        <v>1</v>
      </c>
      <c r="N69" s="276">
        <v>1</v>
      </c>
      <c r="O69" s="312">
        <v>14</v>
      </c>
      <c r="P69" s="312">
        <v>13</v>
      </c>
      <c r="Q69" s="312">
        <v>27</v>
      </c>
      <c r="R69" s="13"/>
      <c r="S69" s="13"/>
      <c r="T69" s="13"/>
      <c r="U69" s="13"/>
      <c r="V69" s="13"/>
      <c r="W69" s="13"/>
    </row>
    <row r="70" spans="2:23" x14ac:dyDescent="0.25">
      <c r="B70" s="136" t="s">
        <v>149</v>
      </c>
      <c r="C70" s="276">
        <v>1</v>
      </c>
      <c r="D70" s="276"/>
      <c r="E70" s="276">
        <v>1</v>
      </c>
      <c r="F70" s="276">
        <v>1</v>
      </c>
      <c r="G70" s="276">
        <v>2</v>
      </c>
      <c r="H70" s="276">
        <v>3</v>
      </c>
      <c r="I70" s="276"/>
      <c r="J70" s="276"/>
      <c r="K70" s="276"/>
      <c r="L70" s="276"/>
      <c r="M70" s="276"/>
      <c r="N70" s="276"/>
      <c r="O70" s="312">
        <v>2</v>
      </c>
      <c r="P70" s="312">
        <v>2</v>
      </c>
      <c r="Q70" s="312">
        <v>4</v>
      </c>
      <c r="R70" s="13"/>
      <c r="S70" s="13"/>
      <c r="T70" s="13"/>
      <c r="U70" s="13"/>
      <c r="V70" s="13"/>
      <c r="W70" s="13"/>
    </row>
    <row r="71" spans="2:23" x14ac:dyDescent="0.25">
      <c r="B71" s="136" t="s">
        <v>150</v>
      </c>
      <c r="C71" s="276">
        <v>2</v>
      </c>
      <c r="D71" s="276">
        <v>4</v>
      </c>
      <c r="E71" s="276">
        <v>6</v>
      </c>
      <c r="F71" s="276">
        <v>23</v>
      </c>
      <c r="G71" s="276">
        <v>16</v>
      </c>
      <c r="H71" s="276">
        <v>39</v>
      </c>
      <c r="I71" s="276">
        <v>10</v>
      </c>
      <c r="J71" s="276">
        <v>1</v>
      </c>
      <c r="K71" s="276">
        <v>11</v>
      </c>
      <c r="L71" s="276">
        <v>1</v>
      </c>
      <c r="M71" s="276">
        <v>1</v>
      </c>
      <c r="N71" s="276">
        <v>2</v>
      </c>
      <c r="O71" s="312">
        <v>36</v>
      </c>
      <c r="P71" s="312">
        <v>22</v>
      </c>
      <c r="Q71" s="312">
        <v>58</v>
      </c>
      <c r="R71" s="13"/>
      <c r="S71" s="13"/>
      <c r="T71" s="13"/>
      <c r="U71" s="13"/>
      <c r="V71" s="13"/>
      <c r="W71" s="13"/>
    </row>
    <row r="72" spans="2:23" x14ac:dyDescent="0.25">
      <c r="B72" s="136" t="s">
        <v>151</v>
      </c>
      <c r="C72" s="276">
        <v>9</v>
      </c>
      <c r="D72" s="276">
        <v>5</v>
      </c>
      <c r="E72" s="276">
        <v>14</v>
      </c>
      <c r="F72" s="276">
        <v>41</v>
      </c>
      <c r="G72" s="276">
        <v>34</v>
      </c>
      <c r="H72" s="276">
        <v>75</v>
      </c>
      <c r="I72" s="276">
        <v>8</v>
      </c>
      <c r="J72" s="276">
        <v>5</v>
      </c>
      <c r="K72" s="276">
        <v>13</v>
      </c>
      <c r="L72" s="276"/>
      <c r="M72" s="276"/>
      <c r="N72" s="276"/>
      <c r="O72" s="312">
        <v>58</v>
      </c>
      <c r="P72" s="312">
        <v>44</v>
      </c>
      <c r="Q72" s="312">
        <v>102</v>
      </c>
      <c r="R72" s="13"/>
      <c r="S72" s="13"/>
      <c r="T72" s="13"/>
      <c r="U72" s="13"/>
      <c r="V72" s="13"/>
      <c r="W72" s="13"/>
    </row>
    <row r="73" spans="2:23" x14ac:dyDescent="0.25">
      <c r="B73" s="311" t="s">
        <v>28</v>
      </c>
      <c r="C73" s="271">
        <v>105</v>
      </c>
      <c r="D73" s="271">
        <v>72</v>
      </c>
      <c r="E73" s="271">
        <v>177</v>
      </c>
      <c r="F73" s="271">
        <v>836</v>
      </c>
      <c r="G73" s="271">
        <v>812</v>
      </c>
      <c r="H73" s="269">
        <v>1648</v>
      </c>
      <c r="I73" s="271">
        <v>121</v>
      </c>
      <c r="J73" s="269">
        <v>48</v>
      </c>
      <c r="K73" s="271">
        <v>169</v>
      </c>
      <c r="L73" s="269">
        <v>20</v>
      </c>
      <c r="M73" s="271">
        <v>44</v>
      </c>
      <c r="N73" s="269">
        <v>64</v>
      </c>
      <c r="O73" s="312">
        <v>1082</v>
      </c>
      <c r="P73" s="312">
        <v>976</v>
      </c>
      <c r="Q73" s="312">
        <v>2058</v>
      </c>
      <c r="R73" s="13"/>
      <c r="S73" s="13"/>
      <c r="T73" s="13"/>
      <c r="U73" s="13"/>
      <c r="V73" s="13"/>
      <c r="W73" s="13"/>
    </row>
    <row r="74" spans="2:23" ht="105" customHeight="1" x14ac:dyDescent="0.25">
      <c r="B74" s="442" t="s">
        <v>814</v>
      </c>
      <c r="C74" s="442"/>
      <c r="D74" s="442"/>
      <c r="E74" s="442"/>
      <c r="F74" s="442"/>
      <c r="G74" s="442"/>
      <c r="H74" s="442"/>
      <c r="I74" s="442"/>
      <c r="J74" s="442"/>
      <c r="K74" s="442"/>
      <c r="L74" s="442"/>
      <c r="M74" s="442"/>
      <c r="N74" s="442"/>
      <c r="O74" s="442"/>
      <c r="P74" s="442"/>
      <c r="Q74" s="442"/>
      <c r="R74" s="13"/>
      <c r="S74" s="13"/>
      <c r="T74" s="13"/>
      <c r="U74" s="13"/>
      <c r="V74" s="13"/>
      <c r="W74" s="13"/>
    </row>
    <row r="75" spans="2:23" x14ac:dyDescent="0.25">
      <c r="B75" s="158"/>
      <c r="C75" s="158"/>
      <c r="D75" s="158"/>
      <c r="E75"/>
      <c r="F75"/>
      <c r="G75"/>
      <c r="H75" s="13"/>
      <c r="I75" s="13"/>
      <c r="J75" s="13"/>
      <c r="K75" s="13"/>
      <c r="L75" s="13"/>
      <c r="M75" s="13"/>
      <c r="N75" s="13"/>
      <c r="O75" s="13"/>
      <c r="P75" s="13"/>
      <c r="Q75" s="13"/>
      <c r="R75" s="13"/>
      <c r="S75" s="13"/>
      <c r="T75" s="13"/>
      <c r="U75" s="13"/>
      <c r="V75" s="13"/>
      <c r="W75" s="13"/>
    </row>
    <row r="76" spans="2:23" x14ac:dyDescent="0.25">
      <c r="B76" s="187" t="s">
        <v>512</v>
      </c>
      <c r="C76"/>
      <c r="D76"/>
      <c r="E76"/>
      <c r="F76"/>
      <c r="G76"/>
      <c r="H76" s="13"/>
      <c r="I76" s="13"/>
      <c r="J76" s="13"/>
      <c r="K76" s="13"/>
      <c r="L76" s="13"/>
      <c r="M76" s="13"/>
      <c r="N76" s="13"/>
      <c r="O76" s="13"/>
      <c r="P76" s="13"/>
      <c r="Q76" s="13"/>
      <c r="R76" s="13"/>
      <c r="S76" s="13"/>
      <c r="T76" s="13"/>
      <c r="U76" s="13"/>
      <c r="V76" s="13"/>
      <c r="W76" s="13"/>
    </row>
    <row r="77" spans="2:23" x14ac:dyDescent="0.25">
      <c r="B77" s="187"/>
      <c r="C77"/>
      <c r="D77"/>
      <c r="E77"/>
      <c r="F77"/>
      <c r="G77"/>
      <c r="H77" s="13"/>
      <c r="I77" s="13"/>
      <c r="J77" s="13"/>
      <c r="K77" s="13"/>
      <c r="L77" s="13"/>
      <c r="M77" s="13"/>
      <c r="N77" s="13"/>
      <c r="O77" s="13"/>
      <c r="P77" s="13"/>
      <c r="Q77" s="13"/>
      <c r="R77" s="13"/>
      <c r="S77" s="13"/>
      <c r="T77" s="13"/>
      <c r="U77" s="13"/>
      <c r="V77" s="13"/>
      <c r="W77" s="13"/>
    </row>
    <row r="78" spans="2:23" ht="15" customHeight="1" x14ac:dyDescent="0.25">
      <c r="B78" s="441" t="s">
        <v>537</v>
      </c>
      <c r="C78" s="426" t="s">
        <v>481</v>
      </c>
      <c r="D78" s="426"/>
      <c r="E78" s="426"/>
      <c r="F78" s="426"/>
      <c r="G78" s="426"/>
      <c r="H78" s="426"/>
      <c r="I78" s="426"/>
      <c r="J78" s="426"/>
      <c r="K78" s="426"/>
      <c r="L78" s="426"/>
      <c r="M78" s="426"/>
      <c r="N78" s="426"/>
      <c r="O78" s="443" t="s">
        <v>697</v>
      </c>
      <c r="P78" s="444"/>
      <c r="Q78" s="445"/>
      <c r="R78" s="13"/>
      <c r="S78" s="13"/>
      <c r="T78" s="13"/>
      <c r="U78" s="13"/>
      <c r="V78" s="13"/>
      <c r="W78" s="13"/>
    </row>
    <row r="79" spans="2:23" ht="15" customHeight="1" x14ac:dyDescent="0.25">
      <c r="B79" s="441"/>
      <c r="C79" s="426" t="s">
        <v>658</v>
      </c>
      <c r="D79" s="426"/>
      <c r="E79" s="426"/>
      <c r="F79" s="426" t="s">
        <v>490</v>
      </c>
      <c r="G79" s="426"/>
      <c r="H79" s="426"/>
      <c r="I79" s="426" t="s">
        <v>4</v>
      </c>
      <c r="J79" s="426"/>
      <c r="K79" s="426"/>
      <c r="L79" s="426" t="s">
        <v>6</v>
      </c>
      <c r="M79" s="426"/>
      <c r="N79" s="426"/>
      <c r="O79" s="446"/>
      <c r="P79" s="447"/>
      <c r="Q79" s="448"/>
      <c r="R79" s="13"/>
      <c r="S79" s="13"/>
      <c r="T79" s="13"/>
      <c r="U79" s="13"/>
      <c r="V79" s="13"/>
      <c r="W79" s="13"/>
    </row>
    <row r="80" spans="2:23" x14ac:dyDescent="0.25">
      <c r="B80" s="441"/>
      <c r="C80" s="161" t="s">
        <v>76</v>
      </c>
      <c r="D80" s="161" t="s">
        <v>77</v>
      </c>
      <c r="E80" s="161" t="s">
        <v>28</v>
      </c>
      <c r="F80" s="161" t="s">
        <v>76</v>
      </c>
      <c r="G80" s="161" t="s">
        <v>77</v>
      </c>
      <c r="H80" s="161" t="s">
        <v>28</v>
      </c>
      <c r="I80" s="161" t="s">
        <v>76</v>
      </c>
      <c r="J80" s="161" t="s">
        <v>77</v>
      </c>
      <c r="K80" s="161" t="s">
        <v>28</v>
      </c>
      <c r="L80" s="161" t="s">
        <v>76</v>
      </c>
      <c r="M80" s="161" t="s">
        <v>77</v>
      </c>
      <c r="N80" s="161" t="s">
        <v>28</v>
      </c>
      <c r="O80" s="244" t="s">
        <v>76</v>
      </c>
      <c r="P80" s="244" t="s">
        <v>77</v>
      </c>
      <c r="Q80" s="244" t="s">
        <v>28</v>
      </c>
      <c r="R80" s="13"/>
      <c r="S80" s="13"/>
      <c r="T80" s="13"/>
      <c r="U80" s="13"/>
      <c r="V80" s="13"/>
      <c r="W80" s="13"/>
    </row>
    <row r="81" spans="2:23" x14ac:dyDescent="0.25">
      <c r="B81" s="136" t="s">
        <v>152</v>
      </c>
      <c r="C81" s="276">
        <v>1</v>
      </c>
      <c r="D81" s="276"/>
      <c r="E81" s="276">
        <v>1</v>
      </c>
      <c r="F81" s="276">
        <v>6</v>
      </c>
      <c r="G81" s="276">
        <v>11</v>
      </c>
      <c r="H81" s="276">
        <v>17</v>
      </c>
      <c r="I81" s="276">
        <v>4</v>
      </c>
      <c r="J81" s="276">
        <v>1</v>
      </c>
      <c r="K81" s="276">
        <v>5</v>
      </c>
      <c r="L81" s="276"/>
      <c r="M81" s="276">
        <v>1</v>
      </c>
      <c r="N81" s="276">
        <v>1</v>
      </c>
      <c r="O81" s="312">
        <v>11</v>
      </c>
      <c r="P81" s="312">
        <v>13</v>
      </c>
      <c r="Q81" s="312">
        <v>24</v>
      </c>
      <c r="R81" s="13"/>
      <c r="S81" s="13"/>
      <c r="T81" s="13"/>
      <c r="U81" s="13"/>
      <c r="V81" s="13"/>
      <c r="W81" s="13"/>
    </row>
    <row r="82" spans="2:23" x14ac:dyDescent="0.25">
      <c r="B82" s="136" t="s">
        <v>153</v>
      </c>
      <c r="C82" s="276">
        <v>2</v>
      </c>
      <c r="D82" s="276">
        <v>8</v>
      </c>
      <c r="E82" s="276">
        <v>10</v>
      </c>
      <c r="F82" s="276">
        <v>45</v>
      </c>
      <c r="G82" s="276">
        <v>45</v>
      </c>
      <c r="H82" s="276">
        <v>90</v>
      </c>
      <c r="I82" s="276">
        <v>7</v>
      </c>
      <c r="J82" s="276">
        <v>1</v>
      </c>
      <c r="K82" s="276">
        <v>8</v>
      </c>
      <c r="L82" s="276">
        <v>1</v>
      </c>
      <c r="M82" s="276">
        <v>4</v>
      </c>
      <c r="N82" s="276">
        <v>5</v>
      </c>
      <c r="O82" s="312">
        <v>55</v>
      </c>
      <c r="P82" s="312">
        <v>58</v>
      </c>
      <c r="Q82" s="312">
        <v>113</v>
      </c>
      <c r="R82" s="13"/>
      <c r="S82" s="13"/>
      <c r="T82" s="13"/>
      <c r="U82" s="13"/>
      <c r="V82" s="13"/>
      <c r="W82" s="13"/>
    </row>
    <row r="83" spans="2:23" x14ac:dyDescent="0.25">
      <c r="B83" s="136" t="s">
        <v>495</v>
      </c>
      <c r="C83" s="276">
        <v>8</v>
      </c>
      <c r="D83" s="276">
        <v>6</v>
      </c>
      <c r="E83" s="276">
        <v>14</v>
      </c>
      <c r="F83" s="276">
        <v>32</v>
      </c>
      <c r="G83" s="276">
        <v>14</v>
      </c>
      <c r="H83" s="276">
        <v>46</v>
      </c>
      <c r="I83" s="276">
        <v>3</v>
      </c>
      <c r="J83" s="276">
        <v>4</v>
      </c>
      <c r="K83" s="276">
        <v>7</v>
      </c>
      <c r="L83" s="276">
        <v>1</v>
      </c>
      <c r="M83" s="276">
        <v>3</v>
      </c>
      <c r="N83" s="276">
        <v>4</v>
      </c>
      <c r="O83" s="312">
        <v>44</v>
      </c>
      <c r="P83" s="312">
        <v>27</v>
      </c>
      <c r="Q83" s="312">
        <v>71</v>
      </c>
      <c r="R83" s="13"/>
      <c r="S83" s="13"/>
      <c r="T83" s="13"/>
      <c r="U83" s="13"/>
      <c r="V83" s="13"/>
      <c r="W83" s="13"/>
    </row>
    <row r="84" spans="2:23" x14ac:dyDescent="0.25">
      <c r="B84" s="136" t="s">
        <v>154</v>
      </c>
      <c r="C84" s="276">
        <v>38</v>
      </c>
      <c r="D84" s="276">
        <v>34</v>
      </c>
      <c r="E84" s="276">
        <v>72</v>
      </c>
      <c r="F84" s="276">
        <v>239</v>
      </c>
      <c r="G84" s="276">
        <v>260</v>
      </c>
      <c r="H84" s="276">
        <v>499</v>
      </c>
      <c r="I84" s="276">
        <v>44</v>
      </c>
      <c r="J84" s="276">
        <v>16</v>
      </c>
      <c r="K84" s="276">
        <v>60</v>
      </c>
      <c r="L84" s="276">
        <v>14</v>
      </c>
      <c r="M84" s="276">
        <v>27</v>
      </c>
      <c r="N84" s="276">
        <v>41</v>
      </c>
      <c r="O84" s="312">
        <v>335</v>
      </c>
      <c r="P84" s="312">
        <v>337</v>
      </c>
      <c r="Q84" s="312">
        <v>672</v>
      </c>
      <c r="R84" s="13"/>
      <c r="S84" s="13"/>
      <c r="T84" s="13"/>
      <c r="U84" s="13"/>
      <c r="V84" s="13"/>
      <c r="W84" s="13"/>
    </row>
    <row r="85" spans="2:23" x14ac:dyDescent="0.25">
      <c r="B85" s="136" t="s">
        <v>155</v>
      </c>
      <c r="C85" s="276">
        <v>1</v>
      </c>
      <c r="D85" s="276">
        <v>3</v>
      </c>
      <c r="E85" s="276">
        <v>4</v>
      </c>
      <c r="F85" s="276">
        <v>20</v>
      </c>
      <c r="G85" s="276">
        <v>18</v>
      </c>
      <c r="H85" s="276">
        <v>38</v>
      </c>
      <c r="I85" s="276">
        <v>1</v>
      </c>
      <c r="J85" s="276">
        <v>1</v>
      </c>
      <c r="K85" s="276">
        <v>2</v>
      </c>
      <c r="L85" s="276"/>
      <c r="M85" s="276"/>
      <c r="N85" s="276"/>
      <c r="O85" s="312">
        <v>22</v>
      </c>
      <c r="P85" s="312">
        <v>22</v>
      </c>
      <c r="Q85" s="312">
        <v>44</v>
      </c>
      <c r="R85" s="13"/>
      <c r="S85" s="13"/>
      <c r="T85" s="13"/>
      <c r="U85" s="13"/>
      <c r="V85" s="13"/>
      <c r="W85" s="13"/>
    </row>
    <row r="86" spans="2:23" x14ac:dyDescent="0.25">
      <c r="B86" s="136" t="s">
        <v>156</v>
      </c>
      <c r="C86" s="276">
        <v>5</v>
      </c>
      <c r="D86" s="276">
        <v>5</v>
      </c>
      <c r="E86" s="276">
        <v>10</v>
      </c>
      <c r="F86" s="276">
        <v>6</v>
      </c>
      <c r="G86" s="276">
        <v>12</v>
      </c>
      <c r="H86" s="276">
        <v>18</v>
      </c>
      <c r="I86" s="276">
        <v>1</v>
      </c>
      <c r="J86" s="276">
        <v>1</v>
      </c>
      <c r="K86" s="276">
        <v>2</v>
      </c>
      <c r="L86" s="276"/>
      <c r="M86" s="276"/>
      <c r="N86" s="276"/>
      <c r="O86" s="312">
        <v>12</v>
      </c>
      <c r="P86" s="312">
        <v>18</v>
      </c>
      <c r="Q86" s="312">
        <v>30</v>
      </c>
      <c r="R86" s="13"/>
      <c r="S86" s="13"/>
      <c r="T86" s="13"/>
      <c r="U86" s="13"/>
      <c r="V86" s="13"/>
      <c r="W86" s="13"/>
    </row>
    <row r="87" spans="2:23" x14ac:dyDescent="0.25">
      <c r="B87" s="136" t="s">
        <v>157</v>
      </c>
      <c r="C87" s="276">
        <v>2</v>
      </c>
      <c r="D87" s="276">
        <v>3</v>
      </c>
      <c r="E87" s="276">
        <v>5</v>
      </c>
      <c r="F87" s="276">
        <v>22</v>
      </c>
      <c r="G87" s="276">
        <v>17</v>
      </c>
      <c r="H87" s="276">
        <v>39</v>
      </c>
      <c r="I87" s="276">
        <v>4</v>
      </c>
      <c r="J87" s="276">
        <v>1</v>
      </c>
      <c r="K87" s="276">
        <v>5</v>
      </c>
      <c r="L87" s="276"/>
      <c r="M87" s="276"/>
      <c r="N87" s="276"/>
      <c r="O87" s="312">
        <v>28</v>
      </c>
      <c r="P87" s="312">
        <v>21</v>
      </c>
      <c r="Q87" s="312">
        <v>49</v>
      </c>
      <c r="R87" s="13"/>
      <c r="S87" s="13"/>
      <c r="T87" s="13"/>
      <c r="U87" s="13"/>
      <c r="V87" s="13"/>
      <c r="W87" s="13"/>
    </row>
    <row r="88" spans="2:23" x14ac:dyDescent="0.25">
      <c r="B88" s="136" t="s">
        <v>158</v>
      </c>
      <c r="C88" s="276">
        <v>1</v>
      </c>
      <c r="D88" s="276">
        <v>2</v>
      </c>
      <c r="E88" s="276">
        <v>3</v>
      </c>
      <c r="F88" s="276">
        <v>16</v>
      </c>
      <c r="G88" s="276">
        <v>17</v>
      </c>
      <c r="H88" s="276">
        <v>33</v>
      </c>
      <c r="I88" s="276">
        <v>4</v>
      </c>
      <c r="J88" s="276"/>
      <c r="K88" s="276">
        <v>4</v>
      </c>
      <c r="L88" s="276">
        <v>2</v>
      </c>
      <c r="M88" s="276"/>
      <c r="N88" s="276">
        <v>2</v>
      </c>
      <c r="O88" s="312">
        <v>23</v>
      </c>
      <c r="P88" s="312">
        <v>19</v>
      </c>
      <c r="Q88" s="312">
        <v>42</v>
      </c>
      <c r="R88" s="13"/>
      <c r="S88" s="13"/>
      <c r="T88" s="13"/>
      <c r="U88" s="13"/>
      <c r="V88" s="13"/>
      <c r="W88" s="13"/>
    </row>
    <row r="89" spans="2:23" x14ac:dyDescent="0.25">
      <c r="B89" s="156" t="s">
        <v>159</v>
      </c>
      <c r="C89" s="279">
        <v>10</v>
      </c>
      <c r="D89" s="279">
        <v>10</v>
      </c>
      <c r="E89" s="279">
        <v>20</v>
      </c>
      <c r="F89" s="279">
        <v>92</v>
      </c>
      <c r="G89" s="279">
        <v>78</v>
      </c>
      <c r="H89" s="279">
        <v>170</v>
      </c>
      <c r="I89" s="279">
        <v>17</v>
      </c>
      <c r="J89" s="279">
        <v>7</v>
      </c>
      <c r="K89" s="279">
        <v>24</v>
      </c>
      <c r="L89" s="279">
        <v>4</v>
      </c>
      <c r="M89" s="279">
        <v>4</v>
      </c>
      <c r="N89" s="279">
        <v>8</v>
      </c>
      <c r="O89" s="312">
        <v>123</v>
      </c>
      <c r="P89" s="312">
        <v>99</v>
      </c>
      <c r="Q89" s="312">
        <v>222</v>
      </c>
      <c r="R89" s="13"/>
      <c r="S89" s="13"/>
      <c r="T89" s="13"/>
      <c r="U89" s="13"/>
      <c r="V89" s="13"/>
      <c r="W89" s="13"/>
    </row>
    <row r="90" spans="2:23" x14ac:dyDescent="0.25">
      <c r="B90" s="311" t="s">
        <v>28</v>
      </c>
      <c r="C90" s="271">
        <v>68</v>
      </c>
      <c r="D90" s="271">
        <v>71</v>
      </c>
      <c r="E90" s="271">
        <v>139</v>
      </c>
      <c r="F90" s="271">
        <v>478</v>
      </c>
      <c r="G90" s="271">
        <v>472</v>
      </c>
      <c r="H90" s="269">
        <v>950</v>
      </c>
      <c r="I90" s="271">
        <v>85</v>
      </c>
      <c r="J90" s="269">
        <v>32</v>
      </c>
      <c r="K90" s="271">
        <v>117</v>
      </c>
      <c r="L90" s="269">
        <v>22</v>
      </c>
      <c r="M90" s="271">
        <v>39</v>
      </c>
      <c r="N90" s="269">
        <v>61</v>
      </c>
      <c r="O90" s="312">
        <v>653</v>
      </c>
      <c r="P90" s="312">
        <v>614</v>
      </c>
      <c r="Q90" s="312">
        <v>1267</v>
      </c>
      <c r="R90" s="13"/>
      <c r="S90" s="13"/>
      <c r="T90" s="13"/>
      <c r="U90" s="13"/>
      <c r="V90" s="13"/>
      <c r="W90" s="13"/>
    </row>
    <row r="91" spans="2:23" ht="116.25" customHeight="1" x14ac:dyDescent="0.25">
      <c r="B91" s="442" t="s">
        <v>814</v>
      </c>
      <c r="C91" s="442"/>
      <c r="D91" s="442"/>
      <c r="E91" s="442"/>
      <c r="F91" s="442"/>
      <c r="G91" s="442"/>
      <c r="H91" s="442"/>
      <c r="I91" s="442"/>
      <c r="J91" s="442"/>
      <c r="K91" s="442"/>
      <c r="L91" s="442"/>
      <c r="M91" s="442"/>
      <c r="N91" s="442"/>
      <c r="O91" s="442"/>
      <c r="P91" s="442"/>
      <c r="Q91" s="442"/>
      <c r="R91" s="13"/>
      <c r="S91" s="13"/>
      <c r="T91" s="13"/>
      <c r="U91" s="13"/>
      <c r="V91" s="13"/>
      <c r="W91" s="13"/>
    </row>
    <row r="92" spans="2:23" x14ac:dyDescent="0.25">
      <c r="B92" s="158"/>
      <c r="C92" s="158"/>
      <c r="D92" s="158"/>
      <c r="E92"/>
      <c r="F92"/>
      <c r="G92"/>
      <c r="H92" s="13"/>
      <c r="I92" s="13"/>
      <c r="J92" s="13"/>
      <c r="K92" s="13"/>
      <c r="L92" s="13"/>
      <c r="M92" s="13"/>
      <c r="N92" s="13"/>
      <c r="O92" s="13"/>
      <c r="P92" s="13"/>
      <c r="Q92" s="13"/>
      <c r="R92" s="13"/>
      <c r="S92" s="13"/>
      <c r="T92" s="13"/>
      <c r="U92" s="13"/>
      <c r="V92" s="13"/>
      <c r="W92" s="13"/>
    </row>
    <row r="93" spans="2:23" x14ac:dyDescent="0.25">
      <c r="B93" s="187" t="s">
        <v>513</v>
      </c>
      <c r="C93"/>
      <c r="D93"/>
      <c r="E93"/>
      <c r="F93"/>
      <c r="G93"/>
      <c r="H93" s="13"/>
      <c r="I93" s="13"/>
      <c r="J93" s="13"/>
      <c r="K93" s="13"/>
      <c r="L93" s="13"/>
      <c r="M93" s="13"/>
      <c r="N93" s="13"/>
      <c r="O93" s="13"/>
      <c r="P93" s="13"/>
      <c r="Q93" s="13"/>
      <c r="R93" s="13"/>
      <c r="S93" s="13"/>
      <c r="T93" s="13"/>
      <c r="U93" s="13"/>
      <c r="V93" s="13"/>
      <c r="W93" s="13"/>
    </row>
    <row r="94" spans="2:23" x14ac:dyDescent="0.25">
      <c r="B94" s="187"/>
      <c r="C94"/>
      <c r="D94"/>
      <c r="E94"/>
      <c r="F94"/>
      <c r="G94"/>
      <c r="H94" s="13"/>
      <c r="I94" s="13"/>
      <c r="J94" s="13"/>
      <c r="K94" s="13"/>
      <c r="L94" s="13"/>
      <c r="M94" s="13"/>
      <c r="N94" s="13"/>
      <c r="O94" s="13"/>
      <c r="P94" s="13"/>
      <c r="Q94" s="13"/>
      <c r="R94" s="13"/>
      <c r="S94" s="13"/>
      <c r="T94" s="13"/>
      <c r="U94" s="13"/>
      <c r="V94" s="13"/>
      <c r="W94" s="13"/>
    </row>
    <row r="95" spans="2:23" ht="15" customHeight="1" x14ac:dyDescent="0.25">
      <c r="B95" s="441" t="s">
        <v>537</v>
      </c>
      <c r="C95" s="426" t="s">
        <v>481</v>
      </c>
      <c r="D95" s="426"/>
      <c r="E95" s="426"/>
      <c r="F95" s="426"/>
      <c r="G95" s="426"/>
      <c r="H95" s="426"/>
      <c r="I95" s="426"/>
      <c r="J95" s="426"/>
      <c r="K95" s="426"/>
      <c r="L95" s="426"/>
      <c r="M95" s="426"/>
      <c r="N95" s="426"/>
      <c r="O95" s="443" t="s">
        <v>697</v>
      </c>
      <c r="P95" s="444"/>
      <c r="Q95" s="445"/>
      <c r="R95" s="13"/>
      <c r="S95" s="13"/>
      <c r="T95" s="13"/>
      <c r="U95" s="13"/>
      <c r="V95" s="13"/>
      <c r="W95" s="13"/>
    </row>
    <row r="96" spans="2:23" ht="15" customHeight="1" x14ac:dyDescent="0.25">
      <c r="B96" s="441"/>
      <c r="C96" s="426" t="s">
        <v>658</v>
      </c>
      <c r="D96" s="426"/>
      <c r="E96" s="426"/>
      <c r="F96" s="426" t="s">
        <v>490</v>
      </c>
      <c r="G96" s="426"/>
      <c r="H96" s="426"/>
      <c r="I96" s="426" t="s">
        <v>4</v>
      </c>
      <c r="J96" s="426"/>
      <c r="K96" s="426"/>
      <c r="L96" s="426" t="s">
        <v>6</v>
      </c>
      <c r="M96" s="426"/>
      <c r="N96" s="426"/>
      <c r="O96" s="446"/>
      <c r="P96" s="447"/>
      <c r="Q96" s="448"/>
      <c r="R96" s="13"/>
      <c r="S96" s="13"/>
      <c r="T96" s="13"/>
      <c r="U96" s="13"/>
      <c r="V96" s="13"/>
      <c r="W96" s="13"/>
    </row>
    <row r="97" spans="2:23" x14ac:dyDescent="0.25">
      <c r="B97" s="441"/>
      <c r="C97" s="161" t="s">
        <v>76</v>
      </c>
      <c r="D97" s="161" t="s">
        <v>77</v>
      </c>
      <c r="E97" s="161" t="s">
        <v>28</v>
      </c>
      <c r="F97" s="161" t="s">
        <v>76</v>
      </c>
      <c r="G97" s="161" t="s">
        <v>77</v>
      </c>
      <c r="H97" s="161" t="s">
        <v>28</v>
      </c>
      <c r="I97" s="161" t="s">
        <v>76</v>
      </c>
      <c r="J97" s="161" t="s">
        <v>77</v>
      </c>
      <c r="K97" s="161" t="s">
        <v>28</v>
      </c>
      <c r="L97" s="161" t="s">
        <v>76</v>
      </c>
      <c r="M97" s="161" t="s">
        <v>77</v>
      </c>
      <c r="N97" s="161" t="s">
        <v>28</v>
      </c>
      <c r="O97" s="244" t="s">
        <v>76</v>
      </c>
      <c r="P97" s="244" t="s">
        <v>77</v>
      </c>
      <c r="Q97" s="244" t="s">
        <v>28</v>
      </c>
      <c r="R97" s="13"/>
      <c r="S97" s="13"/>
      <c r="T97" s="13"/>
      <c r="U97" s="13"/>
      <c r="V97" s="13"/>
      <c r="W97" s="13"/>
    </row>
    <row r="98" spans="2:23" x14ac:dyDescent="0.25">
      <c r="B98" s="157" t="s">
        <v>160</v>
      </c>
      <c r="C98" s="278">
        <v>5</v>
      </c>
      <c r="D98" s="278">
        <v>2</v>
      </c>
      <c r="E98" s="278">
        <v>7</v>
      </c>
      <c r="F98" s="278">
        <v>15</v>
      </c>
      <c r="G98" s="278">
        <v>26</v>
      </c>
      <c r="H98" s="278">
        <v>41</v>
      </c>
      <c r="I98" s="278">
        <v>10</v>
      </c>
      <c r="J98" s="278">
        <v>7</v>
      </c>
      <c r="K98" s="278">
        <v>17</v>
      </c>
      <c r="L98" s="278">
        <v>1</v>
      </c>
      <c r="M98" s="278">
        <v>2</v>
      </c>
      <c r="N98" s="278">
        <v>3</v>
      </c>
      <c r="O98" s="312">
        <v>31</v>
      </c>
      <c r="P98" s="312">
        <v>37</v>
      </c>
      <c r="Q98" s="312">
        <v>68</v>
      </c>
      <c r="R98" s="13"/>
      <c r="S98" s="13"/>
      <c r="T98" s="13"/>
      <c r="U98" s="13"/>
      <c r="V98" s="13"/>
      <c r="W98" s="13"/>
    </row>
    <row r="99" spans="2:23" x14ac:dyDescent="0.25">
      <c r="B99" s="136" t="s">
        <v>161</v>
      </c>
      <c r="C99" s="276">
        <v>5</v>
      </c>
      <c r="D99" s="276">
        <v>4</v>
      </c>
      <c r="E99" s="276">
        <v>9</v>
      </c>
      <c r="F99" s="276">
        <v>15</v>
      </c>
      <c r="G99" s="276">
        <v>19</v>
      </c>
      <c r="H99" s="276">
        <v>34</v>
      </c>
      <c r="I99" s="276">
        <v>7</v>
      </c>
      <c r="J99" s="276"/>
      <c r="K99" s="276">
        <v>7</v>
      </c>
      <c r="L99" s="276">
        <v>1</v>
      </c>
      <c r="M99" s="276">
        <v>2</v>
      </c>
      <c r="N99" s="276">
        <v>3</v>
      </c>
      <c r="O99" s="312">
        <v>28</v>
      </c>
      <c r="P99" s="312">
        <v>25</v>
      </c>
      <c r="Q99" s="312">
        <v>53</v>
      </c>
      <c r="R99" s="13"/>
      <c r="S99" s="13"/>
      <c r="T99" s="13"/>
      <c r="U99" s="13"/>
      <c r="V99" s="13"/>
      <c r="W99" s="13"/>
    </row>
    <row r="100" spans="2:23" x14ac:dyDescent="0.25">
      <c r="B100" s="136" t="s">
        <v>162</v>
      </c>
      <c r="C100" s="276">
        <v>4</v>
      </c>
      <c r="D100" s="276">
        <v>1</v>
      </c>
      <c r="E100" s="276">
        <v>5</v>
      </c>
      <c r="F100" s="276">
        <v>32</v>
      </c>
      <c r="G100" s="276">
        <v>28</v>
      </c>
      <c r="H100" s="276">
        <v>60</v>
      </c>
      <c r="I100" s="276">
        <v>3</v>
      </c>
      <c r="J100" s="276">
        <v>2</v>
      </c>
      <c r="K100" s="276">
        <v>5</v>
      </c>
      <c r="L100" s="276"/>
      <c r="M100" s="276">
        <v>7</v>
      </c>
      <c r="N100" s="276">
        <v>7</v>
      </c>
      <c r="O100" s="312">
        <v>39</v>
      </c>
      <c r="P100" s="312">
        <v>38</v>
      </c>
      <c r="Q100" s="312">
        <v>77</v>
      </c>
      <c r="R100" s="13"/>
      <c r="S100" s="13"/>
      <c r="T100" s="13"/>
      <c r="U100" s="13"/>
      <c r="V100" s="13"/>
      <c r="W100" s="13"/>
    </row>
    <row r="101" spans="2:23" x14ac:dyDescent="0.25">
      <c r="B101" s="136" t="s">
        <v>163</v>
      </c>
      <c r="C101" s="276">
        <v>65</v>
      </c>
      <c r="D101" s="276">
        <v>44</v>
      </c>
      <c r="E101" s="276">
        <v>109</v>
      </c>
      <c r="F101" s="276">
        <v>356</v>
      </c>
      <c r="G101" s="276">
        <v>327</v>
      </c>
      <c r="H101" s="276">
        <v>683</v>
      </c>
      <c r="I101" s="276">
        <v>83</v>
      </c>
      <c r="J101" s="276">
        <v>40</v>
      </c>
      <c r="K101" s="276">
        <v>123</v>
      </c>
      <c r="L101" s="276">
        <v>30</v>
      </c>
      <c r="M101" s="276">
        <v>35</v>
      </c>
      <c r="N101" s="276">
        <v>65</v>
      </c>
      <c r="O101" s="312">
        <v>534</v>
      </c>
      <c r="P101" s="312">
        <v>446</v>
      </c>
      <c r="Q101" s="312">
        <v>980</v>
      </c>
      <c r="R101" s="13"/>
      <c r="S101" s="13"/>
      <c r="T101" s="13"/>
      <c r="U101" s="13"/>
      <c r="V101" s="13"/>
      <c r="W101" s="13"/>
    </row>
    <row r="102" spans="2:23" x14ac:dyDescent="0.25">
      <c r="B102" s="136" t="s">
        <v>164</v>
      </c>
      <c r="C102" s="276">
        <v>12</v>
      </c>
      <c r="D102" s="276">
        <v>12</v>
      </c>
      <c r="E102" s="276">
        <v>24</v>
      </c>
      <c r="F102" s="276">
        <v>62</v>
      </c>
      <c r="G102" s="276">
        <v>42</v>
      </c>
      <c r="H102" s="276">
        <v>104</v>
      </c>
      <c r="I102" s="276">
        <v>7</v>
      </c>
      <c r="J102" s="276">
        <v>4</v>
      </c>
      <c r="K102" s="276">
        <v>11</v>
      </c>
      <c r="L102" s="276">
        <v>3</v>
      </c>
      <c r="M102" s="276">
        <v>4</v>
      </c>
      <c r="N102" s="276">
        <v>7</v>
      </c>
      <c r="O102" s="312">
        <v>84</v>
      </c>
      <c r="P102" s="312">
        <v>62</v>
      </c>
      <c r="Q102" s="312">
        <v>146</v>
      </c>
      <c r="R102" s="13"/>
      <c r="S102" s="13"/>
      <c r="T102" s="13"/>
      <c r="U102" s="13"/>
      <c r="V102" s="13"/>
      <c r="W102" s="13"/>
    </row>
    <row r="103" spans="2:23" x14ac:dyDescent="0.25">
      <c r="B103" s="136" t="s">
        <v>165</v>
      </c>
      <c r="C103" s="276">
        <v>1</v>
      </c>
      <c r="D103" s="276"/>
      <c r="E103" s="276">
        <v>1</v>
      </c>
      <c r="F103" s="276">
        <v>9</v>
      </c>
      <c r="G103" s="276">
        <v>8</v>
      </c>
      <c r="H103" s="276">
        <v>17</v>
      </c>
      <c r="I103" s="276">
        <v>1</v>
      </c>
      <c r="J103" s="276">
        <v>1</v>
      </c>
      <c r="K103" s="276">
        <v>2</v>
      </c>
      <c r="L103" s="276">
        <v>1</v>
      </c>
      <c r="M103" s="276">
        <v>1</v>
      </c>
      <c r="N103" s="276">
        <v>2</v>
      </c>
      <c r="O103" s="312">
        <v>12</v>
      </c>
      <c r="P103" s="312">
        <v>10</v>
      </c>
      <c r="Q103" s="312">
        <v>22</v>
      </c>
      <c r="R103" s="13"/>
      <c r="S103" s="13"/>
      <c r="T103" s="13"/>
      <c r="U103" s="13"/>
      <c r="V103" s="13"/>
      <c r="W103" s="13"/>
    </row>
    <row r="104" spans="2:23" x14ac:dyDescent="0.25">
      <c r="B104" s="136" t="s">
        <v>166</v>
      </c>
      <c r="C104" s="276">
        <v>48</v>
      </c>
      <c r="D104" s="276">
        <v>46</v>
      </c>
      <c r="E104" s="276">
        <v>94</v>
      </c>
      <c r="F104" s="276">
        <v>400</v>
      </c>
      <c r="G104" s="276">
        <v>293</v>
      </c>
      <c r="H104" s="276">
        <v>693</v>
      </c>
      <c r="I104" s="276">
        <v>63</v>
      </c>
      <c r="J104" s="276">
        <v>29</v>
      </c>
      <c r="K104" s="276">
        <v>92</v>
      </c>
      <c r="L104" s="276">
        <v>22</v>
      </c>
      <c r="M104" s="276">
        <v>30</v>
      </c>
      <c r="N104" s="276">
        <v>52</v>
      </c>
      <c r="O104" s="312">
        <v>533</v>
      </c>
      <c r="P104" s="312">
        <v>398</v>
      </c>
      <c r="Q104" s="312">
        <v>931</v>
      </c>
      <c r="R104" s="13"/>
      <c r="S104" s="13"/>
      <c r="T104" s="13"/>
      <c r="U104" s="13"/>
      <c r="V104" s="13"/>
      <c r="W104" s="13"/>
    </row>
    <row r="105" spans="2:23" x14ac:dyDescent="0.25">
      <c r="B105" s="136" t="s">
        <v>167</v>
      </c>
      <c r="C105" s="276">
        <v>5</v>
      </c>
      <c r="D105" s="276">
        <v>8</v>
      </c>
      <c r="E105" s="276">
        <v>13</v>
      </c>
      <c r="F105" s="276">
        <v>49</v>
      </c>
      <c r="G105" s="276">
        <v>29</v>
      </c>
      <c r="H105" s="276">
        <v>78</v>
      </c>
      <c r="I105" s="276">
        <v>6</v>
      </c>
      <c r="J105" s="276">
        <v>1</v>
      </c>
      <c r="K105" s="276">
        <v>7</v>
      </c>
      <c r="L105" s="276">
        <v>1</v>
      </c>
      <c r="M105" s="276">
        <v>3</v>
      </c>
      <c r="N105" s="276">
        <v>4</v>
      </c>
      <c r="O105" s="312">
        <v>61</v>
      </c>
      <c r="P105" s="312">
        <v>41</v>
      </c>
      <c r="Q105" s="312">
        <v>102</v>
      </c>
      <c r="R105" s="13"/>
      <c r="S105" s="13"/>
      <c r="T105" s="13"/>
      <c r="U105" s="13"/>
      <c r="V105" s="13"/>
      <c r="W105" s="13"/>
    </row>
    <row r="106" spans="2:23" x14ac:dyDescent="0.25">
      <c r="B106" s="136" t="s">
        <v>168</v>
      </c>
      <c r="C106" s="276">
        <v>8</v>
      </c>
      <c r="D106" s="276">
        <v>8</v>
      </c>
      <c r="E106" s="276">
        <v>16</v>
      </c>
      <c r="F106" s="276">
        <v>44</v>
      </c>
      <c r="G106" s="276">
        <v>43</v>
      </c>
      <c r="H106" s="276">
        <v>87</v>
      </c>
      <c r="I106" s="276">
        <v>12</v>
      </c>
      <c r="J106" s="276">
        <v>4</v>
      </c>
      <c r="K106" s="276">
        <v>16</v>
      </c>
      <c r="L106" s="276">
        <v>3</v>
      </c>
      <c r="M106" s="276">
        <v>3</v>
      </c>
      <c r="N106" s="276">
        <v>6</v>
      </c>
      <c r="O106" s="312">
        <v>67</v>
      </c>
      <c r="P106" s="312">
        <v>58</v>
      </c>
      <c r="Q106" s="312">
        <v>125</v>
      </c>
      <c r="R106" s="13"/>
      <c r="S106" s="13"/>
      <c r="T106" s="13"/>
      <c r="U106" s="13"/>
      <c r="V106" s="13"/>
      <c r="W106" s="13"/>
    </row>
    <row r="107" spans="2:23" x14ac:dyDescent="0.25">
      <c r="B107" s="136" t="s">
        <v>169</v>
      </c>
      <c r="C107" s="276">
        <v>45</v>
      </c>
      <c r="D107" s="276">
        <v>31</v>
      </c>
      <c r="E107" s="276">
        <v>76</v>
      </c>
      <c r="F107" s="276">
        <v>199</v>
      </c>
      <c r="G107" s="276">
        <v>184</v>
      </c>
      <c r="H107" s="276">
        <v>383</v>
      </c>
      <c r="I107" s="276">
        <v>43</v>
      </c>
      <c r="J107" s="276">
        <v>16</v>
      </c>
      <c r="K107" s="276">
        <v>59</v>
      </c>
      <c r="L107" s="276">
        <v>7</v>
      </c>
      <c r="M107" s="276">
        <v>16</v>
      </c>
      <c r="N107" s="276">
        <v>23</v>
      </c>
      <c r="O107" s="312">
        <v>294</v>
      </c>
      <c r="P107" s="312">
        <v>247</v>
      </c>
      <c r="Q107" s="312">
        <v>541</v>
      </c>
      <c r="R107" s="13"/>
      <c r="S107" s="13"/>
      <c r="T107" s="13"/>
      <c r="U107" s="13"/>
      <c r="V107" s="13"/>
      <c r="W107" s="13"/>
    </row>
    <row r="108" spans="2:23" x14ac:dyDescent="0.25">
      <c r="B108" s="136" t="s">
        <v>170</v>
      </c>
      <c r="C108" s="276">
        <v>3</v>
      </c>
      <c r="D108" s="276">
        <v>1</v>
      </c>
      <c r="E108" s="276">
        <v>4</v>
      </c>
      <c r="F108" s="276">
        <v>8</v>
      </c>
      <c r="G108" s="276">
        <v>7</v>
      </c>
      <c r="H108" s="276">
        <v>15</v>
      </c>
      <c r="I108" s="276">
        <v>2</v>
      </c>
      <c r="J108" s="276"/>
      <c r="K108" s="276">
        <v>2</v>
      </c>
      <c r="L108" s="276"/>
      <c r="M108" s="276"/>
      <c r="N108" s="276"/>
      <c r="O108" s="312">
        <v>13</v>
      </c>
      <c r="P108" s="312">
        <v>8</v>
      </c>
      <c r="Q108" s="312">
        <v>21</v>
      </c>
      <c r="R108" s="13"/>
      <c r="S108" s="13"/>
      <c r="T108" s="13"/>
      <c r="U108" s="13"/>
      <c r="V108" s="13"/>
      <c r="W108" s="13"/>
    </row>
    <row r="109" spans="2:23" x14ac:dyDescent="0.25">
      <c r="B109" s="136" t="s">
        <v>171</v>
      </c>
      <c r="C109" s="276">
        <v>2</v>
      </c>
      <c r="D109" s="276">
        <v>1</v>
      </c>
      <c r="E109" s="276">
        <v>3</v>
      </c>
      <c r="F109" s="276">
        <v>21</v>
      </c>
      <c r="G109" s="276">
        <v>15</v>
      </c>
      <c r="H109" s="276">
        <v>36</v>
      </c>
      <c r="I109" s="276">
        <v>17</v>
      </c>
      <c r="J109" s="276">
        <v>3</v>
      </c>
      <c r="K109" s="276">
        <v>20</v>
      </c>
      <c r="L109" s="276"/>
      <c r="M109" s="276">
        <v>1</v>
      </c>
      <c r="N109" s="276">
        <v>1</v>
      </c>
      <c r="O109" s="312">
        <v>40</v>
      </c>
      <c r="P109" s="312">
        <v>20</v>
      </c>
      <c r="Q109" s="312">
        <v>60</v>
      </c>
      <c r="R109" s="13"/>
      <c r="S109" s="13"/>
      <c r="T109" s="13"/>
      <c r="U109" s="13"/>
      <c r="V109" s="13"/>
      <c r="W109" s="13"/>
    </row>
    <row r="110" spans="2:23" x14ac:dyDescent="0.25">
      <c r="B110" s="136" t="s">
        <v>172</v>
      </c>
      <c r="C110" s="276"/>
      <c r="D110" s="276">
        <v>2</v>
      </c>
      <c r="E110" s="276">
        <v>2</v>
      </c>
      <c r="F110" s="276">
        <v>6</v>
      </c>
      <c r="G110" s="276">
        <v>6</v>
      </c>
      <c r="H110" s="276">
        <v>12</v>
      </c>
      <c r="I110" s="276">
        <v>1</v>
      </c>
      <c r="J110" s="276">
        <v>1</v>
      </c>
      <c r="K110" s="276">
        <v>2</v>
      </c>
      <c r="L110" s="276">
        <v>1</v>
      </c>
      <c r="M110" s="276"/>
      <c r="N110" s="276">
        <v>1</v>
      </c>
      <c r="O110" s="312">
        <v>8</v>
      </c>
      <c r="P110" s="312">
        <v>9</v>
      </c>
      <c r="Q110" s="312">
        <v>17</v>
      </c>
      <c r="R110" s="13"/>
      <c r="S110" s="13"/>
      <c r="T110" s="13"/>
      <c r="U110" s="13"/>
      <c r="V110" s="13"/>
      <c r="W110" s="13"/>
    </row>
    <row r="111" spans="2:23" x14ac:dyDescent="0.25">
      <c r="B111" s="156" t="s">
        <v>173</v>
      </c>
      <c r="C111" s="279">
        <v>11</v>
      </c>
      <c r="D111" s="279">
        <v>13</v>
      </c>
      <c r="E111" s="279">
        <v>24</v>
      </c>
      <c r="F111" s="279">
        <v>35</v>
      </c>
      <c r="G111" s="279">
        <v>43</v>
      </c>
      <c r="H111" s="279">
        <v>78</v>
      </c>
      <c r="I111" s="279">
        <v>10</v>
      </c>
      <c r="J111" s="279">
        <v>6</v>
      </c>
      <c r="K111" s="279">
        <v>16</v>
      </c>
      <c r="L111" s="279">
        <v>1</v>
      </c>
      <c r="M111" s="279">
        <v>4</v>
      </c>
      <c r="N111" s="279">
        <v>5</v>
      </c>
      <c r="O111" s="312">
        <v>57</v>
      </c>
      <c r="P111" s="312">
        <v>66</v>
      </c>
      <c r="Q111" s="312">
        <v>123</v>
      </c>
      <c r="R111" s="13"/>
      <c r="S111" s="13"/>
      <c r="T111" s="13"/>
      <c r="U111" s="13"/>
      <c r="V111" s="13"/>
      <c r="W111" s="13"/>
    </row>
    <row r="112" spans="2:23" x14ac:dyDescent="0.25">
      <c r="B112" s="159" t="s">
        <v>496</v>
      </c>
      <c r="C112" s="277">
        <v>9</v>
      </c>
      <c r="D112" s="277">
        <v>11</v>
      </c>
      <c r="E112" s="277">
        <v>20</v>
      </c>
      <c r="F112" s="277">
        <v>44</v>
      </c>
      <c r="G112" s="277">
        <v>40</v>
      </c>
      <c r="H112" s="277">
        <v>84</v>
      </c>
      <c r="I112" s="277">
        <v>14</v>
      </c>
      <c r="J112" s="277">
        <v>4</v>
      </c>
      <c r="K112" s="277">
        <v>18</v>
      </c>
      <c r="L112" s="277">
        <v>3</v>
      </c>
      <c r="M112" s="277">
        <v>7</v>
      </c>
      <c r="N112" s="277">
        <v>10</v>
      </c>
      <c r="O112" s="312">
        <v>70</v>
      </c>
      <c r="P112" s="312">
        <v>62</v>
      </c>
      <c r="Q112" s="312">
        <v>132</v>
      </c>
      <c r="R112" s="13"/>
      <c r="S112" s="13"/>
      <c r="T112" s="13"/>
      <c r="U112" s="13"/>
      <c r="V112" s="13"/>
      <c r="W112" s="13"/>
    </row>
    <row r="113" spans="2:24" x14ac:dyDescent="0.25">
      <c r="B113" s="311" t="s">
        <v>28</v>
      </c>
      <c r="C113" s="271">
        <v>223</v>
      </c>
      <c r="D113" s="271">
        <v>184</v>
      </c>
      <c r="E113" s="271">
        <v>407</v>
      </c>
      <c r="F113" s="271">
        <v>1295</v>
      </c>
      <c r="G113" s="271">
        <v>1110</v>
      </c>
      <c r="H113" s="269">
        <v>2405</v>
      </c>
      <c r="I113" s="271">
        <v>279</v>
      </c>
      <c r="J113" s="269">
        <v>118</v>
      </c>
      <c r="K113" s="271">
        <v>397</v>
      </c>
      <c r="L113" s="269">
        <v>74</v>
      </c>
      <c r="M113" s="271">
        <v>115</v>
      </c>
      <c r="N113" s="269">
        <v>189</v>
      </c>
      <c r="O113" s="312">
        <v>1871</v>
      </c>
      <c r="P113" s="312">
        <v>1527</v>
      </c>
      <c r="Q113" s="312">
        <v>3398</v>
      </c>
      <c r="R113" s="13"/>
      <c r="S113" s="13"/>
      <c r="T113" s="13"/>
      <c r="U113" s="13"/>
      <c r="V113" s="13"/>
      <c r="W113" s="13"/>
    </row>
    <row r="114" spans="2:24" ht="94.5" customHeight="1" x14ac:dyDescent="0.25">
      <c r="B114" s="442" t="s">
        <v>814</v>
      </c>
      <c r="C114" s="442"/>
      <c r="D114" s="442"/>
      <c r="E114" s="442"/>
      <c r="F114" s="442"/>
      <c r="G114" s="442"/>
      <c r="H114" s="442"/>
      <c r="I114" s="442"/>
      <c r="J114" s="442"/>
      <c r="K114" s="442"/>
      <c r="L114" s="442"/>
      <c r="M114" s="442"/>
      <c r="N114" s="442"/>
      <c r="O114" s="442"/>
      <c r="P114" s="442"/>
      <c r="Q114" s="442"/>
      <c r="R114" s="13"/>
      <c r="S114" s="13"/>
      <c r="T114" s="13"/>
      <c r="U114" s="13"/>
      <c r="V114" s="13"/>
      <c r="W114" s="13"/>
    </row>
    <row r="115" spans="2:24" x14ac:dyDescent="0.25">
      <c r="B115" s="158"/>
      <c r="C115" s="190"/>
      <c r="D115" s="190"/>
      <c r="E115" s="190"/>
      <c r="F115" s="190"/>
      <c r="G115"/>
      <c r="H115" s="13"/>
      <c r="I115" s="13"/>
      <c r="J115" s="13"/>
      <c r="K115" s="13"/>
      <c r="L115" s="13"/>
      <c r="M115" s="13"/>
      <c r="N115" s="13"/>
      <c r="O115" s="13"/>
      <c r="P115" s="13"/>
      <c r="Q115" s="13"/>
      <c r="R115" s="13"/>
      <c r="S115" s="13"/>
      <c r="T115" s="13"/>
      <c r="U115" s="13"/>
      <c r="V115" s="13"/>
      <c r="W115" s="13"/>
    </row>
    <row r="116" spans="2:24" x14ac:dyDescent="0.25">
      <c r="B116" s="187" t="s">
        <v>514</v>
      </c>
      <c r="C116"/>
      <c r="D116"/>
      <c r="E116"/>
      <c r="F116"/>
      <c r="G116"/>
      <c r="H116" s="13"/>
      <c r="I116" s="13"/>
      <c r="J116" s="13"/>
      <c r="K116" s="13"/>
      <c r="L116" s="13"/>
      <c r="M116" s="13"/>
      <c r="N116" s="13"/>
      <c r="O116" s="13"/>
      <c r="P116" s="13"/>
      <c r="Q116" s="13"/>
      <c r="R116" s="13"/>
      <c r="S116" s="13"/>
      <c r="T116" s="13"/>
      <c r="U116" s="13"/>
      <c r="V116" s="13"/>
      <c r="W116" s="13"/>
    </row>
    <row r="117" spans="2:24" x14ac:dyDescent="0.25">
      <c r="B117" s="187"/>
      <c r="C117"/>
      <c r="D117"/>
      <c r="E117"/>
      <c r="F117"/>
      <c r="G117"/>
      <c r="H117" s="13"/>
      <c r="I117" s="13"/>
      <c r="J117" s="13"/>
      <c r="K117" s="13"/>
      <c r="L117" s="13"/>
      <c r="M117" s="13"/>
      <c r="N117" s="13"/>
      <c r="O117" s="13"/>
      <c r="P117" s="13"/>
      <c r="Q117" s="13"/>
      <c r="R117" s="13"/>
      <c r="S117" s="13"/>
      <c r="T117" s="13"/>
      <c r="U117" s="13"/>
      <c r="V117" s="13"/>
      <c r="W117" s="13"/>
    </row>
    <row r="118" spans="2:24" ht="15" customHeight="1" x14ac:dyDescent="0.25">
      <c r="B118" s="441" t="s">
        <v>537</v>
      </c>
      <c r="C118" s="426" t="s">
        <v>481</v>
      </c>
      <c r="D118" s="426"/>
      <c r="E118" s="426"/>
      <c r="F118" s="426"/>
      <c r="G118" s="426"/>
      <c r="H118" s="426"/>
      <c r="I118" s="426"/>
      <c r="J118" s="426"/>
      <c r="K118" s="426"/>
      <c r="L118" s="426"/>
      <c r="M118" s="426"/>
      <c r="N118" s="426"/>
      <c r="O118" s="443" t="s">
        <v>697</v>
      </c>
      <c r="P118" s="444"/>
      <c r="Q118" s="445"/>
      <c r="R118" s="13"/>
      <c r="S118" s="13"/>
      <c r="T118" s="13"/>
      <c r="U118" s="13"/>
      <c r="V118" s="13"/>
      <c r="W118" s="13"/>
    </row>
    <row r="119" spans="2:24" ht="15" customHeight="1" x14ac:dyDescent="0.25">
      <c r="B119" s="441"/>
      <c r="C119" s="426" t="s">
        <v>658</v>
      </c>
      <c r="D119" s="426"/>
      <c r="E119" s="426"/>
      <c r="F119" s="426" t="s">
        <v>490</v>
      </c>
      <c r="G119" s="426"/>
      <c r="H119" s="426"/>
      <c r="I119" s="426" t="s">
        <v>4</v>
      </c>
      <c r="J119" s="426"/>
      <c r="K119" s="426"/>
      <c r="L119" s="426" t="s">
        <v>6</v>
      </c>
      <c r="M119" s="426"/>
      <c r="N119" s="426"/>
      <c r="O119" s="446"/>
      <c r="P119" s="447"/>
      <c r="Q119" s="448"/>
      <c r="R119" s="13"/>
      <c r="S119" s="13"/>
      <c r="T119" s="13"/>
      <c r="U119" s="13"/>
      <c r="V119" s="13"/>
      <c r="W119" s="13"/>
    </row>
    <row r="120" spans="2:24" x14ac:dyDescent="0.25">
      <c r="B120" s="441"/>
      <c r="C120" s="161" t="s">
        <v>76</v>
      </c>
      <c r="D120" s="161" t="s">
        <v>77</v>
      </c>
      <c r="E120" s="161" t="s">
        <v>28</v>
      </c>
      <c r="F120" s="161" t="s">
        <v>76</v>
      </c>
      <c r="G120" s="161" t="s">
        <v>77</v>
      </c>
      <c r="H120" s="161" t="s">
        <v>28</v>
      </c>
      <c r="I120" s="161" t="s">
        <v>76</v>
      </c>
      <c r="J120" s="161" t="s">
        <v>77</v>
      </c>
      <c r="K120" s="161" t="s">
        <v>28</v>
      </c>
      <c r="L120" s="161" t="s">
        <v>76</v>
      </c>
      <c r="M120" s="161" t="s">
        <v>77</v>
      </c>
      <c r="N120" s="161" t="s">
        <v>28</v>
      </c>
      <c r="O120" s="244" t="s">
        <v>76</v>
      </c>
      <c r="P120" s="244" t="s">
        <v>77</v>
      </c>
      <c r="Q120" s="244" t="s">
        <v>28</v>
      </c>
      <c r="R120" s="13"/>
      <c r="S120" s="13"/>
      <c r="T120" s="13"/>
      <c r="U120" s="13"/>
      <c r="V120" s="13"/>
      <c r="W120" s="13"/>
    </row>
    <row r="121" spans="2:24" x14ac:dyDescent="0.25">
      <c r="B121" s="136" t="s">
        <v>174</v>
      </c>
      <c r="C121" s="276">
        <v>5</v>
      </c>
      <c r="D121" s="276">
        <v>12</v>
      </c>
      <c r="E121" s="276">
        <v>17</v>
      </c>
      <c r="F121" s="276">
        <v>50</v>
      </c>
      <c r="G121" s="276">
        <v>38</v>
      </c>
      <c r="H121" s="276">
        <v>88</v>
      </c>
      <c r="I121" s="276">
        <v>5</v>
      </c>
      <c r="J121" s="276">
        <v>2</v>
      </c>
      <c r="K121" s="276">
        <v>7</v>
      </c>
      <c r="L121" s="276">
        <v>2</v>
      </c>
      <c r="M121" s="276">
        <v>3</v>
      </c>
      <c r="N121" s="276">
        <v>5</v>
      </c>
      <c r="O121" s="271">
        <v>62</v>
      </c>
      <c r="P121" s="271">
        <v>55</v>
      </c>
      <c r="Q121" s="271">
        <v>117</v>
      </c>
      <c r="R121" s="13"/>
      <c r="S121" s="13"/>
      <c r="T121" s="13"/>
      <c r="U121" s="13"/>
      <c r="V121" s="13"/>
      <c r="W121" s="13"/>
      <c r="X121" s="13"/>
    </row>
    <row r="122" spans="2:24" x14ac:dyDescent="0.25">
      <c r="B122" s="136" t="s">
        <v>175</v>
      </c>
      <c r="C122" s="276">
        <v>5</v>
      </c>
      <c r="D122" s="276">
        <v>8</v>
      </c>
      <c r="E122" s="276">
        <v>13</v>
      </c>
      <c r="F122" s="276">
        <v>27</v>
      </c>
      <c r="G122" s="276">
        <v>35</v>
      </c>
      <c r="H122" s="276">
        <v>62</v>
      </c>
      <c r="I122" s="276">
        <v>14</v>
      </c>
      <c r="J122" s="276">
        <v>4</v>
      </c>
      <c r="K122" s="276">
        <v>18</v>
      </c>
      <c r="L122" s="276"/>
      <c r="M122" s="276">
        <v>3</v>
      </c>
      <c r="N122" s="276">
        <v>3</v>
      </c>
      <c r="O122" s="271">
        <v>46</v>
      </c>
      <c r="P122" s="271">
        <v>50</v>
      </c>
      <c r="Q122" s="271">
        <v>96</v>
      </c>
      <c r="R122" s="13"/>
      <c r="S122" s="13"/>
      <c r="T122" s="13"/>
      <c r="U122" s="13"/>
      <c r="V122" s="13"/>
      <c r="W122" s="13"/>
      <c r="X122" s="13"/>
    </row>
    <row r="123" spans="2:24" x14ac:dyDescent="0.25">
      <c r="B123" s="136" t="s">
        <v>176</v>
      </c>
      <c r="C123" s="276">
        <v>6</v>
      </c>
      <c r="D123" s="276">
        <v>3</v>
      </c>
      <c r="E123" s="276">
        <v>9</v>
      </c>
      <c r="F123" s="276">
        <v>23</v>
      </c>
      <c r="G123" s="276">
        <v>22</v>
      </c>
      <c r="H123" s="276">
        <v>45</v>
      </c>
      <c r="I123" s="276">
        <v>5</v>
      </c>
      <c r="J123" s="276">
        <v>3</v>
      </c>
      <c r="K123" s="276">
        <v>8</v>
      </c>
      <c r="L123" s="276">
        <v>1</v>
      </c>
      <c r="M123" s="276"/>
      <c r="N123" s="276">
        <v>1</v>
      </c>
      <c r="O123" s="271">
        <v>35</v>
      </c>
      <c r="P123" s="271">
        <v>28</v>
      </c>
      <c r="Q123" s="271">
        <v>63</v>
      </c>
      <c r="R123" s="13"/>
      <c r="S123" s="13"/>
      <c r="T123" s="13"/>
      <c r="U123" s="13"/>
      <c r="V123" s="13"/>
      <c r="W123" s="13"/>
      <c r="X123" s="13"/>
    </row>
    <row r="124" spans="2:24" x14ac:dyDescent="0.25">
      <c r="B124" s="136" t="s">
        <v>177</v>
      </c>
      <c r="C124" s="276">
        <v>7</v>
      </c>
      <c r="D124" s="276">
        <v>11</v>
      </c>
      <c r="E124" s="276">
        <v>18</v>
      </c>
      <c r="F124" s="276">
        <v>52</v>
      </c>
      <c r="G124" s="276">
        <v>41</v>
      </c>
      <c r="H124" s="276">
        <v>93</v>
      </c>
      <c r="I124" s="276">
        <v>7</v>
      </c>
      <c r="J124" s="276">
        <v>7</v>
      </c>
      <c r="K124" s="276">
        <v>14</v>
      </c>
      <c r="L124" s="276">
        <v>2</v>
      </c>
      <c r="M124" s="276">
        <v>2</v>
      </c>
      <c r="N124" s="276">
        <v>4</v>
      </c>
      <c r="O124" s="271">
        <v>68</v>
      </c>
      <c r="P124" s="271">
        <v>61</v>
      </c>
      <c r="Q124" s="271">
        <v>129</v>
      </c>
      <c r="R124" s="13"/>
      <c r="S124" s="13"/>
      <c r="T124" s="13"/>
      <c r="U124" s="13"/>
      <c r="V124" s="13"/>
      <c r="W124" s="13"/>
      <c r="X124" s="13"/>
    </row>
    <row r="125" spans="2:24" x14ac:dyDescent="0.25">
      <c r="B125" s="136" t="s">
        <v>178</v>
      </c>
      <c r="C125" s="276">
        <v>6</v>
      </c>
      <c r="D125" s="276">
        <v>13</v>
      </c>
      <c r="E125" s="276">
        <v>19</v>
      </c>
      <c r="F125" s="276">
        <v>74</v>
      </c>
      <c r="G125" s="276">
        <v>47</v>
      </c>
      <c r="H125" s="276">
        <v>121</v>
      </c>
      <c r="I125" s="276">
        <v>12</v>
      </c>
      <c r="J125" s="276"/>
      <c r="K125" s="276">
        <v>12</v>
      </c>
      <c r="L125" s="276">
        <v>2</v>
      </c>
      <c r="M125" s="276">
        <v>2</v>
      </c>
      <c r="N125" s="276">
        <v>4</v>
      </c>
      <c r="O125" s="271">
        <v>94</v>
      </c>
      <c r="P125" s="271">
        <v>62</v>
      </c>
      <c r="Q125" s="271">
        <v>156</v>
      </c>
      <c r="R125" s="13"/>
      <c r="S125" s="13"/>
      <c r="T125" s="13"/>
      <c r="U125" s="13"/>
      <c r="V125" s="13"/>
      <c r="W125" s="13"/>
      <c r="X125" s="13"/>
    </row>
    <row r="126" spans="2:24" x14ac:dyDescent="0.25">
      <c r="B126" s="136" t="s">
        <v>179</v>
      </c>
      <c r="C126" s="276">
        <v>4</v>
      </c>
      <c r="D126" s="276">
        <v>7</v>
      </c>
      <c r="E126" s="276">
        <v>11</v>
      </c>
      <c r="F126" s="276">
        <v>13</v>
      </c>
      <c r="G126" s="276">
        <v>18</v>
      </c>
      <c r="H126" s="276">
        <v>31</v>
      </c>
      <c r="I126" s="276">
        <v>4</v>
      </c>
      <c r="J126" s="276"/>
      <c r="K126" s="276">
        <v>4</v>
      </c>
      <c r="L126" s="276">
        <v>3</v>
      </c>
      <c r="M126" s="276">
        <v>1</v>
      </c>
      <c r="N126" s="276">
        <v>4</v>
      </c>
      <c r="O126" s="271">
        <v>24</v>
      </c>
      <c r="P126" s="271">
        <v>26</v>
      </c>
      <c r="Q126" s="271">
        <v>50</v>
      </c>
      <c r="R126" s="13"/>
      <c r="S126" s="13"/>
      <c r="T126" s="13"/>
      <c r="U126" s="13"/>
      <c r="V126" s="13"/>
      <c r="W126" s="13"/>
      <c r="X126" s="13"/>
    </row>
    <row r="127" spans="2:24" x14ac:dyDescent="0.25">
      <c r="B127" s="136" t="s">
        <v>180</v>
      </c>
      <c r="C127" s="276">
        <v>12</v>
      </c>
      <c r="D127" s="276">
        <v>9</v>
      </c>
      <c r="E127" s="276">
        <v>21</v>
      </c>
      <c r="F127" s="276">
        <v>107</v>
      </c>
      <c r="G127" s="276">
        <v>68</v>
      </c>
      <c r="H127" s="276">
        <v>175</v>
      </c>
      <c r="I127" s="276">
        <v>8</v>
      </c>
      <c r="J127" s="276">
        <v>4</v>
      </c>
      <c r="K127" s="276">
        <v>12</v>
      </c>
      <c r="L127" s="276">
        <v>1</v>
      </c>
      <c r="M127" s="276">
        <v>3</v>
      </c>
      <c r="N127" s="276">
        <v>4</v>
      </c>
      <c r="O127" s="271">
        <v>128</v>
      </c>
      <c r="P127" s="271">
        <v>84</v>
      </c>
      <c r="Q127" s="271">
        <v>212</v>
      </c>
      <c r="R127" s="13"/>
      <c r="S127" s="13"/>
      <c r="T127" s="13"/>
      <c r="U127" s="13"/>
      <c r="V127" s="13"/>
      <c r="W127" s="13"/>
      <c r="X127" s="13"/>
    </row>
    <row r="128" spans="2:24" x14ac:dyDescent="0.25">
      <c r="B128" s="136" t="s">
        <v>181</v>
      </c>
      <c r="C128" s="276">
        <v>7</v>
      </c>
      <c r="D128" s="276">
        <v>4</v>
      </c>
      <c r="E128" s="276">
        <v>11</v>
      </c>
      <c r="F128" s="276">
        <v>35</v>
      </c>
      <c r="G128" s="276">
        <v>38</v>
      </c>
      <c r="H128" s="276">
        <v>73</v>
      </c>
      <c r="I128" s="276">
        <v>3</v>
      </c>
      <c r="J128" s="276">
        <v>6</v>
      </c>
      <c r="K128" s="276">
        <v>9</v>
      </c>
      <c r="L128" s="276">
        <v>2</v>
      </c>
      <c r="M128" s="276">
        <v>4</v>
      </c>
      <c r="N128" s="276">
        <v>6</v>
      </c>
      <c r="O128" s="271">
        <v>47</v>
      </c>
      <c r="P128" s="271">
        <v>52</v>
      </c>
      <c r="Q128" s="271">
        <v>99</v>
      </c>
      <c r="R128" s="13"/>
      <c r="S128" s="13"/>
      <c r="T128" s="13"/>
      <c r="U128" s="13"/>
      <c r="V128" s="13"/>
      <c r="W128" s="13"/>
      <c r="X128" s="13"/>
    </row>
    <row r="129" spans="2:24" x14ac:dyDescent="0.25">
      <c r="B129" s="136" t="s">
        <v>182</v>
      </c>
      <c r="C129" s="276">
        <v>11</v>
      </c>
      <c r="D129" s="276">
        <v>9</v>
      </c>
      <c r="E129" s="276">
        <v>20</v>
      </c>
      <c r="F129" s="276">
        <v>50</v>
      </c>
      <c r="G129" s="276">
        <v>40</v>
      </c>
      <c r="H129" s="276">
        <v>90</v>
      </c>
      <c r="I129" s="276">
        <v>8</v>
      </c>
      <c r="J129" s="276">
        <v>7</v>
      </c>
      <c r="K129" s="276">
        <v>15</v>
      </c>
      <c r="L129" s="276">
        <v>1</v>
      </c>
      <c r="M129" s="276">
        <v>2</v>
      </c>
      <c r="N129" s="276">
        <v>3</v>
      </c>
      <c r="O129" s="271">
        <v>70</v>
      </c>
      <c r="P129" s="271">
        <v>58</v>
      </c>
      <c r="Q129" s="271">
        <v>128</v>
      </c>
      <c r="R129" s="13"/>
      <c r="S129" s="13"/>
      <c r="T129" s="13"/>
      <c r="U129" s="13"/>
      <c r="V129" s="13"/>
      <c r="W129" s="13"/>
      <c r="X129" s="13"/>
    </row>
    <row r="130" spans="2:24" x14ac:dyDescent="0.25">
      <c r="B130" s="136" t="s">
        <v>183</v>
      </c>
      <c r="C130" s="276">
        <v>7</v>
      </c>
      <c r="D130" s="276">
        <v>8</v>
      </c>
      <c r="E130" s="276">
        <v>15</v>
      </c>
      <c r="F130" s="276">
        <v>27</v>
      </c>
      <c r="G130" s="276">
        <v>28</v>
      </c>
      <c r="H130" s="276">
        <v>55</v>
      </c>
      <c r="I130" s="276">
        <v>11</v>
      </c>
      <c r="J130" s="276">
        <v>4</v>
      </c>
      <c r="K130" s="276">
        <v>15</v>
      </c>
      <c r="L130" s="276">
        <v>3</v>
      </c>
      <c r="M130" s="276">
        <v>3</v>
      </c>
      <c r="N130" s="276">
        <v>6</v>
      </c>
      <c r="O130" s="271">
        <v>48</v>
      </c>
      <c r="P130" s="271">
        <v>43</v>
      </c>
      <c r="Q130" s="271">
        <v>91</v>
      </c>
      <c r="R130" s="13"/>
      <c r="S130" s="13"/>
      <c r="T130" s="13"/>
      <c r="U130" s="13"/>
      <c r="V130" s="13"/>
      <c r="W130" s="13"/>
      <c r="X130" s="13"/>
    </row>
    <row r="131" spans="2:24" x14ac:dyDescent="0.25">
      <c r="B131" s="136" t="s">
        <v>184</v>
      </c>
      <c r="C131" s="276"/>
      <c r="D131" s="276"/>
      <c r="E131" s="276"/>
      <c r="F131" s="276">
        <v>3</v>
      </c>
      <c r="G131" s="276">
        <v>7</v>
      </c>
      <c r="H131" s="276">
        <v>10</v>
      </c>
      <c r="I131" s="276">
        <v>2</v>
      </c>
      <c r="J131" s="276"/>
      <c r="K131" s="276">
        <v>2</v>
      </c>
      <c r="L131" s="276"/>
      <c r="M131" s="276"/>
      <c r="N131" s="276"/>
      <c r="O131" s="271">
        <v>5</v>
      </c>
      <c r="P131" s="271">
        <v>7</v>
      </c>
      <c r="Q131" s="271">
        <v>12</v>
      </c>
      <c r="R131" s="13"/>
      <c r="S131" s="13"/>
      <c r="T131" s="13"/>
      <c r="U131" s="13"/>
      <c r="V131" s="13"/>
      <c r="W131" s="13"/>
      <c r="X131" s="13"/>
    </row>
    <row r="132" spans="2:24" x14ac:dyDescent="0.25">
      <c r="B132" s="136" t="s">
        <v>185</v>
      </c>
      <c r="C132" s="276">
        <v>1</v>
      </c>
      <c r="D132" s="276"/>
      <c r="E132" s="276">
        <v>1</v>
      </c>
      <c r="F132" s="276">
        <v>4</v>
      </c>
      <c r="G132" s="276">
        <v>3</v>
      </c>
      <c r="H132" s="276">
        <v>7</v>
      </c>
      <c r="I132" s="276"/>
      <c r="J132" s="276"/>
      <c r="K132" s="276"/>
      <c r="L132" s="276"/>
      <c r="M132" s="276"/>
      <c r="N132" s="276"/>
      <c r="O132" s="271">
        <v>5</v>
      </c>
      <c r="P132" s="271">
        <v>3</v>
      </c>
      <c r="Q132" s="271">
        <v>8</v>
      </c>
      <c r="R132" s="13"/>
      <c r="S132" s="13"/>
      <c r="T132" s="13"/>
      <c r="U132" s="13"/>
      <c r="V132" s="13"/>
      <c r="W132" s="13"/>
      <c r="X132" s="13"/>
    </row>
    <row r="133" spans="2:24" x14ac:dyDescent="0.25">
      <c r="B133" s="136" t="s">
        <v>186</v>
      </c>
      <c r="C133" s="276">
        <v>9</v>
      </c>
      <c r="D133" s="276">
        <v>19</v>
      </c>
      <c r="E133" s="276">
        <v>28</v>
      </c>
      <c r="F133" s="276">
        <v>85</v>
      </c>
      <c r="G133" s="276">
        <v>79</v>
      </c>
      <c r="H133" s="276">
        <v>164</v>
      </c>
      <c r="I133" s="276">
        <v>17</v>
      </c>
      <c r="J133" s="276">
        <v>5</v>
      </c>
      <c r="K133" s="276">
        <v>22</v>
      </c>
      <c r="L133" s="276">
        <v>2</v>
      </c>
      <c r="M133" s="276">
        <v>12</v>
      </c>
      <c r="N133" s="276">
        <v>14</v>
      </c>
      <c r="O133" s="271">
        <v>113</v>
      </c>
      <c r="P133" s="271">
        <v>115</v>
      </c>
      <c r="Q133" s="271">
        <v>228</v>
      </c>
      <c r="R133" s="13"/>
      <c r="S133" s="13"/>
      <c r="T133" s="13"/>
      <c r="U133" s="13"/>
      <c r="V133" s="13"/>
      <c r="W133" s="13"/>
      <c r="X133" s="13"/>
    </row>
    <row r="134" spans="2:24" x14ac:dyDescent="0.25">
      <c r="B134" s="136" t="s">
        <v>187</v>
      </c>
      <c r="C134" s="276">
        <v>6</v>
      </c>
      <c r="D134" s="276">
        <v>4</v>
      </c>
      <c r="E134" s="276">
        <v>10</v>
      </c>
      <c r="F134" s="276">
        <v>24</v>
      </c>
      <c r="G134" s="276">
        <v>28</v>
      </c>
      <c r="H134" s="276">
        <v>52</v>
      </c>
      <c r="I134" s="276">
        <v>1</v>
      </c>
      <c r="J134" s="276">
        <v>5</v>
      </c>
      <c r="K134" s="276">
        <v>6</v>
      </c>
      <c r="L134" s="276">
        <v>1</v>
      </c>
      <c r="M134" s="276"/>
      <c r="N134" s="276">
        <v>1</v>
      </c>
      <c r="O134" s="271">
        <v>32</v>
      </c>
      <c r="P134" s="271">
        <v>37</v>
      </c>
      <c r="Q134" s="271">
        <v>69</v>
      </c>
      <c r="R134" s="13"/>
      <c r="S134" s="13"/>
      <c r="T134" s="13"/>
      <c r="U134" s="13"/>
      <c r="V134" s="13"/>
      <c r="W134" s="13"/>
      <c r="X134" s="13"/>
    </row>
    <row r="135" spans="2:24" x14ac:dyDescent="0.25">
      <c r="B135" s="136" t="s">
        <v>188</v>
      </c>
      <c r="C135" s="276">
        <v>15</v>
      </c>
      <c r="D135" s="276">
        <v>11</v>
      </c>
      <c r="E135" s="276">
        <v>26</v>
      </c>
      <c r="F135" s="276">
        <v>76</v>
      </c>
      <c r="G135" s="276">
        <v>57</v>
      </c>
      <c r="H135" s="276">
        <v>133</v>
      </c>
      <c r="I135" s="276">
        <v>12</v>
      </c>
      <c r="J135" s="276">
        <v>3</v>
      </c>
      <c r="K135" s="276">
        <v>15</v>
      </c>
      <c r="L135" s="276">
        <v>2</v>
      </c>
      <c r="M135" s="276">
        <v>3</v>
      </c>
      <c r="N135" s="276">
        <v>5</v>
      </c>
      <c r="O135" s="271">
        <v>105</v>
      </c>
      <c r="P135" s="271">
        <v>74</v>
      </c>
      <c r="Q135" s="271">
        <v>179</v>
      </c>
      <c r="R135" s="13"/>
      <c r="S135" s="13"/>
      <c r="T135" s="13"/>
      <c r="U135" s="13"/>
      <c r="V135" s="13"/>
      <c r="W135" s="13"/>
      <c r="X135" s="13"/>
    </row>
    <row r="136" spans="2:24" x14ac:dyDescent="0.25">
      <c r="B136" s="136" t="s">
        <v>189</v>
      </c>
      <c r="C136" s="276">
        <v>20</v>
      </c>
      <c r="D136" s="276">
        <v>20</v>
      </c>
      <c r="E136" s="276">
        <v>40</v>
      </c>
      <c r="F136" s="276">
        <v>114</v>
      </c>
      <c r="G136" s="276">
        <v>69</v>
      </c>
      <c r="H136" s="276">
        <v>183</v>
      </c>
      <c r="I136" s="276">
        <v>14</v>
      </c>
      <c r="J136" s="276">
        <v>7</v>
      </c>
      <c r="K136" s="276">
        <v>21</v>
      </c>
      <c r="L136" s="276">
        <v>2</v>
      </c>
      <c r="M136" s="276">
        <v>6</v>
      </c>
      <c r="N136" s="276">
        <v>8</v>
      </c>
      <c r="O136" s="271">
        <v>150</v>
      </c>
      <c r="P136" s="271">
        <v>102</v>
      </c>
      <c r="Q136" s="271">
        <v>252</v>
      </c>
      <c r="R136" s="13"/>
      <c r="S136" s="13"/>
      <c r="T136" s="13"/>
      <c r="U136" s="13"/>
      <c r="V136" s="13"/>
      <c r="W136" s="13"/>
      <c r="X136" s="13"/>
    </row>
    <row r="137" spans="2:24" x14ac:dyDescent="0.25">
      <c r="B137" s="136" t="s">
        <v>190</v>
      </c>
      <c r="C137" s="276">
        <v>6</v>
      </c>
      <c r="D137" s="276">
        <v>5</v>
      </c>
      <c r="E137" s="276">
        <v>11</v>
      </c>
      <c r="F137" s="276">
        <v>48</v>
      </c>
      <c r="G137" s="276">
        <v>38</v>
      </c>
      <c r="H137" s="276">
        <v>86</v>
      </c>
      <c r="I137" s="276">
        <v>11</v>
      </c>
      <c r="J137" s="276">
        <v>3</v>
      </c>
      <c r="K137" s="276">
        <v>14</v>
      </c>
      <c r="L137" s="276"/>
      <c r="M137" s="276">
        <v>7</v>
      </c>
      <c r="N137" s="276">
        <v>7</v>
      </c>
      <c r="O137" s="271">
        <v>65</v>
      </c>
      <c r="P137" s="271">
        <v>53</v>
      </c>
      <c r="Q137" s="271">
        <v>118</v>
      </c>
      <c r="R137" s="13"/>
      <c r="S137" s="13"/>
      <c r="T137" s="13"/>
      <c r="U137" s="13"/>
      <c r="V137" s="13"/>
      <c r="W137" s="13"/>
      <c r="X137" s="13"/>
    </row>
    <row r="138" spans="2:24" x14ac:dyDescent="0.25">
      <c r="B138" s="136" t="s">
        <v>191</v>
      </c>
      <c r="C138" s="276">
        <v>32</v>
      </c>
      <c r="D138" s="276">
        <v>10</v>
      </c>
      <c r="E138" s="276">
        <v>42</v>
      </c>
      <c r="F138" s="276">
        <v>137</v>
      </c>
      <c r="G138" s="276">
        <v>109</v>
      </c>
      <c r="H138" s="276">
        <v>246</v>
      </c>
      <c r="I138" s="276">
        <v>22</v>
      </c>
      <c r="J138" s="276">
        <v>7</v>
      </c>
      <c r="K138" s="276">
        <v>29</v>
      </c>
      <c r="L138" s="276">
        <v>8</v>
      </c>
      <c r="M138" s="276">
        <v>2</v>
      </c>
      <c r="N138" s="276">
        <v>10</v>
      </c>
      <c r="O138" s="271">
        <v>199</v>
      </c>
      <c r="P138" s="271">
        <v>128</v>
      </c>
      <c r="Q138" s="271">
        <v>327</v>
      </c>
      <c r="R138" s="13"/>
      <c r="S138" s="13"/>
      <c r="T138" s="13"/>
      <c r="U138" s="13"/>
      <c r="V138" s="13"/>
      <c r="W138" s="13"/>
      <c r="X138" s="13"/>
    </row>
    <row r="139" spans="2:24" x14ac:dyDescent="0.25">
      <c r="B139" s="136" t="s">
        <v>192</v>
      </c>
      <c r="C139" s="276">
        <v>8</v>
      </c>
      <c r="D139" s="276">
        <v>2</v>
      </c>
      <c r="E139" s="276">
        <v>10</v>
      </c>
      <c r="F139" s="276">
        <v>42</v>
      </c>
      <c r="G139" s="276">
        <v>40</v>
      </c>
      <c r="H139" s="276">
        <v>82</v>
      </c>
      <c r="I139" s="276">
        <v>6</v>
      </c>
      <c r="J139" s="276">
        <v>1</v>
      </c>
      <c r="K139" s="276">
        <v>7</v>
      </c>
      <c r="L139" s="276">
        <v>2</v>
      </c>
      <c r="M139" s="276">
        <v>4</v>
      </c>
      <c r="N139" s="276">
        <v>6</v>
      </c>
      <c r="O139" s="271">
        <v>58</v>
      </c>
      <c r="P139" s="271">
        <v>47</v>
      </c>
      <c r="Q139" s="271">
        <v>105</v>
      </c>
      <c r="R139" s="13"/>
      <c r="S139" s="13"/>
      <c r="T139" s="13"/>
      <c r="U139" s="13"/>
      <c r="V139" s="13"/>
      <c r="W139" s="13"/>
      <c r="X139" s="13"/>
    </row>
    <row r="140" spans="2:24" x14ac:dyDescent="0.25">
      <c r="B140" s="136" t="s">
        <v>193</v>
      </c>
      <c r="C140" s="276">
        <v>4</v>
      </c>
      <c r="D140" s="276">
        <v>11</v>
      </c>
      <c r="E140" s="276">
        <v>15</v>
      </c>
      <c r="F140" s="276">
        <v>41</v>
      </c>
      <c r="G140" s="276">
        <v>40</v>
      </c>
      <c r="H140" s="276">
        <v>81</v>
      </c>
      <c r="I140" s="276">
        <v>12</v>
      </c>
      <c r="J140" s="276">
        <v>2</v>
      </c>
      <c r="K140" s="276">
        <v>14</v>
      </c>
      <c r="L140" s="276">
        <v>1</v>
      </c>
      <c r="M140" s="276">
        <v>3</v>
      </c>
      <c r="N140" s="276">
        <v>4</v>
      </c>
      <c r="O140" s="271">
        <v>58</v>
      </c>
      <c r="P140" s="271">
        <v>56</v>
      </c>
      <c r="Q140" s="271">
        <v>114</v>
      </c>
      <c r="R140" s="13"/>
      <c r="S140" s="13"/>
      <c r="T140" s="13"/>
      <c r="U140" s="13"/>
      <c r="V140" s="13"/>
      <c r="W140" s="13"/>
      <c r="X140" s="13"/>
    </row>
    <row r="141" spans="2:24" x14ac:dyDescent="0.25">
      <c r="B141" s="136" t="s">
        <v>194</v>
      </c>
      <c r="C141" s="276">
        <v>3</v>
      </c>
      <c r="D141" s="276">
        <v>5</v>
      </c>
      <c r="E141" s="276">
        <v>8</v>
      </c>
      <c r="F141" s="276">
        <v>11</v>
      </c>
      <c r="G141" s="276">
        <v>11</v>
      </c>
      <c r="H141" s="276">
        <v>22</v>
      </c>
      <c r="I141" s="276">
        <v>2</v>
      </c>
      <c r="J141" s="276"/>
      <c r="K141" s="276">
        <v>2</v>
      </c>
      <c r="L141" s="276"/>
      <c r="M141" s="276"/>
      <c r="N141" s="276"/>
      <c r="O141" s="271">
        <v>16</v>
      </c>
      <c r="P141" s="271">
        <v>16</v>
      </c>
      <c r="Q141" s="271">
        <v>32</v>
      </c>
      <c r="R141" s="13"/>
      <c r="S141" s="13"/>
      <c r="T141" s="13"/>
      <c r="U141" s="13"/>
      <c r="V141" s="13"/>
      <c r="W141" s="13"/>
      <c r="X141" s="13"/>
    </row>
    <row r="142" spans="2:24" x14ac:dyDescent="0.25">
      <c r="B142" s="136" t="s">
        <v>195</v>
      </c>
      <c r="C142" s="276">
        <v>4</v>
      </c>
      <c r="D142" s="276">
        <v>2</v>
      </c>
      <c r="E142" s="276">
        <v>6</v>
      </c>
      <c r="F142" s="276">
        <v>21</v>
      </c>
      <c r="G142" s="276">
        <v>15</v>
      </c>
      <c r="H142" s="276">
        <v>36</v>
      </c>
      <c r="I142" s="276">
        <v>8</v>
      </c>
      <c r="J142" s="276">
        <v>2</v>
      </c>
      <c r="K142" s="276">
        <v>10</v>
      </c>
      <c r="L142" s="276"/>
      <c r="M142" s="276">
        <v>1</v>
      </c>
      <c r="N142" s="276">
        <v>1</v>
      </c>
      <c r="O142" s="271">
        <v>33</v>
      </c>
      <c r="P142" s="271">
        <v>20</v>
      </c>
      <c r="Q142" s="271">
        <v>53</v>
      </c>
      <c r="R142" s="13"/>
      <c r="S142" s="13"/>
      <c r="T142" s="13"/>
      <c r="U142" s="13"/>
      <c r="V142" s="13"/>
      <c r="W142" s="13"/>
      <c r="X142" s="13"/>
    </row>
    <row r="143" spans="2:24" x14ac:dyDescent="0.25">
      <c r="B143" s="136" t="s">
        <v>196</v>
      </c>
      <c r="C143" s="276">
        <v>4</v>
      </c>
      <c r="D143" s="276">
        <v>1</v>
      </c>
      <c r="E143" s="276">
        <v>5</v>
      </c>
      <c r="F143" s="276">
        <v>13</v>
      </c>
      <c r="G143" s="276">
        <v>18</v>
      </c>
      <c r="H143" s="276">
        <v>31</v>
      </c>
      <c r="I143" s="276">
        <v>5</v>
      </c>
      <c r="J143" s="276"/>
      <c r="K143" s="276">
        <v>5</v>
      </c>
      <c r="L143" s="276">
        <v>1</v>
      </c>
      <c r="M143" s="276">
        <v>3</v>
      </c>
      <c r="N143" s="276">
        <v>4</v>
      </c>
      <c r="O143" s="271">
        <v>23</v>
      </c>
      <c r="P143" s="271">
        <v>22</v>
      </c>
      <c r="Q143" s="271">
        <v>45</v>
      </c>
      <c r="R143" s="13"/>
      <c r="S143" s="13"/>
      <c r="T143" s="13"/>
      <c r="U143" s="13"/>
      <c r="V143" s="13"/>
      <c r="W143" s="13"/>
      <c r="X143" s="13"/>
    </row>
    <row r="144" spans="2:24" x14ac:dyDescent="0.25">
      <c r="B144" s="136" t="s">
        <v>197</v>
      </c>
      <c r="C144" s="276">
        <v>5</v>
      </c>
      <c r="D144" s="276">
        <v>11</v>
      </c>
      <c r="E144" s="276">
        <v>16</v>
      </c>
      <c r="F144" s="276">
        <v>46</v>
      </c>
      <c r="G144" s="276">
        <v>36</v>
      </c>
      <c r="H144" s="276">
        <v>82</v>
      </c>
      <c r="I144" s="276">
        <v>5</v>
      </c>
      <c r="J144" s="276">
        <v>5</v>
      </c>
      <c r="K144" s="276">
        <v>10</v>
      </c>
      <c r="L144" s="276">
        <v>2</v>
      </c>
      <c r="M144" s="276">
        <v>1</v>
      </c>
      <c r="N144" s="276">
        <v>3</v>
      </c>
      <c r="O144" s="271">
        <v>58</v>
      </c>
      <c r="P144" s="271">
        <v>53</v>
      </c>
      <c r="Q144" s="271">
        <v>111</v>
      </c>
      <c r="R144" s="13"/>
      <c r="S144" s="13"/>
      <c r="T144" s="13"/>
      <c r="U144" s="13"/>
      <c r="V144" s="13"/>
      <c r="W144" s="13"/>
      <c r="X144" s="13"/>
    </row>
    <row r="145" spans="2:24" x14ac:dyDescent="0.25">
      <c r="B145" s="136" t="s">
        <v>198</v>
      </c>
      <c r="C145" s="276">
        <v>4</v>
      </c>
      <c r="D145" s="276">
        <v>3</v>
      </c>
      <c r="E145" s="276">
        <v>7</v>
      </c>
      <c r="F145" s="276">
        <v>30</v>
      </c>
      <c r="G145" s="276">
        <v>22</v>
      </c>
      <c r="H145" s="276">
        <v>52</v>
      </c>
      <c r="I145" s="276">
        <v>7</v>
      </c>
      <c r="J145" s="276">
        <v>3</v>
      </c>
      <c r="K145" s="276">
        <v>10</v>
      </c>
      <c r="L145" s="276"/>
      <c r="M145" s="276">
        <v>4</v>
      </c>
      <c r="N145" s="276">
        <v>4</v>
      </c>
      <c r="O145" s="271">
        <v>41</v>
      </c>
      <c r="P145" s="271">
        <v>32</v>
      </c>
      <c r="Q145" s="271">
        <v>73</v>
      </c>
      <c r="R145" s="13"/>
      <c r="S145" s="13"/>
      <c r="T145" s="13"/>
      <c r="U145" s="13"/>
      <c r="V145" s="13"/>
      <c r="W145" s="13"/>
      <c r="X145" s="13"/>
    </row>
    <row r="146" spans="2:24" x14ac:dyDescent="0.25">
      <c r="B146" s="136" t="s">
        <v>199</v>
      </c>
      <c r="C146" s="276">
        <v>37</v>
      </c>
      <c r="D146" s="276">
        <v>39</v>
      </c>
      <c r="E146" s="276">
        <v>76</v>
      </c>
      <c r="F146" s="276">
        <v>167</v>
      </c>
      <c r="G146" s="276">
        <v>136</v>
      </c>
      <c r="H146" s="276">
        <v>303</v>
      </c>
      <c r="I146" s="276">
        <v>28</v>
      </c>
      <c r="J146" s="276">
        <v>15</v>
      </c>
      <c r="K146" s="276">
        <v>43</v>
      </c>
      <c r="L146" s="276">
        <v>11</v>
      </c>
      <c r="M146" s="276">
        <v>11</v>
      </c>
      <c r="N146" s="276">
        <v>22</v>
      </c>
      <c r="O146" s="271">
        <v>243</v>
      </c>
      <c r="P146" s="271">
        <v>201</v>
      </c>
      <c r="Q146" s="271">
        <v>444</v>
      </c>
      <c r="R146" s="13"/>
      <c r="S146" s="13"/>
      <c r="T146" s="13"/>
      <c r="U146" s="13"/>
      <c r="V146" s="13"/>
      <c r="W146" s="13"/>
      <c r="X146" s="13"/>
    </row>
    <row r="147" spans="2:24" x14ac:dyDescent="0.25">
      <c r="B147" s="136" t="s">
        <v>200</v>
      </c>
      <c r="C147" s="276">
        <v>71</v>
      </c>
      <c r="D147" s="276">
        <v>27</v>
      </c>
      <c r="E147" s="276">
        <v>98</v>
      </c>
      <c r="F147" s="276">
        <v>321</v>
      </c>
      <c r="G147" s="276">
        <v>249</v>
      </c>
      <c r="H147" s="276">
        <v>570</v>
      </c>
      <c r="I147" s="276">
        <v>36</v>
      </c>
      <c r="J147" s="276">
        <v>14</v>
      </c>
      <c r="K147" s="276">
        <v>50</v>
      </c>
      <c r="L147" s="276">
        <v>9</v>
      </c>
      <c r="M147" s="276">
        <v>25</v>
      </c>
      <c r="N147" s="276">
        <v>34</v>
      </c>
      <c r="O147" s="271">
        <v>437</v>
      </c>
      <c r="P147" s="271">
        <v>315</v>
      </c>
      <c r="Q147" s="271">
        <v>752</v>
      </c>
      <c r="R147" s="13"/>
      <c r="S147" s="13"/>
      <c r="T147" s="13"/>
      <c r="U147" s="13"/>
      <c r="V147" s="13"/>
      <c r="W147" s="13"/>
      <c r="X147" s="13"/>
    </row>
    <row r="148" spans="2:24" x14ac:dyDescent="0.25">
      <c r="B148" s="136" t="s">
        <v>201</v>
      </c>
      <c r="C148" s="276">
        <v>7</v>
      </c>
      <c r="D148" s="276">
        <v>14</v>
      </c>
      <c r="E148" s="276">
        <v>21</v>
      </c>
      <c r="F148" s="276">
        <v>65</v>
      </c>
      <c r="G148" s="276">
        <v>64</v>
      </c>
      <c r="H148" s="276">
        <v>129</v>
      </c>
      <c r="I148" s="276">
        <v>11</v>
      </c>
      <c r="J148" s="276">
        <v>5</v>
      </c>
      <c r="K148" s="276">
        <v>16</v>
      </c>
      <c r="L148" s="276">
        <v>1</v>
      </c>
      <c r="M148" s="276">
        <v>7</v>
      </c>
      <c r="N148" s="276">
        <v>8</v>
      </c>
      <c r="O148" s="271">
        <v>84</v>
      </c>
      <c r="P148" s="271">
        <v>90</v>
      </c>
      <c r="Q148" s="271">
        <v>174</v>
      </c>
      <c r="R148" s="13"/>
      <c r="S148" s="13"/>
      <c r="T148" s="13"/>
      <c r="U148" s="13"/>
      <c r="V148" s="13"/>
      <c r="W148" s="13"/>
      <c r="X148" s="13"/>
    </row>
    <row r="149" spans="2:24" x14ac:dyDescent="0.25">
      <c r="B149" s="136" t="s">
        <v>202</v>
      </c>
      <c r="C149" s="276"/>
      <c r="D149" s="276">
        <v>6</v>
      </c>
      <c r="E149" s="276">
        <v>6</v>
      </c>
      <c r="F149" s="276">
        <v>17</v>
      </c>
      <c r="G149" s="276">
        <v>12</v>
      </c>
      <c r="H149" s="276">
        <v>29</v>
      </c>
      <c r="I149" s="276">
        <v>3</v>
      </c>
      <c r="J149" s="276">
        <v>1</v>
      </c>
      <c r="K149" s="276">
        <v>4</v>
      </c>
      <c r="L149" s="276"/>
      <c r="M149" s="276"/>
      <c r="N149" s="276"/>
      <c r="O149" s="271">
        <v>20</v>
      </c>
      <c r="P149" s="271">
        <v>19</v>
      </c>
      <c r="Q149" s="271">
        <v>39</v>
      </c>
      <c r="R149" s="13"/>
      <c r="S149" s="13"/>
      <c r="T149" s="13"/>
      <c r="U149" s="13"/>
      <c r="V149" s="13"/>
      <c r="W149" s="13"/>
      <c r="X149" s="13"/>
    </row>
    <row r="150" spans="2:24" x14ac:dyDescent="0.25">
      <c r="B150" s="136" t="s">
        <v>203</v>
      </c>
      <c r="C150" s="276">
        <v>30</v>
      </c>
      <c r="D150" s="276">
        <v>23</v>
      </c>
      <c r="E150" s="276">
        <v>53</v>
      </c>
      <c r="F150" s="276">
        <v>187</v>
      </c>
      <c r="G150" s="276">
        <v>162</v>
      </c>
      <c r="H150" s="276">
        <v>349</v>
      </c>
      <c r="I150" s="276">
        <v>43</v>
      </c>
      <c r="J150" s="276">
        <v>18</v>
      </c>
      <c r="K150" s="276">
        <v>61</v>
      </c>
      <c r="L150" s="276">
        <v>10</v>
      </c>
      <c r="M150" s="276">
        <v>13</v>
      </c>
      <c r="N150" s="276">
        <v>23</v>
      </c>
      <c r="O150" s="271">
        <v>270</v>
      </c>
      <c r="P150" s="271">
        <v>216</v>
      </c>
      <c r="Q150" s="271">
        <v>486</v>
      </c>
      <c r="R150" s="13"/>
      <c r="S150" s="13"/>
      <c r="T150" s="13"/>
      <c r="U150" s="13"/>
      <c r="V150" s="13"/>
      <c r="W150" s="13"/>
      <c r="X150" s="13"/>
    </row>
    <row r="151" spans="2:24" x14ac:dyDescent="0.25">
      <c r="B151" s="136" t="s">
        <v>204</v>
      </c>
      <c r="C151" s="276">
        <v>4</v>
      </c>
      <c r="D151" s="276">
        <v>4</v>
      </c>
      <c r="E151" s="276">
        <v>8</v>
      </c>
      <c r="F151" s="276">
        <v>28</v>
      </c>
      <c r="G151" s="276">
        <v>28</v>
      </c>
      <c r="H151" s="276">
        <v>56</v>
      </c>
      <c r="I151" s="276">
        <v>8</v>
      </c>
      <c r="J151" s="276">
        <v>3</v>
      </c>
      <c r="K151" s="276">
        <v>11</v>
      </c>
      <c r="L151" s="276">
        <v>3</v>
      </c>
      <c r="M151" s="276">
        <v>1</v>
      </c>
      <c r="N151" s="276">
        <v>4</v>
      </c>
      <c r="O151" s="271">
        <v>43</v>
      </c>
      <c r="P151" s="271">
        <v>36</v>
      </c>
      <c r="Q151" s="271">
        <v>79</v>
      </c>
      <c r="R151" s="13"/>
      <c r="S151" s="13"/>
      <c r="T151" s="13"/>
      <c r="U151" s="13"/>
      <c r="V151" s="13"/>
      <c r="W151" s="13"/>
      <c r="X151" s="13"/>
    </row>
    <row r="152" spans="2:24" x14ac:dyDescent="0.25">
      <c r="B152" s="136" t="s">
        <v>205</v>
      </c>
      <c r="C152" s="276">
        <v>34</v>
      </c>
      <c r="D152" s="276">
        <v>16</v>
      </c>
      <c r="E152" s="276">
        <v>50</v>
      </c>
      <c r="F152" s="276">
        <v>141</v>
      </c>
      <c r="G152" s="276">
        <v>109</v>
      </c>
      <c r="H152" s="276">
        <v>250</v>
      </c>
      <c r="I152" s="276">
        <v>25</v>
      </c>
      <c r="J152" s="276">
        <v>5</v>
      </c>
      <c r="K152" s="276">
        <v>30</v>
      </c>
      <c r="L152" s="276">
        <v>9</v>
      </c>
      <c r="M152" s="276">
        <v>12</v>
      </c>
      <c r="N152" s="276">
        <v>21</v>
      </c>
      <c r="O152" s="271">
        <v>209</v>
      </c>
      <c r="P152" s="271">
        <v>142</v>
      </c>
      <c r="Q152" s="271">
        <v>351</v>
      </c>
      <c r="R152" s="13"/>
      <c r="S152" s="13"/>
      <c r="T152" s="13"/>
      <c r="U152" s="13"/>
      <c r="V152" s="13"/>
      <c r="W152" s="13"/>
      <c r="X152" s="13"/>
    </row>
    <row r="153" spans="2:24" x14ac:dyDescent="0.25">
      <c r="B153" s="136" t="s">
        <v>206</v>
      </c>
      <c r="C153" s="276">
        <v>6</v>
      </c>
      <c r="D153" s="276">
        <v>6</v>
      </c>
      <c r="E153" s="276">
        <v>12</v>
      </c>
      <c r="F153" s="276">
        <v>18</v>
      </c>
      <c r="G153" s="276">
        <v>17</v>
      </c>
      <c r="H153" s="276">
        <v>35</v>
      </c>
      <c r="I153" s="276">
        <v>3</v>
      </c>
      <c r="J153" s="276">
        <v>3</v>
      </c>
      <c r="K153" s="276">
        <v>6</v>
      </c>
      <c r="L153" s="276">
        <v>3</v>
      </c>
      <c r="M153" s="276">
        <v>2</v>
      </c>
      <c r="N153" s="276">
        <v>5</v>
      </c>
      <c r="O153" s="271">
        <v>30</v>
      </c>
      <c r="P153" s="271">
        <v>28</v>
      </c>
      <c r="Q153" s="271">
        <v>58</v>
      </c>
      <c r="R153" s="13"/>
      <c r="S153" s="13"/>
      <c r="T153" s="13"/>
      <c r="U153" s="13"/>
      <c r="V153" s="13"/>
      <c r="W153" s="13"/>
      <c r="X153" s="13"/>
    </row>
    <row r="154" spans="2:24" x14ac:dyDescent="0.25">
      <c r="B154" s="136" t="s">
        <v>207</v>
      </c>
      <c r="C154" s="276">
        <v>6</v>
      </c>
      <c r="D154" s="276">
        <v>2</v>
      </c>
      <c r="E154" s="276">
        <v>8</v>
      </c>
      <c r="F154" s="276">
        <v>34</v>
      </c>
      <c r="G154" s="276">
        <v>20</v>
      </c>
      <c r="H154" s="276">
        <v>54</v>
      </c>
      <c r="I154" s="276">
        <v>2</v>
      </c>
      <c r="J154" s="276"/>
      <c r="K154" s="276">
        <v>2</v>
      </c>
      <c r="L154" s="276"/>
      <c r="M154" s="276">
        <v>2</v>
      </c>
      <c r="N154" s="276">
        <v>2</v>
      </c>
      <c r="O154" s="271">
        <v>42</v>
      </c>
      <c r="P154" s="271">
        <v>24</v>
      </c>
      <c r="Q154" s="271">
        <v>66</v>
      </c>
      <c r="R154" s="13"/>
      <c r="S154" s="13"/>
      <c r="T154" s="13"/>
      <c r="U154" s="13"/>
      <c r="V154" s="13"/>
      <c r="W154" s="13"/>
      <c r="X154" s="13"/>
    </row>
    <row r="155" spans="2:24" x14ac:dyDescent="0.25">
      <c r="B155" s="136" t="s">
        <v>208</v>
      </c>
      <c r="C155" s="276">
        <v>77</v>
      </c>
      <c r="D155" s="276">
        <v>84</v>
      </c>
      <c r="E155" s="276">
        <v>161</v>
      </c>
      <c r="F155" s="276">
        <v>546</v>
      </c>
      <c r="G155" s="276">
        <v>434</v>
      </c>
      <c r="H155" s="276">
        <v>980</v>
      </c>
      <c r="I155" s="276">
        <v>71</v>
      </c>
      <c r="J155" s="276">
        <v>49</v>
      </c>
      <c r="K155" s="276">
        <v>120</v>
      </c>
      <c r="L155" s="276">
        <v>22</v>
      </c>
      <c r="M155" s="276">
        <v>40</v>
      </c>
      <c r="N155" s="276">
        <v>62</v>
      </c>
      <c r="O155" s="271">
        <v>716</v>
      </c>
      <c r="P155" s="271">
        <v>607</v>
      </c>
      <c r="Q155" s="271">
        <v>1323</v>
      </c>
      <c r="R155" s="13"/>
      <c r="S155" s="13"/>
      <c r="T155" s="13"/>
      <c r="U155" s="13"/>
      <c r="V155" s="13"/>
      <c r="W155" s="13"/>
      <c r="X155" s="13"/>
    </row>
    <row r="156" spans="2:24" x14ac:dyDescent="0.25">
      <c r="B156" s="136" t="s">
        <v>209</v>
      </c>
      <c r="C156" s="276">
        <v>48</v>
      </c>
      <c r="D156" s="276">
        <v>32</v>
      </c>
      <c r="E156" s="276">
        <v>80</v>
      </c>
      <c r="F156" s="276">
        <v>303</v>
      </c>
      <c r="G156" s="276">
        <v>206</v>
      </c>
      <c r="H156" s="276">
        <v>509</v>
      </c>
      <c r="I156" s="276">
        <v>41</v>
      </c>
      <c r="J156" s="276">
        <v>12</v>
      </c>
      <c r="K156" s="276">
        <v>53</v>
      </c>
      <c r="L156" s="276">
        <v>12</v>
      </c>
      <c r="M156" s="276">
        <v>20</v>
      </c>
      <c r="N156" s="276">
        <v>32</v>
      </c>
      <c r="O156" s="271">
        <v>404</v>
      </c>
      <c r="P156" s="271">
        <v>270</v>
      </c>
      <c r="Q156" s="271">
        <v>674</v>
      </c>
      <c r="R156" s="13"/>
      <c r="S156" s="13"/>
      <c r="T156" s="13"/>
      <c r="U156" s="13"/>
      <c r="V156" s="13"/>
      <c r="W156" s="13"/>
      <c r="X156" s="13"/>
    </row>
    <row r="157" spans="2:24" x14ac:dyDescent="0.25">
      <c r="B157" s="156" t="s">
        <v>497</v>
      </c>
      <c r="C157" s="279">
        <v>100</v>
      </c>
      <c r="D157" s="279">
        <v>86</v>
      </c>
      <c r="E157" s="279">
        <v>186</v>
      </c>
      <c r="F157" s="279">
        <v>760</v>
      </c>
      <c r="G157" s="279">
        <v>448</v>
      </c>
      <c r="H157" s="279">
        <v>1208</v>
      </c>
      <c r="I157" s="279">
        <v>79</v>
      </c>
      <c r="J157" s="279">
        <v>45</v>
      </c>
      <c r="K157" s="279">
        <v>124</v>
      </c>
      <c r="L157" s="279">
        <v>24</v>
      </c>
      <c r="M157" s="279">
        <v>45</v>
      </c>
      <c r="N157" s="279">
        <v>69</v>
      </c>
      <c r="O157" s="271">
        <v>963</v>
      </c>
      <c r="P157" s="271">
        <v>624</v>
      </c>
      <c r="Q157" s="271">
        <v>1587</v>
      </c>
      <c r="R157" s="13"/>
      <c r="S157" s="13"/>
      <c r="T157" s="13"/>
      <c r="U157" s="13"/>
      <c r="V157" s="13"/>
      <c r="W157" s="13"/>
      <c r="X157" s="13"/>
    </row>
    <row r="158" spans="2:24" x14ac:dyDescent="0.25">
      <c r="B158" s="159" t="s">
        <v>210</v>
      </c>
      <c r="C158" s="277">
        <v>1</v>
      </c>
      <c r="D158" s="277"/>
      <c r="E158" s="277">
        <v>1</v>
      </c>
      <c r="F158" s="277">
        <v>17</v>
      </c>
      <c r="G158" s="277">
        <v>10</v>
      </c>
      <c r="H158" s="277">
        <v>27</v>
      </c>
      <c r="I158" s="277">
        <v>1</v>
      </c>
      <c r="J158" s="277">
        <v>1</v>
      </c>
      <c r="K158" s="277">
        <v>2</v>
      </c>
      <c r="L158" s="277">
        <v>2</v>
      </c>
      <c r="M158" s="277"/>
      <c r="N158" s="277">
        <v>2</v>
      </c>
      <c r="O158" s="271">
        <v>21</v>
      </c>
      <c r="P158" s="271">
        <v>11</v>
      </c>
      <c r="Q158" s="271">
        <v>32</v>
      </c>
      <c r="R158" s="13"/>
      <c r="S158" s="13"/>
      <c r="T158" s="13"/>
      <c r="U158" s="13"/>
      <c r="V158" s="13"/>
      <c r="W158" s="13"/>
      <c r="X158" s="13"/>
    </row>
    <row r="159" spans="2:24" x14ac:dyDescent="0.25">
      <c r="B159" s="311" t="s">
        <v>28</v>
      </c>
      <c r="C159" s="271">
        <v>612</v>
      </c>
      <c r="D159" s="271">
        <v>527</v>
      </c>
      <c r="E159" s="271">
        <v>1139</v>
      </c>
      <c r="F159" s="271">
        <v>3757</v>
      </c>
      <c r="G159" s="271">
        <v>2842</v>
      </c>
      <c r="H159" s="269">
        <v>6599</v>
      </c>
      <c r="I159" s="271">
        <v>552</v>
      </c>
      <c r="J159" s="269">
        <v>251</v>
      </c>
      <c r="K159" s="271">
        <v>803</v>
      </c>
      <c r="L159" s="269">
        <v>144</v>
      </c>
      <c r="M159" s="271">
        <v>247</v>
      </c>
      <c r="N159" s="269">
        <v>391</v>
      </c>
      <c r="O159" s="271">
        <v>5065</v>
      </c>
      <c r="P159" s="271">
        <v>3867</v>
      </c>
      <c r="Q159" s="271">
        <v>8932</v>
      </c>
      <c r="R159" s="13"/>
      <c r="S159" s="13"/>
      <c r="T159" s="13"/>
      <c r="U159" s="13"/>
      <c r="V159" s="13"/>
      <c r="W159" s="13"/>
      <c r="X159" s="13"/>
    </row>
    <row r="160" spans="2:24" ht="95.25" customHeight="1" x14ac:dyDescent="0.25">
      <c r="B160" s="442" t="s">
        <v>814</v>
      </c>
      <c r="C160" s="442"/>
      <c r="D160" s="442"/>
      <c r="E160" s="442"/>
      <c r="F160" s="442"/>
      <c r="G160" s="442"/>
      <c r="H160" s="442"/>
      <c r="I160" s="442"/>
      <c r="J160" s="442"/>
      <c r="K160" s="442"/>
      <c r="L160" s="442"/>
      <c r="M160" s="442"/>
      <c r="N160" s="442"/>
      <c r="O160" s="442"/>
      <c r="P160" s="442"/>
      <c r="Q160" s="442"/>
      <c r="R160" s="13"/>
      <c r="S160" s="13"/>
      <c r="T160" s="13"/>
      <c r="U160" s="13"/>
      <c r="V160" s="13"/>
      <c r="W160" s="13"/>
    </row>
    <row r="161" spans="2:24" x14ac:dyDescent="0.25">
      <c r="B161" s="158"/>
      <c r="C161" s="158"/>
      <c r="D161" s="158"/>
      <c r="E161" s="158"/>
      <c r="F161" s="158"/>
      <c r="G161"/>
      <c r="H161" s="13"/>
      <c r="I161" s="13"/>
      <c r="J161" s="13"/>
      <c r="K161" s="13"/>
      <c r="L161" s="13"/>
      <c r="M161" s="13"/>
      <c r="N161" s="13"/>
      <c r="O161" s="13"/>
      <c r="P161" s="13"/>
      <c r="Q161" s="13"/>
      <c r="R161" s="13"/>
      <c r="S161" s="13"/>
      <c r="T161" s="13"/>
      <c r="U161" s="13"/>
      <c r="V161" s="13"/>
      <c r="W161" s="13"/>
    </row>
    <row r="162" spans="2:24" x14ac:dyDescent="0.25">
      <c r="B162" s="187" t="s">
        <v>522</v>
      </c>
      <c r="C162"/>
      <c r="D162"/>
      <c r="E162"/>
      <c r="F162"/>
      <c r="G162"/>
      <c r="H162" s="13"/>
      <c r="I162" s="13"/>
      <c r="J162" s="13"/>
      <c r="K162" s="13"/>
      <c r="L162" s="13"/>
      <c r="M162" s="13"/>
      <c r="N162" s="13"/>
      <c r="O162" s="13"/>
      <c r="P162" s="13"/>
      <c r="Q162" s="13"/>
      <c r="R162" s="13"/>
      <c r="S162" s="13"/>
      <c r="T162" s="13"/>
      <c r="U162" s="13"/>
      <c r="V162" s="13"/>
      <c r="W162" s="13"/>
    </row>
    <row r="163" spans="2:24" x14ac:dyDescent="0.25">
      <c r="B163" s="187"/>
      <c r="C163"/>
      <c r="D163"/>
      <c r="E163"/>
      <c r="F163"/>
      <c r="G163"/>
      <c r="H163" s="13"/>
      <c r="I163" s="13"/>
      <c r="J163" s="13"/>
      <c r="K163" s="13"/>
      <c r="L163" s="13"/>
      <c r="M163" s="13"/>
      <c r="N163" s="13"/>
      <c r="O163" s="13"/>
      <c r="P163" s="13"/>
      <c r="Q163" s="13"/>
      <c r="R163" s="13"/>
      <c r="S163" s="13"/>
      <c r="T163" s="13"/>
      <c r="U163" s="13"/>
      <c r="V163" s="13"/>
      <c r="W163" s="13"/>
    </row>
    <row r="164" spans="2:24" ht="15" customHeight="1" x14ac:dyDescent="0.25">
      <c r="B164" s="441" t="s">
        <v>537</v>
      </c>
      <c r="C164" s="426" t="s">
        <v>481</v>
      </c>
      <c r="D164" s="426"/>
      <c r="E164" s="426"/>
      <c r="F164" s="426"/>
      <c r="G164" s="426"/>
      <c r="H164" s="426"/>
      <c r="I164" s="426"/>
      <c r="J164" s="426"/>
      <c r="K164" s="426"/>
      <c r="L164" s="426"/>
      <c r="M164" s="426"/>
      <c r="N164" s="426"/>
      <c r="O164" s="443" t="s">
        <v>697</v>
      </c>
      <c r="P164" s="444"/>
      <c r="Q164" s="445"/>
      <c r="R164" s="13"/>
      <c r="S164" s="13"/>
      <c r="T164" s="13"/>
      <c r="U164" s="13"/>
      <c r="V164" s="13"/>
      <c r="W164" s="13"/>
    </row>
    <row r="165" spans="2:24" ht="15" customHeight="1" x14ac:dyDescent="0.25">
      <c r="B165" s="441"/>
      <c r="C165" s="426" t="s">
        <v>658</v>
      </c>
      <c r="D165" s="426"/>
      <c r="E165" s="426"/>
      <c r="F165" s="426" t="s">
        <v>490</v>
      </c>
      <c r="G165" s="426"/>
      <c r="H165" s="426"/>
      <c r="I165" s="426" t="s">
        <v>4</v>
      </c>
      <c r="J165" s="426"/>
      <c r="K165" s="426"/>
      <c r="L165" s="426" t="s">
        <v>6</v>
      </c>
      <c r="M165" s="426"/>
      <c r="N165" s="426"/>
      <c r="O165" s="446"/>
      <c r="P165" s="447"/>
      <c r="Q165" s="448"/>
      <c r="R165" s="13"/>
      <c r="S165" s="13"/>
      <c r="T165" s="13"/>
      <c r="U165" s="13"/>
      <c r="V165" s="13"/>
      <c r="W165" s="13"/>
    </row>
    <row r="166" spans="2:24" ht="15" customHeight="1" x14ac:dyDescent="0.25">
      <c r="B166" s="441"/>
      <c r="C166" s="161" t="s">
        <v>76</v>
      </c>
      <c r="D166" s="161" t="s">
        <v>77</v>
      </c>
      <c r="E166" s="161" t="s">
        <v>28</v>
      </c>
      <c r="F166" s="161" t="s">
        <v>76</v>
      </c>
      <c r="G166" s="161" t="s">
        <v>77</v>
      </c>
      <c r="H166" s="161" t="s">
        <v>28</v>
      </c>
      <c r="I166" s="161" t="s">
        <v>76</v>
      </c>
      <c r="J166" s="161" t="s">
        <v>77</v>
      </c>
      <c r="K166" s="161" t="s">
        <v>28</v>
      </c>
      <c r="L166" s="161" t="s">
        <v>76</v>
      </c>
      <c r="M166" s="161" t="s">
        <v>77</v>
      </c>
      <c r="N166" s="161" t="s">
        <v>28</v>
      </c>
      <c r="O166" s="244" t="s">
        <v>76</v>
      </c>
      <c r="P166" s="244" t="s">
        <v>77</v>
      </c>
      <c r="Q166" s="244" t="s">
        <v>28</v>
      </c>
      <c r="R166" s="13"/>
      <c r="S166" s="13"/>
      <c r="T166" s="13"/>
      <c r="U166" s="13"/>
      <c r="V166" s="13"/>
      <c r="W166" s="13"/>
    </row>
    <row r="167" spans="2:24" x14ac:dyDescent="0.25">
      <c r="B167" s="157" t="s">
        <v>389</v>
      </c>
      <c r="C167" s="278">
        <v>1</v>
      </c>
      <c r="D167" s="278">
        <v>1</v>
      </c>
      <c r="E167" s="278">
        <v>2</v>
      </c>
      <c r="F167" s="278">
        <v>10</v>
      </c>
      <c r="G167" s="278">
        <v>6</v>
      </c>
      <c r="H167" s="278">
        <v>16</v>
      </c>
      <c r="I167" s="278">
        <v>2</v>
      </c>
      <c r="J167" s="278"/>
      <c r="K167" s="278">
        <v>2</v>
      </c>
      <c r="L167" s="278"/>
      <c r="M167" s="278">
        <v>2</v>
      </c>
      <c r="N167" s="278">
        <v>2</v>
      </c>
      <c r="O167" s="312">
        <v>13</v>
      </c>
      <c r="P167" s="312">
        <v>9</v>
      </c>
      <c r="Q167" s="312">
        <v>22</v>
      </c>
      <c r="R167" s="13"/>
      <c r="S167" s="13"/>
      <c r="T167" s="13"/>
      <c r="U167" s="13"/>
      <c r="V167" s="13"/>
      <c r="W167" s="13"/>
      <c r="X167" s="13"/>
    </row>
    <row r="168" spans="2:24" x14ac:dyDescent="0.25">
      <c r="B168" s="136" t="s">
        <v>390</v>
      </c>
      <c r="C168" s="276">
        <v>17</v>
      </c>
      <c r="D168" s="276">
        <v>26</v>
      </c>
      <c r="E168" s="276">
        <v>43</v>
      </c>
      <c r="F168" s="276">
        <v>179</v>
      </c>
      <c r="G168" s="276">
        <v>134</v>
      </c>
      <c r="H168" s="276">
        <v>313</v>
      </c>
      <c r="I168" s="276">
        <v>21</v>
      </c>
      <c r="J168" s="276">
        <v>9</v>
      </c>
      <c r="K168" s="276">
        <v>30</v>
      </c>
      <c r="L168" s="276">
        <v>7</v>
      </c>
      <c r="M168" s="276">
        <v>12</v>
      </c>
      <c r="N168" s="276">
        <v>19</v>
      </c>
      <c r="O168" s="312">
        <v>224</v>
      </c>
      <c r="P168" s="312">
        <v>181</v>
      </c>
      <c r="Q168" s="312">
        <v>405</v>
      </c>
      <c r="R168" s="13"/>
      <c r="S168" s="13"/>
      <c r="T168" s="13"/>
      <c r="U168" s="13"/>
      <c r="V168" s="13"/>
      <c r="W168" s="13"/>
      <c r="X168" s="13"/>
    </row>
    <row r="169" spans="2:24" x14ac:dyDescent="0.25">
      <c r="B169" s="136" t="s">
        <v>391</v>
      </c>
      <c r="C169" s="276">
        <v>6</v>
      </c>
      <c r="D169" s="276">
        <v>4</v>
      </c>
      <c r="E169" s="276">
        <v>10</v>
      </c>
      <c r="F169" s="276">
        <v>41</v>
      </c>
      <c r="G169" s="276">
        <v>33</v>
      </c>
      <c r="H169" s="276">
        <v>74</v>
      </c>
      <c r="I169" s="276">
        <v>10</v>
      </c>
      <c r="J169" s="276">
        <v>6</v>
      </c>
      <c r="K169" s="276">
        <v>16</v>
      </c>
      <c r="L169" s="276">
        <v>4</v>
      </c>
      <c r="M169" s="276">
        <v>4</v>
      </c>
      <c r="N169" s="276">
        <v>8</v>
      </c>
      <c r="O169" s="312">
        <v>61</v>
      </c>
      <c r="P169" s="312">
        <v>47</v>
      </c>
      <c r="Q169" s="312">
        <v>108</v>
      </c>
      <c r="R169" s="13"/>
      <c r="S169" s="13"/>
      <c r="T169" s="13"/>
      <c r="U169" s="13"/>
      <c r="V169" s="13"/>
      <c r="W169" s="13"/>
      <c r="X169" s="13"/>
    </row>
    <row r="170" spans="2:24" x14ac:dyDescent="0.25">
      <c r="B170" s="136" t="s">
        <v>392</v>
      </c>
      <c r="C170" s="276">
        <v>11</v>
      </c>
      <c r="D170" s="276">
        <v>17</v>
      </c>
      <c r="E170" s="276">
        <v>28</v>
      </c>
      <c r="F170" s="276">
        <v>104</v>
      </c>
      <c r="G170" s="276">
        <v>107</v>
      </c>
      <c r="H170" s="276">
        <v>211</v>
      </c>
      <c r="I170" s="276">
        <v>13</v>
      </c>
      <c r="J170" s="276">
        <v>7</v>
      </c>
      <c r="K170" s="276">
        <v>20</v>
      </c>
      <c r="L170" s="276">
        <v>2</v>
      </c>
      <c r="M170" s="276">
        <v>5</v>
      </c>
      <c r="N170" s="276">
        <v>7</v>
      </c>
      <c r="O170" s="312">
        <v>130</v>
      </c>
      <c r="P170" s="312">
        <v>136</v>
      </c>
      <c r="Q170" s="312">
        <v>266</v>
      </c>
      <c r="R170" s="13"/>
      <c r="S170" s="13"/>
      <c r="T170" s="13"/>
      <c r="U170" s="13"/>
      <c r="V170" s="13"/>
      <c r="W170" s="13"/>
      <c r="X170" s="13"/>
    </row>
    <row r="171" spans="2:24" x14ac:dyDescent="0.25">
      <c r="B171" s="136" t="s">
        <v>393</v>
      </c>
      <c r="C171" s="276">
        <v>38</v>
      </c>
      <c r="D171" s="276">
        <v>24</v>
      </c>
      <c r="E171" s="276">
        <v>62</v>
      </c>
      <c r="F171" s="276">
        <v>188</v>
      </c>
      <c r="G171" s="276">
        <v>175</v>
      </c>
      <c r="H171" s="276">
        <v>363</v>
      </c>
      <c r="I171" s="276">
        <v>31</v>
      </c>
      <c r="J171" s="276">
        <v>14</v>
      </c>
      <c r="K171" s="276">
        <v>45</v>
      </c>
      <c r="L171" s="276">
        <v>6</v>
      </c>
      <c r="M171" s="276">
        <v>17</v>
      </c>
      <c r="N171" s="276">
        <v>23</v>
      </c>
      <c r="O171" s="312">
        <v>263</v>
      </c>
      <c r="P171" s="312">
        <v>230</v>
      </c>
      <c r="Q171" s="312">
        <v>493</v>
      </c>
      <c r="R171" s="13"/>
      <c r="S171" s="13"/>
      <c r="T171" s="13"/>
      <c r="U171" s="13"/>
      <c r="V171" s="13"/>
      <c r="W171" s="13"/>
      <c r="X171" s="13"/>
    </row>
    <row r="172" spans="2:24" x14ac:dyDescent="0.25">
      <c r="B172" s="136" t="s">
        <v>394</v>
      </c>
      <c r="C172" s="276">
        <v>20</v>
      </c>
      <c r="D172" s="276">
        <v>18</v>
      </c>
      <c r="E172" s="276">
        <v>38</v>
      </c>
      <c r="F172" s="276">
        <v>146</v>
      </c>
      <c r="G172" s="276">
        <v>139</v>
      </c>
      <c r="H172" s="276">
        <v>285</v>
      </c>
      <c r="I172" s="276">
        <v>28</v>
      </c>
      <c r="J172" s="276">
        <v>12</v>
      </c>
      <c r="K172" s="276">
        <v>40</v>
      </c>
      <c r="L172" s="276">
        <v>5</v>
      </c>
      <c r="M172" s="276">
        <v>12</v>
      </c>
      <c r="N172" s="276">
        <v>17</v>
      </c>
      <c r="O172" s="312">
        <v>199</v>
      </c>
      <c r="P172" s="312">
        <v>181</v>
      </c>
      <c r="Q172" s="312">
        <v>380</v>
      </c>
      <c r="R172" s="13"/>
      <c r="S172" s="13"/>
      <c r="T172" s="13"/>
      <c r="U172" s="13"/>
      <c r="V172" s="13"/>
      <c r="W172" s="13"/>
      <c r="X172" s="13"/>
    </row>
    <row r="173" spans="2:24" x14ac:dyDescent="0.25">
      <c r="B173" s="136" t="s">
        <v>395</v>
      </c>
      <c r="C173" s="276">
        <v>38</v>
      </c>
      <c r="D173" s="276">
        <v>18</v>
      </c>
      <c r="E173" s="276">
        <v>56</v>
      </c>
      <c r="F173" s="276">
        <v>203</v>
      </c>
      <c r="G173" s="276">
        <v>186</v>
      </c>
      <c r="H173" s="276">
        <v>389</v>
      </c>
      <c r="I173" s="276">
        <v>35</v>
      </c>
      <c r="J173" s="276">
        <v>16</v>
      </c>
      <c r="K173" s="276">
        <v>51</v>
      </c>
      <c r="L173" s="276">
        <v>8</v>
      </c>
      <c r="M173" s="276">
        <v>9</v>
      </c>
      <c r="N173" s="276">
        <v>17</v>
      </c>
      <c r="O173" s="312">
        <v>284</v>
      </c>
      <c r="P173" s="312">
        <v>229</v>
      </c>
      <c r="Q173" s="312">
        <v>513</v>
      </c>
      <c r="R173" s="13"/>
      <c r="S173" s="13"/>
      <c r="T173" s="13"/>
      <c r="U173" s="13"/>
      <c r="V173" s="13"/>
      <c r="W173" s="13"/>
      <c r="X173" s="13"/>
    </row>
    <row r="174" spans="2:24" x14ac:dyDescent="0.25">
      <c r="B174" s="136" t="s">
        <v>396</v>
      </c>
      <c r="C174" s="276">
        <v>13</v>
      </c>
      <c r="D174" s="276">
        <v>15</v>
      </c>
      <c r="E174" s="276">
        <v>28</v>
      </c>
      <c r="F174" s="276">
        <v>64</v>
      </c>
      <c r="G174" s="276">
        <v>63</v>
      </c>
      <c r="H174" s="276">
        <v>127</v>
      </c>
      <c r="I174" s="276">
        <v>5</v>
      </c>
      <c r="J174" s="276">
        <v>3</v>
      </c>
      <c r="K174" s="276">
        <v>8</v>
      </c>
      <c r="L174" s="276"/>
      <c r="M174" s="276">
        <v>2</v>
      </c>
      <c r="N174" s="276">
        <v>2</v>
      </c>
      <c r="O174" s="312">
        <v>82</v>
      </c>
      <c r="P174" s="312">
        <v>83</v>
      </c>
      <c r="Q174" s="312">
        <v>165</v>
      </c>
      <c r="R174" s="13"/>
      <c r="S174" s="13"/>
      <c r="T174" s="13"/>
      <c r="U174" s="13"/>
      <c r="V174" s="13"/>
      <c r="W174" s="13"/>
      <c r="X174" s="13"/>
    </row>
    <row r="175" spans="2:24" x14ac:dyDescent="0.25">
      <c r="B175" s="136" t="s">
        <v>397</v>
      </c>
      <c r="C175" s="276">
        <v>69</v>
      </c>
      <c r="D175" s="276">
        <v>35</v>
      </c>
      <c r="E175" s="276">
        <v>104</v>
      </c>
      <c r="F175" s="276">
        <v>270</v>
      </c>
      <c r="G175" s="276">
        <v>250</v>
      </c>
      <c r="H175" s="276">
        <v>520</v>
      </c>
      <c r="I175" s="276">
        <v>38</v>
      </c>
      <c r="J175" s="276">
        <v>21</v>
      </c>
      <c r="K175" s="276">
        <v>59</v>
      </c>
      <c r="L175" s="276">
        <v>12</v>
      </c>
      <c r="M175" s="276">
        <v>22</v>
      </c>
      <c r="N175" s="276">
        <v>34</v>
      </c>
      <c r="O175" s="312">
        <v>389</v>
      </c>
      <c r="P175" s="312">
        <v>328</v>
      </c>
      <c r="Q175" s="312">
        <v>717</v>
      </c>
      <c r="R175" s="13"/>
      <c r="S175" s="13"/>
      <c r="T175" s="13"/>
      <c r="U175" s="13"/>
      <c r="V175" s="13"/>
      <c r="W175" s="13"/>
      <c r="X175" s="13"/>
    </row>
    <row r="176" spans="2:24" x14ac:dyDescent="0.25">
      <c r="B176" s="136" t="s">
        <v>398</v>
      </c>
      <c r="C176" s="276">
        <v>12</v>
      </c>
      <c r="D176" s="276">
        <v>10</v>
      </c>
      <c r="E176" s="276">
        <v>22</v>
      </c>
      <c r="F176" s="276">
        <v>59</v>
      </c>
      <c r="G176" s="276">
        <v>64</v>
      </c>
      <c r="H176" s="276">
        <v>123</v>
      </c>
      <c r="I176" s="276">
        <v>11</v>
      </c>
      <c r="J176" s="276">
        <v>2</v>
      </c>
      <c r="K176" s="276">
        <v>13</v>
      </c>
      <c r="L176" s="276">
        <v>1</v>
      </c>
      <c r="M176" s="276">
        <v>4</v>
      </c>
      <c r="N176" s="276">
        <v>5</v>
      </c>
      <c r="O176" s="312">
        <v>83</v>
      </c>
      <c r="P176" s="312">
        <v>80</v>
      </c>
      <c r="Q176" s="312">
        <v>163</v>
      </c>
      <c r="R176" s="13"/>
      <c r="S176" s="13"/>
      <c r="T176" s="13"/>
      <c r="U176" s="13"/>
      <c r="V176" s="13"/>
      <c r="W176" s="13"/>
      <c r="X176" s="13"/>
    </row>
    <row r="177" spans="2:24" x14ac:dyDescent="0.25">
      <c r="B177" s="136" t="s">
        <v>399</v>
      </c>
      <c r="C177" s="276">
        <v>42</v>
      </c>
      <c r="D177" s="276">
        <v>27</v>
      </c>
      <c r="E177" s="276">
        <v>69</v>
      </c>
      <c r="F177" s="276">
        <v>246</v>
      </c>
      <c r="G177" s="276">
        <v>200</v>
      </c>
      <c r="H177" s="276">
        <v>446</v>
      </c>
      <c r="I177" s="276">
        <v>19</v>
      </c>
      <c r="J177" s="276">
        <v>17</v>
      </c>
      <c r="K177" s="276">
        <v>36</v>
      </c>
      <c r="L177" s="276">
        <v>15</v>
      </c>
      <c r="M177" s="276">
        <v>11</v>
      </c>
      <c r="N177" s="276">
        <v>26</v>
      </c>
      <c r="O177" s="312">
        <v>322</v>
      </c>
      <c r="P177" s="312">
        <v>255</v>
      </c>
      <c r="Q177" s="312">
        <v>577</v>
      </c>
      <c r="R177" s="13"/>
      <c r="S177" s="13"/>
      <c r="T177" s="13"/>
      <c r="U177" s="13"/>
      <c r="V177" s="13"/>
      <c r="W177" s="13"/>
      <c r="X177" s="13"/>
    </row>
    <row r="178" spans="2:24" x14ac:dyDescent="0.25">
      <c r="B178" s="136" t="s">
        <v>400</v>
      </c>
      <c r="C178" s="276">
        <v>28</v>
      </c>
      <c r="D178" s="276">
        <v>16</v>
      </c>
      <c r="E178" s="276">
        <v>44</v>
      </c>
      <c r="F178" s="276">
        <v>120</v>
      </c>
      <c r="G178" s="276">
        <v>74</v>
      </c>
      <c r="H178" s="276">
        <v>194</v>
      </c>
      <c r="I178" s="276">
        <v>22</v>
      </c>
      <c r="J178" s="276">
        <v>17</v>
      </c>
      <c r="K178" s="276">
        <v>39</v>
      </c>
      <c r="L178" s="276">
        <v>5</v>
      </c>
      <c r="M178" s="276">
        <v>2</v>
      </c>
      <c r="N178" s="276">
        <v>7</v>
      </c>
      <c r="O178" s="312">
        <v>175</v>
      </c>
      <c r="P178" s="312">
        <v>109</v>
      </c>
      <c r="Q178" s="312">
        <v>284</v>
      </c>
      <c r="R178" s="13"/>
      <c r="S178" s="13"/>
      <c r="T178" s="13"/>
      <c r="U178" s="13"/>
      <c r="V178" s="13"/>
      <c r="W178" s="13"/>
      <c r="X178" s="13"/>
    </row>
    <row r="179" spans="2:24" x14ac:dyDescent="0.25">
      <c r="B179" s="136" t="s">
        <v>401</v>
      </c>
      <c r="C179" s="276">
        <v>28</v>
      </c>
      <c r="D179" s="276">
        <v>21</v>
      </c>
      <c r="E179" s="276">
        <v>49</v>
      </c>
      <c r="F179" s="276">
        <v>153</v>
      </c>
      <c r="G179" s="276">
        <v>119</v>
      </c>
      <c r="H179" s="276">
        <v>272</v>
      </c>
      <c r="I179" s="276">
        <v>9</v>
      </c>
      <c r="J179" s="276">
        <v>6</v>
      </c>
      <c r="K179" s="276">
        <v>15</v>
      </c>
      <c r="L179" s="276">
        <v>5</v>
      </c>
      <c r="M179" s="276">
        <v>8</v>
      </c>
      <c r="N179" s="276">
        <v>13</v>
      </c>
      <c r="O179" s="312">
        <v>195</v>
      </c>
      <c r="P179" s="312">
        <v>154</v>
      </c>
      <c r="Q179" s="312">
        <v>349</v>
      </c>
      <c r="R179" s="13"/>
      <c r="S179" s="13"/>
      <c r="T179" s="13"/>
      <c r="U179" s="13"/>
      <c r="V179" s="13"/>
      <c r="W179" s="13"/>
      <c r="X179" s="13"/>
    </row>
    <row r="180" spans="2:24" x14ac:dyDescent="0.25">
      <c r="B180" s="136" t="s">
        <v>402</v>
      </c>
      <c r="C180" s="276">
        <v>4</v>
      </c>
      <c r="D180" s="276">
        <v>10</v>
      </c>
      <c r="E180" s="276">
        <v>14</v>
      </c>
      <c r="F180" s="276">
        <v>56</v>
      </c>
      <c r="G180" s="276">
        <v>56</v>
      </c>
      <c r="H180" s="276">
        <v>112</v>
      </c>
      <c r="I180" s="276">
        <v>8</v>
      </c>
      <c r="J180" s="276">
        <v>5</v>
      </c>
      <c r="K180" s="276">
        <v>13</v>
      </c>
      <c r="L180" s="276">
        <v>4</v>
      </c>
      <c r="M180" s="276">
        <v>2</v>
      </c>
      <c r="N180" s="276">
        <v>6</v>
      </c>
      <c r="O180" s="312">
        <v>72</v>
      </c>
      <c r="P180" s="312">
        <v>73</v>
      </c>
      <c r="Q180" s="312">
        <v>145</v>
      </c>
      <c r="R180" s="13"/>
      <c r="S180" s="13"/>
      <c r="T180" s="13"/>
      <c r="U180" s="13"/>
      <c r="V180" s="13"/>
      <c r="W180" s="13"/>
      <c r="X180" s="13"/>
    </row>
    <row r="181" spans="2:24" x14ac:dyDescent="0.25">
      <c r="B181" s="136" t="s">
        <v>403</v>
      </c>
      <c r="C181" s="276">
        <v>32</v>
      </c>
      <c r="D181" s="276">
        <v>19</v>
      </c>
      <c r="E181" s="276">
        <v>51</v>
      </c>
      <c r="F181" s="276">
        <v>169</v>
      </c>
      <c r="G181" s="276">
        <v>151</v>
      </c>
      <c r="H181" s="276">
        <v>320</v>
      </c>
      <c r="I181" s="276">
        <v>17</v>
      </c>
      <c r="J181" s="276">
        <v>11</v>
      </c>
      <c r="K181" s="276">
        <v>28</v>
      </c>
      <c r="L181" s="276">
        <v>3</v>
      </c>
      <c r="M181" s="276">
        <v>6</v>
      </c>
      <c r="N181" s="276">
        <v>9</v>
      </c>
      <c r="O181" s="312">
        <v>221</v>
      </c>
      <c r="P181" s="312">
        <v>187</v>
      </c>
      <c r="Q181" s="312">
        <v>408</v>
      </c>
      <c r="R181" s="13"/>
      <c r="S181" s="13"/>
      <c r="T181" s="13"/>
      <c r="U181" s="13"/>
      <c r="V181" s="13"/>
      <c r="W181" s="13"/>
      <c r="X181" s="13"/>
    </row>
    <row r="182" spans="2:24" x14ac:dyDescent="0.25">
      <c r="B182" s="136" t="s">
        <v>404</v>
      </c>
      <c r="C182" s="276">
        <v>114</v>
      </c>
      <c r="D182" s="276">
        <v>78</v>
      </c>
      <c r="E182" s="276">
        <v>192</v>
      </c>
      <c r="F182" s="276">
        <v>764</v>
      </c>
      <c r="G182" s="276">
        <v>549</v>
      </c>
      <c r="H182" s="276">
        <v>1313</v>
      </c>
      <c r="I182" s="276">
        <v>60</v>
      </c>
      <c r="J182" s="276">
        <v>27</v>
      </c>
      <c r="K182" s="276">
        <v>87</v>
      </c>
      <c r="L182" s="276">
        <v>23</v>
      </c>
      <c r="M182" s="276">
        <v>31</v>
      </c>
      <c r="N182" s="276">
        <v>54</v>
      </c>
      <c r="O182" s="312">
        <v>961</v>
      </c>
      <c r="P182" s="312">
        <v>685</v>
      </c>
      <c r="Q182" s="312">
        <v>1646</v>
      </c>
      <c r="R182" s="13"/>
      <c r="S182" s="13"/>
      <c r="T182" s="13"/>
      <c r="U182" s="13"/>
      <c r="V182" s="13"/>
      <c r="W182" s="13"/>
      <c r="X182" s="13"/>
    </row>
    <row r="183" spans="2:24" x14ac:dyDescent="0.25">
      <c r="B183" s="136" t="s">
        <v>405</v>
      </c>
      <c r="C183" s="276">
        <v>35</v>
      </c>
      <c r="D183" s="276">
        <v>28</v>
      </c>
      <c r="E183" s="276">
        <v>63</v>
      </c>
      <c r="F183" s="276">
        <v>263</v>
      </c>
      <c r="G183" s="276">
        <v>191</v>
      </c>
      <c r="H183" s="276">
        <v>454</v>
      </c>
      <c r="I183" s="276">
        <v>21</v>
      </c>
      <c r="J183" s="276">
        <v>11</v>
      </c>
      <c r="K183" s="276">
        <v>32</v>
      </c>
      <c r="L183" s="276">
        <v>8</v>
      </c>
      <c r="M183" s="276">
        <v>13</v>
      </c>
      <c r="N183" s="276">
        <v>21</v>
      </c>
      <c r="O183" s="312">
        <v>327</v>
      </c>
      <c r="P183" s="312">
        <v>243</v>
      </c>
      <c r="Q183" s="312">
        <v>570</v>
      </c>
      <c r="R183" s="13"/>
      <c r="S183" s="13"/>
      <c r="T183" s="13"/>
      <c r="U183" s="13"/>
      <c r="V183" s="13"/>
      <c r="W183" s="13"/>
      <c r="X183" s="13"/>
    </row>
    <row r="184" spans="2:24" x14ac:dyDescent="0.25">
      <c r="B184" s="136" t="s">
        <v>406</v>
      </c>
      <c r="C184" s="276">
        <v>61</v>
      </c>
      <c r="D184" s="276">
        <v>33</v>
      </c>
      <c r="E184" s="276">
        <v>94</v>
      </c>
      <c r="F184" s="276">
        <v>263</v>
      </c>
      <c r="G184" s="276">
        <v>227</v>
      </c>
      <c r="H184" s="276">
        <v>490</v>
      </c>
      <c r="I184" s="276">
        <v>69</v>
      </c>
      <c r="J184" s="276">
        <v>29</v>
      </c>
      <c r="K184" s="276">
        <v>98</v>
      </c>
      <c r="L184" s="276">
        <v>18</v>
      </c>
      <c r="M184" s="276">
        <v>19</v>
      </c>
      <c r="N184" s="276">
        <v>37</v>
      </c>
      <c r="O184" s="312">
        <v>411</v>
      </c>
      <c r="P184" s="312">
        <v>308</v>
      </c>
      <c r="Q184" s="312">
        <v>719</v>
      </c>
      <c r="R184" s="13"/>
      <c r="S184" s="13"/>
      <c r="T184" s="13"/>
      <c r="U184" s="13"/>
      <c r="V184" s="13"/>
      <c r="W184" s="13"/>
      <c r="X184" s="13"/>
    </row>
    <row r="185" spans="2:24" x14ac:dyDescent="0.25">
      <c r="B185" s="136" t="s">
        <v>407</v>
      </c>
      <c r="C185" s="276">
        <v>26</v>
      </c>
      <c r="D185" s="276">
        <v>13</v>
      </c>
      <c r="E185" s="276">
        <v>39</v>
      </c>
      <c r="F185" s="276">
        <v>203</v>
      </c>
      <c r="G185" s="276">
        <v>102</v>
      </c>
      <c r="H185" s="276">
        <v>305</v>
      </c>
      <c r="I185" s="276">
        <v>9</v>
      </c>
      <c r="J185" s="276">
        <v>10</v>
      </c>
      <c r="K185" s="276">
        <v>19</v>
      </c>
      <c r="L185" s="276">
        <v>2</v>
      </c>
      <c r="M185" s="276">
        <v>3</v>
      </c>
      <c r="N185" s="276">
        <v>5</v>
      </c>
      <c r="O185" s="312">
        <v>240</v>
      </c>
      <c r="P185" s="312">
        <v>128</v>
      </c>
      <c r="Q185" s="312">
        <v>368</v>
      </c>
      <c r="R185" s="13"/>
      <c r="S185" s="13"/>
      <c r="T185" s="13"/>
      <c r="U185" s="13"/>
      <c r="V185" s="13"/>
      <c r="W185" s="13"/>
      <c r="X185" s="13"/>
    </row>
    <row r="186" spans="2:24" x14ac:dyDescent="0.25">
      <c r="B186" s="136" t="s">
        <v>408</v>
      </c>
      <c r="C186" s="276">
        <v>14</v>
      </c>
      <c r="D186" s="276">
        <v>18</v>
      </c>
      <c r="E186" s="276">
        <v>32</v>
      </c>
      <c r="F186" s="276">
        <v>111</v>
      </c>
      <c r="G186" s="276">
        <v>102</v>
      </c>
      <c r="H186" s="276">
        <v>213</v>
      </c>
      <c r="I186" s="276">
        <v>24</v>
      </c>
      <c r="J186" s="276">
        <v>12</v>
      </c>
      <c r="K186" s="276">
        <v>36</v>
      </c>
      <c r="L186" s="276">
        <v>4</v>
      </c>
      <c r="M186" s="276">
        <v>10</v>
      </c>
      <c r="N186" s="276">
        <v>14</v>
      </c>
      <c r="O186" s="312">
        <v>153</v>
      </c>
      <c r="P186" s="312">
        <v>142</v>
      </c>
      <c r="Q186" s="312">
        <v>295</v>
      </c>
      <c r="R186" s="13"/>
      <c r="S186" s="13"/>
      <c r="T186" s="13"/>
      <c r="U186" s="13"/>
      <c r="V186" s="13"/>
      <c r="W186" s="13"/>
      <c r="X186" s="13"/>
    </row>
    <row r="187" spans="2:24" x14ac:dyDescent="0.25">
      <c r="B187" s="136" t="s">
        <v>409</v>
      </c>
      <c r="C187" s="276">
        <v>63</v>
      </c>
      <c r="D187" s="276">
        <v>34</v>
      </c>
      <c r="E187" s="276">
        <v>97</v>
      </c>
      <c r="F187" s="276">
        <v>702</v>
      </c>
      <c r="G187" s="276">
        <v>323</v>
      </c>
      <c r="H187" s="276">
        <v>1025</v>
      </c>
      <c r="I187" s="276">
        <v>13</v>
      </c>
      <c r="J187" s="276">
        <v>16</v>
      </c>
      <c r="K187" s="276">
        <v>29</v>
      </c>
      <c r="L187" s="276">
        <v>6</v>
      </c>
      <c r="M187" s="276">
        <v>8</v>
      </c>
      <c r="N187" s="276">
        <v>14</v>
      </c>
      <c r="O187" s="312">
        <v>784</v>
      </c>
      <c r="P187" s="312">
        <v>381</v>
      </c>
      <c r="Q187" s="312">
        <v>1165</v>
      </c>
      <c r="R187" s="13"/>
      <c r="S187" s="13"/>
      <c r="T187" s="13"/>
      <c r="U187" s="13"/>
      <c r="V187" s="13"/>
      <c r="W187" s="13"/>
      <c r="X187" s="13"/>
    </row>
    <row r="188" spans="2:24" x14ac:dyDescent="0.25">
      <c r="B188" s="136" t="s">
        <v>410</v>
      </c>
      <c r="C188" s="276">
        <v>8</v>
      </c>
      <c r="D188" s="276">
        <v>10</v>
      </c>
      <c r="E188" s="276">
        <v>18</v>
      </c>
      <c r="F188" s="276">
        <v>135</v>
      </c>
      <c r="G188" s="276">
        <v>77</v>
      </c>
      <c r="H188" s="276">
        <v>212</v>
      </c>
      <c r="I188" s="276">
        <v>9</v>
      </c>
      <c r="J188" s="276">
        <v>3</v>
      </c>
      <c r="K188" s="276">
        <v>12</v>
      </c>
      <c r="L188" s="276">
        <v>2</v>
      </c>
      <c r="M188" s="276">
        <v>2</v>
      </c>
      <c r="N188" s="276">
        <v>4</v>
      </c>
      <c r="O188" s="312">
        <v>154</v>
      </c>
      <c r="P188" s="312">
        <v>92</v>
      </c>
      <c r="Q188" s="312">
        <v>246</v>
      </c>
      <c r="R188" s="13"/>
      <c r="S188" s="13"/>
      <c r="T188" s="13"/>
      <c r="U188" s="13"/>
      <c r="V188" s="13"/>
      <c r="W188" s="13"/>
      <c r="X188" s="13"/>
    </row>
    <row r="189" spans="2:24" x14ac:dyDescent="0.25">
      <c r="B189" s="136" t="s">
        <v>411</v>
      </c>
      <c r="C189" s="276">
        <v>27</v>
      </c>
      <c r="D189" s="276">
        <v>21</v>
      </c>
      <c r="E189" s="276">
        <v>48</v>
      </c>
      <c r="F189" s="276">
        <v>164</v>
      </c>
      <c r="G189" s="276">
        <v>157</v>
      </c>
      <c r="H189" s="276">
        <v>321</v>
      </c>
      <c r="I189" s="276">
        <v>28</v>
      </c>
      <c r="J189" s="276">
        <v>21</v>
      </c>
      <c r="K189" s="276">
        <v>49</v>
      </c>
      <c r="L189" s="276">
        <v>10</v>
      </c>
      <c r="M189" s="276">
        <v>11</v>
      </c>
      <c r="N189" s="276">
        <v>21</v>
      </c>
      <c r="O189" s="312">
        <v>229</v>
      </c>
      <c r="P189" s="312">
        <v>210</v>
      </c>
      <c r="Q189" s="312">
        <v>439</v>
      </c>
      <c r="R189" s="13"/>
      <c r="S189" s="13"/>
      <c r="T189" s="13"/>
      <c r="U189" s="13"/>
      <c r="V189" s="13"/>
      <c r="W189" s="13"/>
      <c r="X189" s="13"/>
    </row>
    <row r="190" spans="2:24" x14ac:dyDescent="0.25">
      <c r="B190" s="136" t="s">
        <v>412</v>
      </c>
      <c r="C190" s="276">
        <v>37</v>
      </c>
      <c r="D190" s="276">
        <v>22</v>
      </c>
      <c r="E190" s="276">
        <v>59</v>
      </c>
      <c r="F190" s="276">
        <v>154</v>
      </c>
      <c r="G190" s="276">
        <v>133</v>
      </c>
      <c r="H190" s="276">
        <v>287</v>
      </c>
      <c r="I190" s="276">
        <v>29</v>
      </c>
      <c r="J190" s="276">
        <v>6</v>
      </c>
      <c r="K190" s="276">
        <v>35</v>
      </c>
      <c r="L190" s="276">
        <v>7</v>
      </c>
      <c r="M190" s="276">
        <v>12</v>
      </c>
      <c r="N190" s="276">
        <v>19</v>
      </c>
      <c r="O190" s="312">
        <v>227</v>
      </c>
      <c r="P190" s="312">
        <v>173</v>
      </c>
      <c r="Q190" s="312">
        <v>400</v>
      </c>
      <c r="R190" s="13"/>
      <c r="S190" s="13"/>
      <c r="T190" s="13"/>
      <c r="U190" s="13"/>
      <c r="V190" s="13"/>
      <c r="W190" s="13"/>
      <c r="X190" s="13"/>
    </row>
    <row r="191" spans="2:24" x14ac:dyDescent="0.25">
      <c r="B191" s="136" t="s">
        <v>413</v>
      </c>
      <c r="C191" s="276">
        <v>26</v>
      </c>
      <c r="D191" s="276">
        <v>22</v>
      </c>
      <c r="E191" s="276">
        <v>48</v>
      </c>
      <c r="F191" s="276">
        <v>245</v>
      </c>
      <c r="G191" s="276">
        <v>157</v>
      </c>
      <c r="H191" s="276">
        <v>402</v>
      </c>
      <c r="I191" s="276">
        <v>23</v>
      </c>
      <c r="J191" s="276">
        <v>8</v>
      </c>
      <c r="K191" s="276">
        <v>31</v>
      </c>
      <c r="L191" s="276">
        <v>3</v>
      </c>
      <c r="M191" s="276">
        <v>9</v>
      </c>
      <c r="N191" s="276">
        <v>12</v>
      </c>
      <c r="O191" s="312">
        <v>297</v>
      </c>
      <c r="P191" s="312">
        <v>196</v>
      </c>
      <c r="Q191" s="312">
        <v>493</v>
      </c>
      <c r="R191" s="13"/>
      <c r="S191" s="13"/>
      <c r="T191" s="13"/>
      <c r="U191" s="13"/>
      <c r="V191" s="13"/>
      <c r="W191" s="13"/>
      <c r="X191" s="13"/>
    </row>
    <row r="192" spans="2:24" x14ac:dyDescent="0.25">
      <c r="B192" s="136" t="s">
        <v>414</v>
      </c>
      <c r="C192" s="276">
        <v>149</v>
      </c>
      <c r="D192" s="276">
        <v>112</v>
      </c>
      <c r="E192" s="276">
        <v>261</v>
      </c>
      <c r="F192" s="276">
        <v>1005</v>
      </c>
      <c r="G192" s="276">
        <v>817</v>
      </c>
      <c r="H192" s="276">
        <v>1822</v>
      </c>
      <c r="I192" s="276">
        <v>87</v>
      </c>
      <c r="J192" s="276">
        <v>37</v>
      </c>
      <c r="K192" s="276">
        <v>124</v>
      </c>
      <c r="L192" s="276">
        <v>37</v>
      </c>
      <c r="M192" s="276">
        <v>44</v>
      </c>
      <c r="N192" s="276">
        <v>81</v>
      </c>
      <c r="O192" s="312">
        <v>1278</v>
      </c>
      <c r="P192" s="312">
        <v>1010</v>
      </c>
      <c r="Q192" s="312">
        <v>2288</v>
      </c>
      <c r="R192" s="13"/>
      <c r="S192" s="13"/>
      <c r="T192" s="13"/>
      <c r="U192" s="13"/>
      <c r="V192" s="13"/>
      <c r="W192" s="13"/>
      <c r="X192" s="13"/>
    </row>
    <row r="193" spans="2:24" x14ac:dyDescent="0.25">
      <c r="B193" s="136" t="s">
        <v>415</v>
      </c>
      <c r="C193" s="276">
        <v>1</v>
      </c>
      <c r="D193" s="276">
        <v>1</v>
      </c>
      <c r="E193" s="276">
        <v>2</v>
      </c>
      <c r="F193" s="276">
        <v>30</v>
      </c>
      <c r="G193" s="276">
        <v>19</v>
      </c>
      <c r="H193" s="276">
        <v>49</v>
      </c>
      <c r="I193" s="276">
        <v>3</v>
      </c>
      <c r="J193" s="276"/>
      <c r="K193" s="276">
        <v>3</v>
      </c>
      <c r="L193" s="276">
        <v>1</v>
      </c>
      <c r="M193" s="276">
        <v>1</v>
      </c>
      <c r="N193" s="276">
        <v>2</v>
      </c>
      <c r="O193" s="312">
        <v>35</v>
      </c>
      <c r="P193" s="312">
        <v>21</v>
      </c>
      <c r="Q193" s="312">
        <v>56</v>
      </c>
      <c r="R193" s="13"/>
      <c r="S193" s="13"/>
      <c r="T193" s="13"/>
      <c r="U193" s="13"/>
      <c r="V193" s="13"/>
      <c r="W193" s="13"/>
      <c r="X193" s="13"/>
    </row>
    <row r="194" spans="2:24" x14ac:dyDescent="0.25">
      <c r="B194" s="136" t="s">
        <v>416</v>
      </c>
      <c r="C194" s="276">
        <v>52</v>
      </c>
      <c r="D194" s="276">
        <v>36</v>
      </c>
      <c r="E194" s="276">
        <v>88</v>
      </c>
      <c r="F194" s="276">
        <v>215</v>
      </c>
      <c r="G194" s="276">
        <v>237</v>
      </c>
      <c r="H194" s="276">
        <v>452</v>
      </c>
      <c r="I194" s="276">
        <v>35</v>
      </c>
      <c r="J194" s="276">
        <v>20</v>
      </c>
      <c r="K194" s="276">
        <v>55</v>
      </c>
      <c r="L194" s="276">
        <v>8</v>
      </c>
      <c r="M194" s="276">
        <v>22</v>
      </c>
      <c r="N194" s="276">
        <v>30</v>
      </c>
      <c r="O194" s="312">
        <v>310</v>
      </c>
      <c r="P194" s="312">
        <v>315</v>
      </c>
      <c r="Q194" s="312">
        <v>625</v>
      </c>
      <c r="R194" s="13"/>
      <c r="S194" s="13"/>
      <c r="T194" s="13"/>
      <c r="U194" s="13"/>
      <c r="V194" s="13"/>
      <c r="W194" s="13"/>
      <c r="X194" s="13"/>
    </row>
    <row r="195" spans="2:24" x14ac:dyDescent="0.25">
      <c r="B195" s="136" t="s">
        <v>417</v>
      </c>
      <c r="C195" s="276">
        <v>19</v>
      </c>
      <c r="D195" s="276">
        <v>10</v>
      </c>
      <c r="E195" s="276">
        <v>29</v>
      </c>
      <c r="F195" s="276">
        <v>87</v>
      </c>
      <c r="G195" s="276">
        <v>87</v>
      </c>
      <c r="H195" s="276">
        <v>174</v>
      </c>
      <c r="I195" s="276">
        <v>17</v>
      </c>
      <c r="J195" s="276">
        <v>8</v>
      </c>
      <c r="K195" s="276">
        <v>25</v>
      </c>
      <c r="L195" s="276">
        <v>5</v>
      </c>
      <c r="M195" s="276">
        <v>4</v>
      </c>
      <c r="N195" s="276">
        <v>9</v>
      </c>
      <c r="O195" s="312">
        <v>128</v>
      </c>
      <c r="P195" s="312">
        <v>109</v>
      </c>
      <c r="Q195" s="312">
        <v>237</v>
      </c>
      <c r="R195" s="13"/>
      <c r="S195" s="13"/>
      <c r="T195" s="13"/>
      <c r="U195" s="13"/>
      <c r="V195" s="13"/>
      <c r="W195" s="13"/>
      <c r="X195" s="13"/>
    </row>
    <row r="196" spans="2:24" x14ac:dyDescent="0.25">
      <c r="B196" s="136" t="s">
        <v>418</v>
      </c>
      <c r="C196" s="276">
        <v>19</v>
      </c>
      <c r="D196" s="276">
        <v>18</v>
      </c>
      <c r="E196" s="276">
        <v>37</v>
      </c>
      <c r="F196" s="276">
        <v>129</v>
      </c>
      <c r="G196" s="276">
        <v>117</v>
      </c>
      <c r="H196" s="276">
        <v>246</v>
      </c>
      <c r="I196" s="276">
        <v>17</v>
      </c>
      <c r="J196" s="276">
        <v>6</v>
      </c>
      <c r="K196" s="276">
        <v>23</v>
      </c>
      <c r="L196" s="276">
        <v>5</v>
      </c>
      <c r="M196" s="276">
        <v>10</v>
      </c>
      <c r="N196" s="276">
        <v>15</v>
      </c>
      <c r="O196" s="312">
        <v>170</v>
      </c>
      <c r="P196" s="312">
        <v>151</v>
      </c>
      <c r="Q196" s="312">
        <v>321</v>
      </c>
      <c r="R196" s="13"/>
      <c r="S196" s="13"/>
      <c r="T196" s="13"/>
      <c r="U196" s="13"/>
      <c r="V196" s="13"/>
      <c r="W196" s="13"/>
      <c r="X196" s="13"/>
    </row>
    <row r="197" spans="2:24" x14ac:dyDescent="0.25">
      <c r="B197" s="136" t="s">
        <v>419</v>
      </c>
      <c r="C197" s="276">
        <v>32</v>
      </c>
      <c r="D197" s="276">
        <v>29</v>
      </c>
      <c r="E197" s="276">
        <v>61</v>
      </c>
      <c r="F197" s="276">
        <v>222</v>
      </c>
      <c r="G197" s="276">
        <v>213</v>
      </c>
      <c r="H197" s="276">
        <v>435</v>
      </c>
      <c r="I197" s="276">
        <v>40</v>
      </c>
      <c r="J197" s="276">
        <v>16</v>
      </c>
      <c r="K197" s="276">
        <v>56</v>
      </c>
      <c r="L197" s="276">
        <v>4</v>
      </c>
      <c r="M197" s="276">
        <v>14</v>
      </c>
      <c r="N197" s="276">
        <v>18</v>
      </c>
      <c r="O197" s="312">
        <v>298</v>
      </c>
      <c r="P197" s="312">
        <v>272</v>
      </c>
      <c r="Q197" s="312">
        <v>570</v>
      </c>
      <c r="R197" s="13"/>
      <c r="S197" s="13"/>
      <c r="T197" s="13"/>
      <c r="U197" s="13"/>
      <c r="V197" s="13"/>
      <c r="W197" s="13"/>
      <c r="X197" s="13"/>
    </row>
    <row r="198" spans="2:24" x14ac:dyDescent="0.25">
      <c r="B198" s="136" t="s">
        <v>502</v>
      </c>
      <c r="C198" s="276">
        <v>23</v>
      </c>
      <c r="D198" s="276">
        <v>27</v>
      </c>
      <c r="E198" s="276">
        <v>50</v>
      </c>
      <c r="F198" s="276">
        <v>138</v>
      </c>
      <c r="G198" s="276">
        <v>131</v>
      </c>
      <c r="H198" s="276">
        <v>269</v>
      </c>
      <c r="I198" s="276">
        <v>20</v>
      </c>
      <c r="J198" s="276">
        <v>9</v>
      </c>
      <c r="K198" s="276">
        <v>29</v>
      </c>
      <c r="L198" s="276">
        <v>4</v>
      </c>
      <c r="M198" s="276">
        <v>7</v>
      </c>
      <c r="N198" s="276">
        <v>11</v>
      </c>
      <c r="O198" s="312">
        <v>185</v>
      </c>
      <c r="P198" s="312">
        <v>174</v>
      </c>
      <c r="Q198" s="312">
        <v>359</v>
      </c>
      <c r="R198" s="13"/>
      <c r="S198" s="13"/>
      <c r="T198" s="13"/>
      <c r="U198" s="13"/>
      <c r="V198" s="13"/>
      <c r="W198" s="13"/>
      <c r="X198" s="13"/>
    </row>
    <row r="199" spans="2:24" x14ac:dyDescent="0.25">
      <c r="B199" s="136" t="s">
        <v>503</v>
      </c>
      <c r="C199" s="276">
        <v>64</v>
      </c>
      <c r="D199" s="276">
        <v>49</v>
      </c>
      <c r="E199" s="276">
        <v>113</v>
      </c>
      <c r="F199" s="276">
        <v>378</v>
      </c>
      <c r="G199" s="276">
        <v>274</v>
      </c>
      <c r="H199" s="276">
        <v>652</v>
      </c>
      <c r="I199" s="276">
        <v>54</v>
      </c>
      <c r="J199" s="276">
        <v>29</v>
      </c>
      <c r="K199" s="276">
        <v>83</v>
      </c>
      <c r="L199" s="276">
        <v>25</v>
      </c>
      <c r="M199" s="276">
        <v>18</v>
      </c>
      <c r="N199" s="276">
        <v>43</v>
      </c>
      <c r="O199" s="312">
        <v>521</v>
      </c>
      <c r="P199" s="312">
        <v>370</v>
      </c>
      <c r="Q199" s="312">
        <v>891</v>
      </c>
      <c r="R199" s="13"/>
      <c r="S199" s="13"/>
      <c r="T199" s="13"/>
      <c r="U199" s="13"/>
      <c r="V199" s="13"/>
      <c r="W199" s="13"/>
      <c r="X199" s="13"/>
    </row>
    <row r="200" spans="2:24" x14ac:dyDescent="0.25">
      <c r="B200" s="136" t="s">
        <v>420</v>
      </c>
      <c r="C200" s="276">
        <v>5</v>
      </c>
      <c r="D200" s="276">
        <v>8</v>
      </c>
      <c r="E200" s="276">
        <v>13</v>
      </c>
      <c r="F200" s="276">
        <v>38</v>
      </c>
      <c r="G200" s="276">
        <v>41</v>
      </c>
      <c r="H200" s="276">
        <v>79</v>
      </c>
      <c r="I200" s="276">
        <v>4</v>
      </c>
      <c r="J200" s="276">
        <v>1</v>
      </c>
      <c r="K200" s="276">
        <v>5</v>
      </c>
      <c r="L200" s="276">
        <v>2</v>
      </c>
      <c r="M200" s="276">
        <v>4</v>
      </c>
      <c r="N200" s="276">
        <v>6</v>
      </c>
      <c r="O200" s="312">
        <v>49</v>
      </c>
      <c r="P200" s="312">
        <v>54</v>
      </c>
      <c r="Q200" s="312">
        <v>103</v>
      </c>
      <c r="R200" s="13"/>
      <c r="S200" s="13"/>
      <c r="T200" s="13"/>
      <c r="U200" s="13"/>
      <c r="V200" s="13"/>
      <c r="W200" s="13"/>
      <c r="X200" s="13"/>
    </row>
    <row r="201" spans="2:24" x14ac:dyDescent="0.25">
      <c r="B201" s="136" t="s">
        <v>421</v>
      </c>
      <c r="C201" s="276">
        <v>25</v>
      </c>
      <c r="D201" s="276">
        <v>15</v>
      </c>
      <c r="E201" s="276">
        <v>40</v>
      </c>
      <c r="F201" s="276">
        <v>279</v>
      </c>
      <c r="G201" s="276">
        <v>126</v>
      </c>
      <c r="H201" s="276">
        <v>405</v>
      </c>
      <c r="I201" s="276">
        <v>4</v>
      </c>
      <c r="J201" s="276">
        <v>10</v>
      </c>
      <c r="K201" s="276">
        <v>14</v>
      </c>
      <c r="L201" s="276">
        <v>3</v>
      </c>
      <c r="M201" s="276">
        <v>7</v>
      </c>
      <c r="N201" s="276">
        <v>10</v>
      </c>
      <c r="O201" s="312">
        <v>311</v>
      </c>
      <c r="P201" s="312">
        <v>158</v>
      </c>
      <c r="Q201" s="312">
        <v>469</v>
      </c>
      <c r="R201" s="13"/>
      <c r="S201" s="13"/>
      <c r="T201" s="13"/>
      <c r="U201" s="13"/>
      <c r="V201" s="13"/>
      <c r="W201" s="13"/>
      <c r="X201" s="13"/>
    </row>
    <row r="202" spans="2:24" x14ac:dyDescent="0.25">
      <c r="B202" s="136" t="s">
        <v>422</v>
      </c>
      <c r="C202" s="276">
        <v>46</v>
      </c>
      <c r="D202" s="276">
        <v>59</v>
      </c>
      <c r="E202" s="276">
        <v>105</v>
      </c>
      <c r="F202" s="276">
        <v>375</v>
      </c>
      <c r="G202" s="276">
        <v>344</v>
      </c>
      <c r="H202" s="276">
        <v>719</v>
      </c>
      <c r="I202" s="276">
        <v>56</v>
      </c>
      <c r="J202" s="276">
        <v>24</v>
      </c>
      <c r="K202" s="276">
        <v>80</v>
      </c>
      <c r="L202" s="276">
        <v>13</v>
      </c>
      <c r="M202" s="276">
        <v>29</v>
      </c>
      <c r="N202" s="276">
        <v>42</v>
      </c>
      <c r="O202" s="312">
        <v>490</v>
      </c>
      <c r="P202" s="312">
        <v>456</v>
      </c>
      <c r="Q202" s="312">
        <v>946</v>
      </c>
      <c r="R202" s="13"/>
      <c r="S202" s="13"/>
      <c r="T202" s="13"/>
      <c r="U202" s="13"/>
      <c r="V202" s="13"/>
      <c r="W202" s="13"/>
      <c r="X202" s="13"/>
    </row>
    <row r="203" spans="2:24" x14ac:dyDescent="0.25">
      <c r="B203" s="136" t="s">
        <v>423</v>
      </c>
      <c r="C203" s="276">
        <v>147</v>
      </c>
      <c r="D203" s="276">
        <v>126</v>
      </c>
      <c r="E203" s="276">
        <v>273</v>
      </c>
      <c r="F203" s="276">
        <v>990</v>
      </c>
      <c r="G203" s="276">
        <v>825</v>
      </c>
      <c r="H203" s="276">
        <v>1815</v>
      </c>
      <c r="I203" s="276">
        <v>149</v>
      </c>
      <c r="J203" s="276">
        <v>45</v>
      </c>
      <c r="K203" s="276">
        <v>194</v>
      </c>
      <c r="L203" s="276">
        <v>42</v>
      </c>
      <c r="M203" s="276">
        <v>57</v>
      </c>
      <c r="N203" s="276">
        <v>99</v>
      </c>
      <c r="O203" s="312">
        <v>1328</v>
      </c>
      <c r="P203" s="312">
        <v>1053</v>
      </c>
      <c r="Q203" s="312">
        <v>2381</v>
      </c>
      <c r="R203" s="13"/>
      <c r="S203" s="13"/>
      <c r="T203" s="13"/>
      <c r="U203" s="13"/>
      <c r="V203" s="13"/>
      <c r="W203" s="13"/>
      <c r="X203" s="13"/>
    </row>
    <row r="204" spans="2:24" x14ac:dyDescent="0.25">
      <c r="B204" s="136" t="s">
        <v>424</v>
      </c>
      <c r="C204" s="276">
        <v>33</v>
      </c>
      <c r="D204" s="276">
        <v>32</v>
      </c>
      <c r="E204" s="276">
        <v>65</v>
      </c>
      <c r="F204" s="276">
        <v>305</v>
      </c>
      <c r="G204" s="276">
        <v>238</v>
      </c>
      <c r="H204" s="276">
        <v>543</v>
      </c>
      <c r="I204" s="276">
        <v>37</v>
      </c>
      <c r="J204" s="276">
        <v>16</v>
      </c>
      <c r="K204" s="276">
        <v>53</v>
      </c>
      <c r="L204" s="276">
        <v>18</v>
      </c>
      <c r="M204" s="276">
        <v>23</v>
      </c>
      <c r="N204" s="276">
        <v>41</v>
      </c>
      <c r="O204" s="312">
        <v>393</v>
      </c>
      <c r="P204" s="312">
        <v>309</v>
      </c>
      <c r="Q204" s="312">
        <v>702</v>
      </c>
      <c r="R204" s="13"/>
      <c r="S204" s="13"/>
      <c r="T204" s="13"/>
      <c r="U204" s="13"/>
      <c r="V204" s="13"/>
      <c r="W204" s="13"/>
      <c r="X204" s="13"/>
    </row>
    <row r="205" spans="2:24" x14ac:dyDescent="0.25">
      <c r="B205" s="136" t="s">
        <v>425</v>
      </c>
      <c r="C205" s="276">
        <v>23</v>
      </c>
      <c r="D205" s="276">
        <v>26</v>
      </c>
      <c r="E205" s="276">
        <v>49</v>
      </c>
      <c r="F205" s="276">
        <v>197</v>
      </c>
      <c r="G205" s="276">
        <v>171</v>
      </c>
      <c r="H205" s="276">
        <v>368</v>
      </c>
      <c r="I205" s="276">
        <v>18</v>
      </c>
      <c r="J205" s="276">
        <v>7</v>
      </c>
      <c r="K205" s="276">
        <v>25</v>
      </c>
      <c r="L205" s="276">
        <v>12</v>
      </c>
      <c r="M205" s="276">
        <v>14</v>
      </c>
      <c r="N205" s="276">
        <v>26</v>
      </c>
      <c r="O205" s="312">
        <v>250</v>
      </c>
      <c r="P205" s="312">
        <v>218</v>
      </c>
      <c r="Q205" s="312">
        <v>468</v>
      </c>
      <c r="R205" s="13"/>
      <c r="S205" s="13"/>
      <c r="T205" s="13"/>
      <c r="U205" s="13"/>
      <c r="V205" s="13"/>
      <c r="W205" s="13"/>
      <c r="X205" s="13"/>
    </row>
    <row r="206" spans="2:24" x14ac:dyDescent="0.25">
      <c r="B206" s="136" t="s">
        <v>426</v>
      </c>
      <c r="C206" s="276">
        <v>42</v>
      </c>
      <c r="D206" s="276">
        <v>28</v>
      </c>
      <c r="E206" s="276">
        <v>70</v>
      </c>
      <c r="F206" s="276">
        <v>250</v>
      </c>
      <c r="G206" s="276">
        <v>238</v>
      </c>
      <c r="H206" s="276">
        <v>488</v>
      </c>
      <c r="I206" s="276">
        <v>19</v>
      </c>
      <c r="J206" s="276">
        <v>19</v>
      </c>
      <c r="K206" s="276">
        <v>38</v>
      </c>
      <c r="L206" s="276">
        <v>4</v>
      </c>
      <c r="M206" s="276">
        <v>16</v>
      </c>
      <c r="N206" s="276">
        <v>20</v>
      </c>
      <c r="O206" s="312">
        <v>315</v>
      </c>
      <c r="P206" s="312">
        <v>301</v>
      </c>
      <c r="Q206" s="312">
        <v>616</v>
      </c>
      <c r="R206" s="13"/>
      <c r="S206" s="13"/>
      <c r="T206" s="13"/>
      <c r="U206" s="13"/>
      <c r="V206" s="13"/>
      <c r="W206" s="13"/>
      <c r="X206" s="13"/>
    </row>
    <row r="207" spans="2:24" x14ac:dyDescent="0.25">
      <c r="B207" s="136" t="s">
        <v>427</v>
      </c>
      <c r="C207" s="276">
        <v>43</v>
      </c>
      <c r="D207" s="276">
        <v>29</v>
      </c>
      <c r="E207" s="276">
        <v>72</v>
      </c>
      <c r="F207" s="276">
        <v>229</v>
      </c>
      <c r="G207" s="276">
        <v>207</v>
      </c>
      <c r="H207" s="276">
        <v>436</v>
      </c>
      <c r="I207" s="276">
        <v>36</v>
      </c>
      <c r="J207" s="276">
        <v>15</v>
      </c>
      <c r="K207" s="276">
        <v>51</v>
      </c>
      <c r="L207" s="276">
        <v>10</v>
      </c>
      <c r="M207" s="276">
        <v>19</v>
      </c>
      <c r="N207" s="276">
        <v>29</v>
      </c>
      <c r="O207" s="312">
        <v>318</v>
      </c>
      <c r="P207" s="312">
        <v>270</v>
      </c>
      <c r="Q207" s="312">
        <v>588</v>
      </c>
      <c r="R207" s="13"/>
      <c r="S207" s="13"/>
      <c r="T207" s="13"/>
      <c r="U207" s="13"/>
      <c r="V207" s="13"/>
      <c r="W207" s="13"/>
      <c r="X207" s="13"/>
    </row>
    <row r="208" spans="2:24" x14ac:dyDescent="0.25">
      <c r="B208" s="136" t="s">
        <v>428</v>
      </c>
      <c r="C208" s="276">
        <v>59</v>
      </c>
      <c r="D208" s="276">
        <v>78</v>
      </c>
      <c r="E208" s="276">
        <v>137</v>
      </c>
      <c r="F208" s="276">
        <v>441</v>
      </c>
      <c r="G208" s="276">
        <v>397</v>
      </c>
      <c r="H208" s="276">
        <v>838</v>
      </c>
      <c r="I208" s="276">
        <v>104</v>
      </c>
      <c r="J208" s="276">
        <v>33</v>
      </c>
      <c r="K208" s="276">
        <v>137</v>
      </c>
      <c r="L208" s="276">
        <v>23</v>
      </c>
      <c r="M208" s="276">
        <v>33</v>
      </c>
      <c r="N208" s="276">
        <v>56</v>
      </c>
      <c r="O208" s="312">
        <v>627</v>
      </c>
      <c r="P208" s="312">
        <v>541</v>
      </c>
      <c r="Q208" s="312">
        <v>1168</v>
      </c>
      <c r="R208" s="13"/>
      <c r="S208" s="13"/>
      <c r="T208" s="13"/>
      <c r="U208" s="13"/>
      <c r="V208" s="13"/>
      <c r="W208" s="13"/>
      <c r="X208" s="13"/>
    </row>
    <row r="209" spans="2:24" x14ac:dyDescent="0.25">
      <c r="B209" s="136" t="s">
        <v>429</v>
      </c>
      <c r="C209" s="276">
        <v>28</v>
      </c>
      <c r="D209" s="276">
        <v>19</v>
      </c>
      <c r="E209" s="276">
        <v>47</v>
      </c>
      <c r="F209" s="276">
        <v>163</v>
      </c>
      <c r="G209" s="276">
        <v>161</v>
      </c>
      <c r="H209" s="276">
        <v>324</v>
      </c>
      <c r="I209" s="276">
        <v>20</v>
      </c>
      <c r="J209" s="276">
        <v>10</v>
      </c>
      <c r="K209" s="276">
        <v>30</v>
      </c>
      <c r="L209" s="276">
        <v>5</v>
      </c>
      <c r="M209" s="276">
        <v>15</v>
      </c>
      <c r="N209" s="276">
        <v>20</v>
      </c>
      <c r="O209" s="312">
        <v>216</v>
      </c>
      <c r="P209" s="312">
        <v>205</v>
      </c>
      <c r="Q209" s="312">
        <v>421</v>
      </c>
      <c r="R209" s="13"/>
      <c r="S209" s="13"/>
      <c r="T209" s="13"/>
      <c r="U209" s="13"/>
      <c r="V209" s="13"/>
      <c r="W209" s="13"/>
      <c r="X209" s="13"/>
    </row>
    <row r="210" spans="2:24" x14ac:dyDescent="0.25">
      <c r="B210" s="136" t="s">
        <v>430</v>
      </c>
      <c r="C210" s="276">
        <v>10</v>
      </c>
      <c r="D210" s="276">
        <v>1</v>
      </c>
      <c r="E210" s="276">
        <v>11</v>
      </c>
      <c r="F210" s="276">
        <v>24</v>
      </c>
      <c r="G210" s="276">
        <v>32</v>
      </c>
      <c r="H210" s="276">
        <v>56</v>
      </c>
      <c r="I210" s="276">
        <v>2</v>
      </c>
      <c r="J210" s="276">
        <v>1</v>
      </c>
      <c r="K210" s="276">
        <v>3</v>
      </c>
      <c r="L210" s="276">
        <v>1</v>
      </c>
      <c r="M210" s="276">
        <v>2</v>
      </c>
      <c r="N210" s="276">
        <v>3</v>
      </c>
      <c r="O210" s="312">
        <v>37</v>
      </c>
      <c r="P210" s="312">
        <v>36</v>
      </c>
      <c r="Q210" s="312">
        <v>73</v>
      </c>
      <c r="R210" s="13"/>
      <c r="S210" s="13"/>
      <c r="T210" s="13"/>
      <c r="U210" s="13"/>
      <c r="V210" s="13"/>
      <c r="W210" s="13"/>
      <c r="X210" s="13"/>
    </row>
    <row r="211" spans="2:24" x14ac:dyDescent="0.25">
      <c r="B211" s="136" t="s">
        <v>431</v>
      </c>
      <c r="C211" s="276">
        <v>37</v>
      </c>
      <c r="D211" s="276">
        <v>16</v>
      </c>
      <c r="E211" s="276">
        <v>53</v>
      </c>
      <c r="F211" s="276">
        <v>226</v>
      </c>
      <c r="G211" s="276">
        <v>161</v>
      </c>
      <c r="H211" s="276">
        <v>387</v>
      </c>
      <c r="I211" s="276">
        <v>17</v>
      </c>
      <c r="J211" s="276">
        <v>4</v>
      </c>
      <c r="K211" s="276">
        <v>21</v>
      </c>
      <c r="L211" s="276">
        <v>5</v>
      </c>
      <c r="M211" s="276">
        <v>12</v>
      </c>
      <c r="N211" s="276">
        <v>17</v>
      </c>
      <c r="O211" s="312">
        <v>285</v>
      </c>
      <c r="P211" s="312">
        <v>193</v>
      </c>
      <c r="Q211" s="312">
        <v>478</v>
      </c>
      <c r="R211" s="13"/>
      <c r="S211" s="13"/>
      <c r="T211" s="13"/>
      <c r="U211" s="13"/>
      <c r="V211" s="13"/>
      <c r="W211" s="13"/>
      <c r="X211" s="13"/>
    </row>
    <row r="212" spans="2:24" x14ac:dyDescent="0.25">
      <c r="B212" s="136" t="s">
        <v>432</v>
      </c>
      <c r="C212" s="276">
        <v>3</v>
      </c>
      <c r="D212" s="276">
        <v>1</v>
      </c>
      <c r="E212" s="276">
        <v>4</v>
      </c>
      <c r="F212" s="276">
        <v>15</v>
      </c>
      <c r="G212" s="276">
        <v>15</v>
      </c>
      <c r="H212" s="276">
        <v>30</v>
      </c>
      <c r="I212" s="276">
        <v>2</v>
      </c>
      <c r="J212" s="276">
        <v>3</v>
      </c>
      <c r="K212" s="276">
        <v>5</v>
      </c>
      <c r="L212" s="276"/>
      <c r="M212" s="276">
        <v>2</v>
      </c>
      <c r="N212" s="276">
        <v>2</v>
      </c>
      <c r="O212" s="312">
        <v>20</v>
      </c>
      <c r="P212" s="312">
        <v>21</v>
      </c>
      <c r="Q212" s="312">
        <v>41</v>
      </c>
      <c r="R212" s="13"/>
      <c r="S212" s="13"/>
      <c r="T212" s="13"/>
      <c r="U212" s="13"/>
      <c r="V212" s="13"/>
      <c r="W212" s="13"/>
      <c r="X212" s="13"/>
    </row>
    <row r="213" spans="2:24" x14ac:dyDescent="0.25">
      <c r="B213" s="136" t="s">
        <v>433</v>
      </c>
      <c r="C213" s="276">
        <v>20</v>
      </c>
      <c r="D213" s="276">
        <v>22</v>
      </c>
      <c r="E213" s="276">
        <v>42</v>
      </c>
      <c r="F213" s="276">
        <v>118</v>
      </c>
      <c r="G213" s="276">
        <v>102</v>
      </c>
      <c r="H213" s="276">
        <v>220</v>
      </c>
      <c r="I213" s="276">
        <v>27</v>
      </c>
      <c r="J213" s="276">
        <v>13</v>
      </c>
      <c r="K213" s="276">
        <v>40</v>
      </c>
      <c r="L213" s="276">
        <v>10</v>
      </c>
      <c r="M213" s="276">
        <v>18</v>
      </c>
      <c r="N213" s="276">
        <v>28</v>
      </c>
      <c r="O213" s="312">
        <v>175</v>
      </c>
      <c r="P213" s="312">
        <v>155</v>
      </c>
      <c r="Q213" s="312">
        <v>330</v>
      </c>
      <c r="R213" s="13"/>
      <c r="S213" s="13"/>
      <c r="T213" s="13"/>
      <c r="U213" s="13"/>
      <c r="V213" s="13"/>
      <c r="W213" s="13"/>
      <c r="X213" s="13"/>
    </row>
    <row r="214" spans="2:24" x14ac:dyDescent="0.25">
      <c r="B214" s="136" t="s">
        <v>434</v>
      </c>
      <c r="C214" s="276">
        <v>75</v>
      </c>
      <c r="D214" s="276">
        <v>57</v>
      </c>
      <c r="E214" s="276">
        <v>132</v>
      </c>
      <c r="F214" s="276">
        <v>754</v>
      </c>
      <c r="G214" s="276">
        <v>706</v>
      </c>
      <c r="H214" s="276">
        <v>1460</v>
      </c>
      <c r="I214" s="276">
        <v>29</v>
      </c>
      <c r="J214" s="276">
        <v>27</v>
      </c>
      <c r="K214" s="276">
        <v>56</v>
      </c>
      <c r="L214" s="276">
        <v>11</v>
      </c>
      <c r="M214" s="276">
        <v>14</v>
      </c>
      <c r="N214" s="276">
        <v>25</v>
      </c>
      <c r="O214" s="312">
        <v>869</v>
      </c>
      <c r="P214" s="312">
        <v>804</v>
      </c>
      <c r="Q214" s="312">
        <v>1673</v>
      </c>
      <c r="R214" s="13"/>
      <c r="S214" s="13"/>
      <c r="T214" s="13"/>
      <c r="U214" s="13"/>
      <c r="V214" s="13"/>
      <c r="W214" s="13"/>
      <c r="X214" s="13"/>
    </row>
    <row r="215" spans="2:24" x14ac:dyDescent="0.25">
      <c r="B215" s="136" t="s">
        <v>435</v>
      </c>
      <c r="C215" s="276">
        <v>19</v>
      </c>
      <c r="D215" s="276">
        <v>13</v>
      </c>
      <c r="E215" s="276">
        <v>32</v>
      </c>
      <c r="F215" s="276">
        <v>128</v>
      </c>
      <c r="G215" s="276">
        <v>111</v>
      </c>
      <c r="H215" s="276">
        <v>239</v>
      </c>
      <c r="I215" s="276">
        <v>12</v>
      </c>
      <c r="J215" s="276">
        <v>6</v>
      </c>
      <c r="K215" s="276">
        <v>18</v>
      </c>
      <c r="L215" s="276">
        <v>6</v>
      </c>
      <c r="M215" s="276">
        <v>5</v>
      </c>
      <c r="N215" s="276">
        <v>11</v>
      </c>
      <c r="O215" s="312">
        <v>165</v>
      </c>
      <c r="P215" s="312">
        <v>135</v>
      </c>
      <c r="Q215" s="312">
        <v>300</v>
      </c>
      <c r="R215" s="13"/>
      <c r="S215" s="13"/>
      <c r="T215" s="13"/>
      <c r="U215" s="13"/>
      <c r="V215" s="13"/>
      <c r="W215" s="13"/>
      <c r="X215" s="13"/>
    </row>
    <row r="216" spans="2:24" x14ac:dyDescent="0.25">
      <c r="B216" s="136" t="s">
        <v>436</v>
      </c>
      <c r="C216" s="276">
        <v>4</v>
      </c>
      <c r="D216" s="276">
        <v>5</v>
      </c>
      <c r="E216" s="276">
        <v>9</v>
      </c>
      <c r="F216" s="276">
        <v>28</v>
      </c>
      <c r="G216" s="276">
        <v>28</v>
      </c>
      <c r="H216" s="276">
        <v>56</v>
      </c>
      <c r="I216" s="276">
        <v>5</v>
      </c>
      <c r="J216" s="276">
        <v>2</v>
      </c>
      <c r="K216" s="276">
        <v>7</v>
      </c>
      <c r="L216" s="276"/>
      <c r="M216" s="276">
        <v>1</v>
      </c>
      <c r="N216" s="276">
        <v>1</v>
      </c>
      <c r="O216" s="312">
        <v>37</v>
      </c>
      <c r="P216" s="312">
        <v>36</v>
      </c>
      <c r="Q216" s="312">
        <v>73</v>
      </c>
      <c r="R216" s="13"/>
      <c r="S216" s="13"/>
      <c r="T216" s="13"/>
      <c r="U216" s="13"/>
      <c r="V216" s="13"/>
      <c r="W216" s="13"/>
      <c r="X216" s="13"/>
    </row>
    <row r="217" spans="2:24" x14ac:dyDescent="0.25">
      <c r="B217" s="136" t="s">
        <v>437</v>
      </c>
      <c r="C217" s="276">
        <v>5</v>
      </c>
      <c r="D217" s="276">
        <v>4</v>
      </c>
      <c r="E217" s="276">
        <v>9</v>
      </c>
      <c r="F217" s="276">
        <v>160</v>
      </c>
      <c r="G217" s="276">
        <v>67</v>
      </c>
      <c r="H217" s="276">
        <v>227</v>
      </c>
      <c r="I217" s="276">
        <v>3</v>
      </c>
      <c r="J217" s="276">
        <v>4</v>
      </c>
      <c r="K217" s="276">
        <v>7</v>
      </c>
      <c r="L217" s="276">
        <v>3</v>
      </c>
      <c r="M217" s="276"/>
      <c r="N217" s="276">
        <v>3</v>
      </c>
      <c r="O217" s="312">
        <v>171</v>
      </c>
      <c r="P217" s="312">
        <v>75</v>
      </c>
      <c r="Q217" s="312">
        <v>246</v>
      </c>
      <c r="R217" s="13"/>
      <c r="S217" s="13"/>
      <c r="T217" s="13"/>
      <c r="U217" s="13"/>
      <c r="V217" s="13"/>
      <c r="W217" s="13"/>
      <c r="X217" s="13"/>
    </row>
    <row r="218" spans="2:24" x14ac:dyDescent="0.25">
      <c r="B218" s="136" t="s">
        <v>504</v>
      </c>
      <c r="C218" s="276">
        <v>50</v>
      </c>
      <c r="D218" s="276">
        <v>36</v>
      </c>
      <c r="E218" s="276">
        <v>86</v>
      </c>
      <c r="F218" s="276">
        <v>479</v>
      </c>
      <c r="G218" s="276">
        <v>276</v>
      </c>
      <c r="H218" s="276">
        <v>755</v>
      </c>
      <c r="I218" s="276">
        <v>13</v>
      </c>
      <c r="J218" s="276">
        <v>12</v>
      </c>
      <c r="K218" s="276">
        <v>25</v>
      </c>
      <c r="L218" s="276">
        <v>6</v>
      </c>
      <c r="M218" s="276">
        <v>11</v>
      </c>
      <c r="N218" s="276">
        <v>17</v>
      </c>
      <c r="O218" s="312">
        <v>548</v>
      </c>
      <c r="P218" s="312">
        <v>335</v>
      </c>
      <c r="Q218" s="312">
        <v>883</v>
      </c>
      <c r="R218" s="13"/>
      <c r="S218" s="13"/>
      <c r="T218" s="13"/>
      <c r="U218" s="13"/>
      <c r="V218" s="13"/>
      <c r="W218" s="13"/>
      <c r="X218" s="13"/>
    </row>
    <row r="219" spans="2:24" x14ac:dyDescent="0.25">
      <c r="B219" s="311" t="s">
        <v>28</v>
      </c>
      <c r="C219" s="271">
        <v>1803</v>
      </c>
      <c r="D219" s="271">
        <v>1397</v>
      </c>
      <c r="E219" s="271">
        <v>3200</v>
      </c>
      <c r="F219" s="271">
        <v>12415</v>
      </c>
      <c r="G219" s="271">
        <v>9916</v>
      </c>
      <c r="H219" s="269">
        <v>22331</v>
      </c>
      <c r="I219" s="271">
        <v>1384</v>
      </c>
      <c r="J219" s="269">
        <v>666</v>
      </c>
      <c r="K219" s="271">
        <v>2050</v>
      </c>
      <c r="L219" s="269">
        <v>423</v>
      </c>
      <c r="M219" s="271">
        <v>638</v>
      </c>
      <c r="N219" s="269">
        <v>1061</v>
      </c>
      <c r="O219" s="312">
        <v>16025</v>
      </c>
      <c r="P219" s="312">
        <v>12617</v>
      </c>
      <c r="Q219" s="312">
        <v>28642</v>
      </c>
      <c r="R219" s="13"/>
      <c r="S219" s="13"/>
      <c r="T219" s="13"/>
      <c r="U219" s="13"/>
      <c r="V219" s="13"/>
      <c r="W219" s="13"/>
      <c r="X219" s="13"/>
    </row>
    <row r="220" spans="2:24" ht="114" customHeight="1" x14ac:dyDescent="0.25">
      <c r="B220" s="442" t="s">
        <v>814</v>
      </c>
      <c r="C220" s="442"/>
      <c r="D220" s="442"/>
      <c r="E220" s="442"/>
      <c r="F220" s="442"/>
      <c r="G220" s="442"/>
      <c r="H220" s="442"/>
      <c r="I220" s="442"/>
      <c r="J220" s="442"/>
      <c r="K220" s="442"/>
      <c r="L220" s="442"/>
      <c r="M220" s="442"/>
      <c r="N220" s="442"/>
      <c r="O220" s="442"/>
      <c r="P220" s="442"/>
      <c r="Q220" s="442"/>
      <c r="R220" s="13"/>
      <c r="S220" s="13"/>
      <c r="T220" s="13"/>
      <c r="U220" s="13"/>
      <c r="V220" s="13"/>
      <c r="W220" s="13"/>
    </row>
    <row r="221" spans="2:24" x14ac:dyDescent="0.25">
      <c r="B221" s="158"/>
      <c r="C221" s="158"/>
      <c r="D221" s="158"/>
      <c r="E221" s="158"/>
      <c r="F221" s="158"/>
      <c r="G221"/>
      <c r="H221" s="13"/>
      <c r="I221" s="13"/>
      <c r="J221" s="13"/>
      <c r="K221" s="13"/>
      <c r="L221" s="13"/>
      <c r="M221" s="13"/>
      <c r="N221" s="13"/>
      <c r="O221" s="13"/>
      <c r="P221" s="13"/>
      <c r="Q221" s="13"/>
      <c r="R221" s="13"/>
      <c r="S221" s="13"/>
      <c r="T221" s="13"/>
      <c r="U221" s="13"/>
      <c r="V221" s="13"/>
      <c r="W221" s="13"/>
    </row>
    <row r="222" spans="2:24" x14ac:dyDescent="0.25">
      <c r="B222" s="187" t="s">
        <v>515</v>
      </c>
      <c r="C222"/>
      <c r="D222"/>
      <c r="E222"/>
      <c r="F222"/>
      <c r="G222"/>
      <c r="H222" s="13"/>
      <c r="I222" s="13"/>
      <c r="J222" s="13"/>
      <c r="K222" s="13"/>
      <c r="L222" s="13"/>
      <c r="M222" s="13"/>
      <c r="N222" s="13"/>
      <c r="O222" s="13"/>
      <c r="P222" s="13"/>
      <c r="Q222" s="13"/>
      <c r="R222" s="13"/>
      <c r="S222" s="13"/>
      <c r="T222" s="13"/>
      <c r="U222" s="13"/>
      <c r="V222" s="13"/>
      <c r="W222" s="13"/>
    </row>
    <row r="223" spans="2:24" x14ac:dyDescent="0.25">
      <c r="B223" s="187"/>
      <c r="C223"/>
      <c r="D223"/>
      <c r="E223"/>
      <c r="F223"/>
      <c r="G223"/>
      <c r="H223" s="13"/>
      <c r="I223" s="13"/>
      <c r="J223" s="13"/>
      <c r="K223" s="13"/>
      <c r="L223" s="13"/>
      <c r="M223" s="13"/>
      <c r="N223" s="13"/>
      <c r="O223" s="13"/>
      <c r="P223" s="13"/>
      <c r="Q223" s="13"/>
      <c r="R223" s="13"/>
      <c r="S223" s="13"/>
      <c r="T223" s="13"/>
      <c r="U223" s="13"/>
      <c r="V223" s="13"/>
      <c r="W223" s="13"/>
    </row>
    <row r="224" spans="2:24" ht="15" customHeight="1" x14ac:dyDescent="0.25">
      <c r="B224" s="441" t="s">
        <v>537</v>
      </c>
      <c r="C224" s="426" t="s">
        <v>481</v>
      </c>
      <c r="D224" s="426"/>
      <c r="E224" s="426"/>
      <c r="F224" s="426"/>
      <c r="G224" s="426"/>
      <c r="H224" s="426"/>
      <c r="I224" s="426"/>
      <c r="J224" s="426"/>
      <c r="K224" s="426"/>
      <c r="L224" s="426"/>
      <c r="M224" s="426"/>
      <c r="N224" s="426"/>
      <c r="O224" s="443" t="s">
        <v>697</v>
      </c>
      <c r="P224" s="444"/>
      <c r="Q224" s="445"/>
      <c r="R224" s="13"/>
      <c r="S224" s="13"/>
      <c r="T224" s="13"/>
      <c r="U224" s="13"/>
      <c r="V224" s="13"/>
      <c r="W224" s="13"/>
    </row>
    <row r="225" spans="2:24" ht="15" customHeight="1" x14ac:dyDescent="0.25">
      <c r="B225" s="441"/>
      <c r="C225" s="426" t="s">
        <v>658</v>
      </c>
      <c r="D225" s="426"/>
      <c r="E225" s="426"/>
      <c r="F225" s="426" t="s">
        <v>490</v>
      </c>
      <c r="G225" s="426"/>
      <c r="H225" s="426"/>
      <c r="I225" s="426" t="s">
        <v>4</v>
      </c>
      <c r="J225" s="426"/>
      <c r="K225" s="426"/>
      <c r="L225" s="426" t="s">
        <v>6</v>
      </c>
      <c r="M225" s="426"/>
      <c r="N225" s="426"/>
      <c r="O225" s="446"/>
      <c r="P225" s="447"/>
      <c r="Q225" s="448"/>
      <c r="R225" s="13"/>
      <c r="S225" s="13"/>
      <c r="T225" s="13"/>
      <c r="U225" s="13"/>
      <c r="V225" s="13"/>
      <c r="W225" s="13"/>
    </row>
    <row r="226" spans="2:24" x14ac:dyDescent="0.25">
      <c r="B226" s="441"/>
      <c r="C226" s="161" t="s">
        <v>76</v>
      </c>
      <c r="D226" s="161" t="s">
        <v>77</v>
      </c>
      <c r="E226" s="161" t="s">
        <v>28</v>
      </c>
      <c r="F226" s="161" t="s">
        <v>76</v>
      </c>
      <c r="G226" s="161" t="s">
        <v>77</v>
      </c>
      <c r="H226" s="161" t="s">
        <v>28</v>
      </c>
      <c r="I226" s="161" t="s">
        <v>76</v>
      </c>
      <c r="J226" s="161" t="s">
        <v>77</v>
      </c>
      <c r="K226" s="161" t="s">
        <v>28</v>
      </c>
      <c r="L226" s="161" t="s">
        <v>76</v>
      </c>
      <c r="M226" s="161" t="s">
        <v>77</v>
      </c>
      <c r="N226" s="161" t="s">
        <v>28</v>
      </c>
      <c r="O226" s="244" t="s">
        <v>76</v>
      </c>
      <c r="P226" s="244" t="s">
        <v>77</v>
      </c>
      <c r="Q226" s="244" t="s">
        <v>28</v>
      </c>
      <c r="R226" s="13"/>
      <c r="S226" s="13"/>
      <c r="T226" s="13"/>
      <c r="U226" s="13"/>
      <c r="V226" s="13"/>
      <c r="W226" s="13"/>
    </row>
    <row r="227" spans="2:24" x14ac:dyDescent="0.25">
      <c r="B227" s="157" t="s">
        <v>211</v>
      </c>
      <c r="C227" s="278">
        <v>7</v>
      </c>
      <c r="D227" s="278">
        <v>5</v>
      </c>
      <c r="E227" s="278">
        <v>12</v>
      </c>
      <c r="F227" s="278">
        <v>26</v>
      </c>
      <c r="G227" s="278">
        <v>20</v>
      </c>
      <c r="H227" s="278">
        <v>46</v>
      </c>
      <c r="I227" s="278">
        <v>8</v>
      </c>
      <c r="J227" s="278">
        <v>4</v>
      </c>
      <c r="K227" s="278">
        <v>12</v>
      </c>
      <c r="L227" s="278">
        <v>1</v>
      </c>
      <c r="M227" s="278">
        <v>4</v>
      </c>
      <c r="N227" s="278">
        <v>5</v>
      </c>
      <c r="O227" s="312">
        <v>42</v>
      </c>
      <c r="P227" s="312">
        <v>33</v>
      </c>
      <c r="Q227" s="312">
        <v>75</v>
      </c>
      <c r="R227" s="13"/>
      <c r="S227" s="13"/>
      <c r="T227" s="13"/>
      <c r="U227" s="13"/>
      <c r="V227" s="13"/>
      <c r="W227" s="13"/>
      <c r="X227" s="13"/>
    </row>
    <row r="228" spans="2:24" x14ac:dyDescent="0.25">
      <c r="B228" s="136" t="s">
        <v>212</v>
      </c>
      <c r="C228" s="276">
        <v>13</v>
      </c>
      <c r="D228" s="276">
        <v>13</v>
      </c>
      <c r="E228" s="276">
        <v>26</v>
      </c>
      <c r="F228" s="276">
        <v>40</v>
      </c>
      <c r="G228" s="276">
        <v>72</v>
      </c>
      <c r="H228" s="276">
        <v>112</v>
      </c>
      <c r="I228" s="276">
        <v>17</v>
      </c>
      <c r="J228" s="276">
        <v>2</v>
      </c>
      <c r="K228" s="276">
        <v>19</v>
      </c>
      <c r="L228" s="276">
        <v>2</v>
      </c>
      <c r="M228" s="276">
        <v>6</v>
      </c>
      <c r="N228" s="276">
        <v>8</v>
      </c>
      <c r="O228" s="312">
        <v>72</v>
      </c>
      <c r="P228" s="312">
        <v>93</v>
      </c>
      <c r="Q228" s="312">
        <v>165</v>
      </c>
      <c r="R228" s="13"/>
      <c r="S228" s="13"/>
      <c r="T228" s="13"/>
      <c r="U228" s="13"/>
      <c r="V228" s="13"/>
      <c r="W228" s="13"/>
      <c r="X228" s="13"/>
    </row>
    <row r="229" spans="2:24" x14ac:dyDescent="0.25">
      <c r="B229" s="136" t="s">
        <v>213</v>
      </c>
      <c r="C229" s="276"/>
      <c r="D229" s="276">
        <v>3</v>
      </c>
      <c r="E229" s="276">
        <v>3</v>
      </c>
      <c r="F229" s="276">
        <v>26</v>
      </c>
      <c r="G229" s="276">
        <v>23</v>
      </c>
      <c r="H229" s="276">
        <v>49</v>
      </c>
      <c r="I229" s="276">
        <v>6</v>
      </c>
      <c r="J229" s="276">
        <v>2</v>
      </c>
      <c r="K229" s="276">
        <v>8</v>
      </c>
      <c r="L229" s="276">
        <v>3</v>
      </c>
      <c r="M229" s="276">
        <v>1</v>
      </c>
      <c r="N229" s="276">
        <v>4</v>
      </c>
      <c r="O229" s="312">
        <v>35</v>
      </c>
      <c r="P229" s="312">
        <v>29</v>
      </c>
      <c r="Q229" s="312">
        <v>64</v>
      </c>
      <c r="R229" s="13"/>
      <c r="S229" s="13"/>
      <c r="T229" s="13"/>
      <c r="U229" s="13"/>
      <c r="V229" s="13"/>
      <c r="W229" s="13"/>
      <c r="X229" s="13"/>
    </row>
    <row r="230" spans="2:24" x14ac:dyDescent="0.25">
      <c r="B230" s="136" t="s">
        <v>214</v>
      </c>
      <c r="C230" s="276">
        <v>3</v>
      </c>
      <c r="D230" s="276">
        <v>5</v>
      </c>
      <c r="E230" s="276">
        <v>8</v>
      </c>
      <c r="F230" s="276">
        <v>20</v>
      </c>
      <c r="G230" s="276">
        <v>15</v>
      </c>
      <c r="H230" s="276">
        <v>35</v>
      </c>
      <c r="I230" s="276">
        <v>4</v>
      </c>
      <c r="J230" s="276">
        <v>1</v>
      </c>
      <c r="K230" s="276">
        <v>5</v>
      </c>
      <c r="L230" s="276">
        <v>1</v>
      </c>
      <c r="M230" s="276">
        <v>4</v>
      </c>
      <c r="N230" s="276">
        <v>5</v>
      </c>
      <c r="O230" s="312">
        <v>28</v>
      </c>
      <c r="P230" s="312">
        <v>25</v>
      </c>
      <c r="Q230" s="312">
        <v>53</v>
      </c>
      <c r="R230" s="13"/>
      <c r="S230" s="13"/>
      <c r="T230" s="13"/>
      <c r="U230" s="13"/>
      <c r="V230" s="13"/>
      <c r="W230" s="13"/>
      <c r="X230" s="13"/>
    </row>
    <row r="231" spans="2:24" x14ac:dyDescent="0.25">
      <c r="B231" s="136" t="s">
        <v>215</v>
      </c>
      <c r="C231" s="276">
        <v>3</v>
      </c>
      <c r="D231" s="276">
        <v>7</v>
      </c>
      <c r="E231" s="276">
        <v>10</v>
      </c>
      <c r="F231" s="276">
        <v>27</v>
      </c>
      <c r="G231" s="276">
        <v>33</v>
      </c>
      <c r="H231" s="276">
        <v>60</v>
      </c>
      <c r="I231" s="276">
        <v>4</v>
      </c>
      <c r="J231" s="276">
        <v>2</v>
      </c>
      <c r="K231" s="276">
        <v>6</v>
      </c>
      <c r="L231" s="276">
        <v>6</v>
      </c>
      <c r="M231" s="276">
        <v>3</v>
      </c>
      <c r="N231" s="276">
        <v>9</v>
      </c>
      <c r="O231" s="312">
        <v>40</v>
      </c>
      <c r="P231" s="312">
        <v>45</v>
      </c>
      <c r="Q231" s="312">
        <v>85</v>
      </c>
      <c r="R231" s="13"/>
      <c r="S231" s="13"/>
      <c r="T231" s="13"/>
      <c r="U231" s="13"/>
      <c r="V231" s="13"/>
      <c r="W231" s="13"/>
      <c r="X231" s="13"/>
    </row>
    <row r="232" spans="2:24" x14ac:dyDescent="0.25">
      <c r="B232" s="136" t="s">
        <v>498</v>
      </c>
      <c r="C232" s="276">
        <v>3</v>
      </c>
      <c r="D232" s="276">
        <v>3</v>
      </c>
      <c r="E232" s="276">
        <v>6</v>
      </c>
      <c r="F232" s="276">
        <v>38</v>
      </c>
      <c r="G232" s="276">
        <v>26</v>
      </c>
      <c r="H232" s="276">
        <v>64</v>
      </c>
      <c r="I232" s="276">
        <v>13</v>
      </c>
      <c r="J232" s="276">
        <v>1</v>
      </c>
      <c r="K232" s="276">
        <v>14</v>
      </c>
      <c r="L232" s="276">
        <v>1</v>
      </c>
      <c r="M232" s="276">
        <v>2</v>
      </c>
      <c r="N232" s="276">
        <v>3</v>
      </c>
      <c r="O232" s="312">
        <v>55</v>
      </c>
      <c r="P232" s="312">
        <v>32</v>
      </c>
      <c r="Q232" s="312">
        <v>87</v>
      </c>
      <c r="R232" s="13"/>
      <c r="S232" s="13"/>
      <c r="T232" s="13"/>
      <c r="U232" s="13"/>
      <c r="V232" s="13"/>
      <c r="W232" s="13"/>
      <c r="X232" s="13"/>
    </row>
    <row r="233" spans="2:24" x14ac:dyDescent="0.25">
      <c r="B233" s="136" t="s">
        <v>216</v>
      </c>
      <c r="C233" s="276">
        <v>8</v>
      </c>
      <c r="D233" s="276">
        <v>10</v>
      </c>
      <c r="E233" s="276">
        <v>18</v>
      </c>
      <c r="F233" s="276">
        <v>57</v>
      </c>
      <c r="G233" s="276">
        <v>41</v>
      </c>
      <c r="H233" s="276">
        <v>98</v>
      </c>
      <c r="I233" s="276">
        <v>6</v>
      </c>
      <c r="J233" s="276">
        <v>4</v>
      </c>
      <c r="K233" s="276">
        <v>10</v>
      </c>
      <c r="L233" s="276">
        <v>4</v>
      </c>
      <c r="M233" s="276">
        <v>10</v>
      </c>
      <c r="N233" s="276">
        <v>14</v>
      </c>
      <c r="O233" s="312">
        <v>75</v>
      </c>
      <c r="P233" s="312">
        <v>65</v>
      </c>
      <c r="Q233" s="312">
        <v>140</v>
      </c>
      <c r="R233" s="13"/>
      <c r="S233" s="13"/>
      <c r="T233" s="13"/>
      <c r="U233" s="13"/>
      <c r="V233" s="13"/>
      <c r="W233" s="13"/>
      <c r="X233" s="13"/>
    </row>
    <row r="234" spans="2:24" x14ac:dyDescent="0.25">
      <c r="B234" s="136" t="s">
        <v>217</v>
      </c>
      <c r="C234" s="276">
        <v>1</v>
      </c>
      <c r="D234" s="276">
        <v>1</v>
      </c>
      <c r="E234" s="276">
        <v>2</v>
      </c>
      <c r="F234" s="276">
        <v>5</v>
      </c>
      <c r="G234" s="276">
        <v>11</v>
      </c>
      <c r="H234" s="276">
        <v>16</v>
      </c>
      <c r="I234" s="276">
        <v>3</v>
      </c>
      <c r="J234" s="276">
        <v>1</v>
      </c>
      <c r="K234" s="276">
        <v>4</v>
      </c>
      <c r="L234" s="276">
        <v>1</v>
      </c>
      <c r="M234" s="276"/>
      <c r="N234" s="276">
        <v>1</v>
      </c>
      <c r="O234" s="312">
        <v>10</v>
      </c>
      <c r="P234" s="312">
        <v>13</v>
      </c>
      <c r="Q234" s="312">
        <v>23</v>
      </c>
      <c r="R234" s="13"/>
      <c r="S234" s="13"/>
      <c r="T234" s="13"/>
      <c r="U234" s="13"/>
      <c r="V234" s="13"/>
      <c r="W234" s="13"/>
      <c r="X234" s="13"/>
    </row>
    <row r="235" spans="2:24" x14ac:dyDescent="0.25">
      <c r="B235" s="136" t="s">
        <v>218</v>
      </c>
      <c r="C235" s="276">
        <v>7</v>
      </c>
      <c r="D235" s="276">
        <v>7</v>
      </c>
      <c r="E235" s="276">
        <v>14</v>
      </c>
      <c r="F235" s="276">
        <v>41</v>
      </c>
      <c r="G235" s="276">
        <v>53</v>
      </c>
      <c r="H235" s="276">
        <v>94</v>
      </c>
      <c r="I235" s="276">
        <v>17</v>
      </c>
      <c r="J235" s="276">
        <v>7</v>
      </c>
      <c r="K235" s="276">
        <v>24</v>
      </c>
      <c r="L235" s="276">
        <v>6</v>
      </c>
      <c r="M235" s="276">
        <v>5</v>
      </c>
      <c r="N235" s="276">
        <v>11</v>
      </c>
      <c r="O235" s="312">
        <v>71</v>
      </c>
      <c r="P235" s="312">
        <v>72</v>
      </c>
      <c r="Q235" s="312">
        <v>143</v>
      </c>
      <c r="R235" s="13"/>
      <c r="S235" s="13"/>
      <c r="T235" s="13"/>
      <c r="U235" s="13"/>
      <c r="V235" s="13"/>
      <c r="W235" s="13"/>
      <c r="X235" s="13"/>
    </row>
    <row r="236" spans="2:24" x14ac:dyDescent="0.25">
      <c r="B236" s="136" t="s">
        <v>219</v>
      </c>
      <c r="C236" s="276">
        <v>1</v>
      </c>
      <c r="D236" s="276">
        <v>4</v>
      </c>
      <c r="E236" s="276">
        <v>5</v>
      </c>
      <c r="F236" s="276">
        <v>16</v>
      </c>
      <c r="G236" s="276">
        <v>10</v>
      </c>
      <c r="H236" s="276">
        <v>26</v>
      </c>
      <c r="I236" s="276">
        <v>6</v>
      </c>
      <c r="J236" s="276">
        <v>3</v>
      </c>
      <c r="K236" s="276">
        <v>9</v>
      </c>
      <c r="L236" s="276">
        <v>1</v>
      </c>
      <c r="M236" s="276">
        <v>1</v>
      </c>
      <c r="N236" s="276">
        <v>2</v>
      </c>
      <c r="O236" s="312">
        <v>24</v>
      </c>
      <c r="P236" s="312">
        <v>18</v>
      </c>
      <c r="Q236" s="312">
        <v>42</v>
      </c>
      <c r="R236" s="13"/>
      <c r="S236" s="13"/>
      <c r="T236" s="13"/>
      <c r="U236" s="13"/>
      <c r="V236" s="13"/>
      <c r="W236" s="13"/>
      <c r="X236" s="13"/>
    </row>
    <row r="237" spans="2:24" x14ac:dyDescent="0.25">
      <c r="B237" s="136" t="s">
        <v>220</v>
      </c>
      <c r="C237" s="276">
        <v>3</v>
      </c>
      <c r="D237" s="276">
        <v>2</v>
      </c>
      <c r="E237" s="276">
        <v>5</v>
      </c>
      <c r="F237" s="276">
        <v>15</v>
      </c>
      <c r="G237" s="276">
        <v>13</v>
      </c>
      <c r="H237" s="276">
        <v>28</v>
      </c>
      <c r="I237" s="276">
        <v>3</v>
      </c>
      <c r="J237" s="276">
        <v>1</v>
      </c>
      <c r="K237" s="276">
        <v>4</v>
      </c>
      <c r="L237" s="276">
        <v>1</v>
      </c>
      <c r="M237" s="276">
        <v>2</v>
      </c>
      <c r="N237" s="276">
        <v>3</v>
      </c>
      <c r="O237" s="312">
        <v>22</v>
      </c>
      <c r="P237" s="312">
        <v>18</v>
      </c>
      <c r="Q237" s="312">
        <v>40</v>
      </c>
      <c r="R237" s="13"/>
      <c r="S237" s="13"/>
      <c r="T237" s="13"/>
      <c r="U237" s="13"/>
      <c r="V237" s="13"/>
      <c r="W237" s="13"/>
      <c r="X237" s="13"/>
    </row>
    <row r="238" spans="2:24" x14ac:dyDescent="0.25">
      <c r="B238" s="136" t="s">
        <v>221</v>
      </c>
      <c r="C238" s="276">
        <v>18</v>
      </c>
      <c r="D238" s="276">
        <v>8</v>
      </c>
      <c r="E238" s="276">
        <v>26</v>
      </c>
      <c r="F238" s="276">
        <v>89</v>
      </c>
      <c r="G238" s="276">
        <v>84</v>
      </c>
      <c r="H238" s="276">
        <v>173</v>
      </c>
      <c r="I238" s="276">
        <v>9</v>
      </c>
      <c r="J238" s="276">
        <v>3</v>
      </c>
      <c r="K238" s="276">
        <v>12</v>
      </c>
      <c r="L238" s="276">
        <v>5</v>
      </c>
      <c r="M238" s="276">
        <v>6</v>
      </c>
      <c r="N238" s="276">
        <v>11</v>
      </c>
      <c r="O238" s="312">
        <v>121</v>
      </c>
      <c r="P238" s="312">
        <v>101</v>
      </c>
      <c r="Q238" s="312">
        <v>222</v>
      </c>
      <c r="R238" s="13"/>
      <c r="S238" s="13"/>
      <c r="T238" s="13"/>
      <c r="U238" s="13"/>
      <c r="V238" s="13"/>
      <c r="W238" s="13"/>
      <c r="X238" s="13"/>
    </row>
    <row r="239" spans="2:24" x14ac:dyDescent="0.25">
      <c r="B239" s="136" t="s">
        <v>222</v>
      </c>
      <c r="C239" s="276">
        <v>8</v>
      </c>
      <c r="D239" s="276">
        <v>9</v>
      </c>
      <c r="E239" s="276">
        <v>17</v>
      </c>
      <c r="F239" s="276">
        <v>27</v>
      </c>
      <c r="G239" s="276">
        <v>20</v>
      </c>
      <c r="H239" s="276">
        <v>47</v>
      </c>
      <c r="I239" s="276">
        <v>8</v>
      </c>
      <c r="J239" s="276">
        <v>1</v>
      </c>
      <c r="K239" s="276">
        <v>9</v>
      </c>
      <c r="L239" s="276">
        <v>4</v>
      </c>
      <c r="M239" s="276">
        <v>3</v>
      </c>
      <c r="N239" s="276">
        <v>7</v>
      </c>
      <c r="O239" s="312">
        <v>47</v>
      </c>
      <c r="P239" s="312">
        <v>33</v>
      </c>
      <c r="Q239" s="312">
        <v>80</v>
      </c>
      <c r="R239" s="13"/>
      <c r="S239" s="13"/>
      <c r="T239" s="13"/>
      <c r="U239" s="13"/>
      <c r="V239" s="13"/>
      <c r="W239" s="13"/>
      <c r="X239" s="13"/>
    </row>
    <row r="240" spans="2:24" x14ac:dyDescent="0.25">
      <c r="B240" s="136" t="s">
        <v>223</v>
      </c>
      <c r="C240" s="276">
        <v>2</v>
      </c>
      <c r="D240" s="276">
        <v>2</v>
      </c>
      <c r="E240" s="276">
        <v>4</v>
      </c>
      <c r="F240" s="276">
        <v>13</v>
      </c>
      <c r="G240" s="276">
        <v>17</v>
      </c>
      <c r="H240" s="276">
        <v>30</v>
      </c>
      <c r="I240" s="276">
        <v>3</v>
      </c>
      <c r="J240" s="276">
        <v>1</v>
      </c>
      <c r="K240" s="276">
        <v>4</v>
      </c>
      <c r="L240" s="276"/>
      <c r="M240" s="276"/>
      <c r="N240" s="276"/>
      <c r="O240" s="312">
        <v>18</v>
      </c>
      <c r="P240" s="312">
        <v>20</v>
      </c>
      <c r="Q240" s="312">
        <v>38</v>
      </c>
      <c r="R240" s="13"/>
      <c r="S240" s="13"/>
      <c r="T240" s="13"/>
      <c r="U240" s="13"/>
      <c r="V240" s="13"/>
      <c r="W240" s="13"/>
      <c r="X240" s="13"/>
    </row>
    <row r="241" spans="2:24" x14ac:dyDescent="0.25">
      <c r="B241" s="136" t="s">
        <v>224</v>
      </c>
      <c r="C241" s="276">
        <v>5</v>
      </c>
      <c r="D241" s="276">
        <v>14</v>
      </c>
      <c r="E241" s="276">
        <v>19</v>
      </c>
      <c r="F241" s="276">
        <v>48</v>
      </c>
      <c r="G241" s="276">
        <v>49</v>
      </c>
      <c r="H241" s="276">
        <v>97</v>
      </c>
      <c r="I241" s="276">
        <v>14</v>
      </c>
      <c r="J241" s="276">
        <v>2</v>
      </c>
      <c r="K241" s="276">
        <v>16</v>
      </c>
      <c r="L241" s="276">
        <v>6</v>
      </c>
      <c r="M241" s="276">
        <v>8</v>
      </c>
      <c r="N241" s="276">
        <v>14</v>
      </c>
      <c r="O241" s="312">
        <v>73</v>
      </c>
      <c r="P241" s="312">
        <v>73</v>
      </c>
      <c r="Q241" s="312">
        <v>146</v>
      </c>
      <c r="R241" s="13"/>
      <c r="S241" s="13"/>
      <c r="T241" s="13"/>
      <c r="U241" s="13"/>
      <c r="V241" s="13"/>
      <c r="W241" s="13"/>
      <c r="X241" s="13"/>
    </row>
    <row r="242" spans="2:24" x14ac:dyDescent="0.25">
      <c r="B242" s="136" t="s">
        <v>225</v>
      </c>
      <c r="C242" s="276">
        <v>6</v>
      </c>
      <c r="D242" s="276">
        <v>4</v>
      </c>
      <c r="E242" s="276">
        <v>10</v>
      </c>
      <c r="F242" s="276">
        <v>21</v>
      </c>
      <c r="G242" s="276">
        <v>24</v>
      </c>
      <c r="H242" s="276">
        <v>45</v>
      </c>
      <c r="I242" s="276">
        <v>5</v>
      </c>
      <c r="J242" s="276">
        <v>5</v>
      </c>
      <c r="K242" s="276">
        <v>10</v>
      </c>
      <c r="L242" s="276">
        <v>2</v>
      </c>
      <c r="M242" s="276">
        <v>1</v>
      </c>
      <c r="N242" s="276">
        <v>3</v>
      </c>
      <c r="O242" s="312">
        <v>34</v>
      </c>
      <c r="P242" s="312">
        <v>34</v>
      </c>
      <c r="Q242" s="312">
        <v>68</v>
      </c>
      <c r="R242" s="13"/>
      <c r="S242" s="13"/>
      <c r="T242" s="13"/>
      <c r="U242" s="13"/>
      <c r="V242" s="13"/>
      <c r="W242" s="13"/>
      <c r="X242" s="13"/>
    </row>
    <row r="243" spans="2:24" x14ac:dyDescent="0.25">
      <c r="B243" s="136" t="s">
        <v>226</v>
      </c>
      <c r="C243" s="276">
        <v>2</v>
      </c>
      <c r="D243" s="276">
        <v>5</v>
      </c>
      <c r="E243" s="276">
        <v>7</v>
      </c>
      <c r="F243" s="276">
        <v>23</v>
      </c>
      <c r="G243" s="276">
        <v>18</v>
      </c>
      <c r="H243" s="276">
        <v>41</v>
      </c>
      <c r="I243" s="276">
        <v>7</v>
      </c>
      <c r="J243" s="276">
        <v>1</v>
      </c>
      <c r="K243" s="276">
        <v>8</v>
      </c>
      <c r="L243" s="276">
        <v>1</v>
      </c>
      <c r="M243" s="276">
        <v>2</v>
      </c>
      <c r="N243" s="276">
        <v>3</v>
      </c>
      <c r="O243" s="312">
        <v>33</v>
      </c>
      <c r="P243" s="312">
        <v>26</v>
      </c>
      <c r="Q243" s="312">
        <v>59</v>
      </c>
      <c r="R243" s="13"/>
      <c r="S243" s="13"/>
      <c r="T243" s="13"/>
      <c r="U243" s="13"/>
      <c r="V243" s="13"/>
      <c r="W243" s="13"/>
      <c r="X243" s="13"/>
    </row>
    <row r="244" spans="2:24" x14ac:dyDescent="0.25">
      <c r="B244" s="136" t="s">
        <v>227</v>
      </c>
      <c r="C244" s="276">
        <v>2</v>
      </c>
      <c r="D244" s="276">
        <v>2</v>
      </c>
      <c r="E244" s="276">
        <v>4</v>
      </c>
      <c r="F244" s="276">
        <v>29</v>
      </c>
      <c r="G244" s="276">
        <v>19</v>
      </c>
      <c r="H244" s="276">
        <v>48</v>
      </c>
      <c r="I244" s="276">
        <v>6</v>
      </c>
      <c r="J244" s="276">
        <v>4</v>
      </c>
      <c r="K244" s="276">
        <v>10</v>
      </c>
      <c r="L244" s="276">
        <v>1</v>
      </c>
      <c r="M244" s="276">
        <v>1</v>
      </c>
      <c r="N244" s="276">
        <v>2</v>
      </c>
      <c r="O244" s="312">
        <v>38</v>
      </c>
      <c r="P244" s="312">
        <v>26</v>
      </c>
      <c r="Q244" s="312">
        <v>64</v>
      </c>
      <c r="R244" s="13"/>
      <c r="S244" s="13"/>
      <c r="T244" s="13"/>
      <c r="U244" s="13"/>
      <c r="V244" s="13"/>
      <c r="W244" s="13"/>
      <c r="X244" s="13"/>
    </row>
    <row r="245" spans="2:24" x14ac:dyDescent="0.25">
      <c r="B245" s="136" t="s">
        <v>228</v>
      </c>
      <c r="C245" s="276">
        <v>4</v>
      </c>
      <c r="D245" s="276">
        <v>7</v>
      </c>
      <c r="E245" s="276">
        <v>11</v>
      </c>
      <c r="F245" s="276">
        <v>16</v>
      </c>
      <c r="G245" s="276">
        <v>32</v>
      </c>
      <c r="H245" s="276">
        <v>48</v>
      </c>
      <c r="I245" s="276">
        <v>7</v>
      </c>
      <c r="J245" s="276">
        <v>1</v>
      </c>
      <c r="K245" s="276">
        <v>8</v>
      </c>
      <c r="L245" s="276">
        <v>3</v>
      </c>
      <c r="M245" s="276">
        <v>4</v>
      </c>
      <c r="N245" s="276">
        <v>7</v>
      </c>
      <c r="O245" s="312">
        <v>30</v>
      </c>
      <c r="P245" s="312">
        <v>44</v>
      </c>
      <c r="Q245" s="312">
        <v>74</v>
      </c>
      <c r="R245" s="13"/>
      <c r="S245" s="13"/>
      <c r="T245" s="13"/>
      <c r="U245" s="13"/>
      <c r="V245" s="13"/>
      <c r="W245" s="13"/>
      <c r="X245" s="13"/>
    </row>
    <row r="246" spans="2:24" x14ac:dyDescent="0.25">
      <c r="B246" s="136" t="s">
        <v>229</v>
      </c>
      <c r="C246" s="276">
        <v>2</v>
      </c>
      <c r="D246" s="276">
        <v>3</v>
      </c>
      <c r="E246" s="276">
        <v>5</v>
      </c>
      <c r="F246" s="276">
        <v>7</v>
      </c>
      <c r="G246" s="276">
        <v>11</v>
      </c>
      <c r="H246" s="276">
        <v>18</v>
      </c>
      <c r="I246" s="276">
        <v>3</v>
      </c>
      <c r="J246" s="276">
        <v>4</v>
      </c>
      <c r="K246" s="276">
        <v>7</v>
      </c>
      <c r="L246" s="276">
        <v>1</v>
      </c>
      <c r="M246" s="276">
        <v>2</v>
      </c>
      <c r="N246" s="276">
        <v>3</v>
      </c>
      <c r="O246" s="312">
        <v>13</v>
      </c>
      <c r="P246" s="312">
        <v>20</v>
      </c>
      <c r="Q246" s="312">
        <v>33</v>
      </c>
      <c r="R246" s="13"/>
      <c r="S246" s="13"/>
      <c r="T246" s="13"/>
      <c r="U246" s="13"/>
      <c r="V246" s="13"/>
      <c r="W246" s="13"/>
      <c r="X246" s="13"/>
    </row>
    <row r="247" spans="2:24" x14ac:dyDescent="0.25">
      <c r="B247" s="136" t="s">
        <v>230</v>
      </c>
      <c r="C247" s="276">
        <v>5</v>
      </c>
      <c r="D247" s="276">
        <v>3</v>
      </c>
      <c r="E247" s="276">
        <v>8</v>
      </c>
      <c r="F247" s="276">
        <v>15</v>
      </c>
      <c r="G247" s="276">
        <v>22</v>
      </c>
      <c r="H247" s="276">
        <v>37</v>
      </c>
      <c r="I247" s="276">
        <v>4</v>
      </c>
      <c r="J247" s="276">
        <v>1</v>
      </c>
      <c r="K247" s="276">
        <v>5</v>
      </c>
      <c r="L247" s="276">
        <v>2</v>
      </c>
      <c r="M247" s="276">
        <v>4</v>
      </c>
      <c r="N247" s="276">
        <v>6</v>
      </c>
      <c r="O247" s="312">
        <v>26</v>
      </c>
      <c r="P247" s="312">
        <v>30</v>
      </c>
      <c r="Q247" s="312">
        <v>56</v>
      </c>
      <c r="R247" s="13"/>
      <c r="S247" s="13"/>
      <c r="T247" s="13"/>
      <c r="U247" s="13"/>
      <c r="V247" s="13"/>
      <c r="W247" s="13"/>
      <c r="X247" s="13"/>
    </row>
    <row r="248" spans="2:24" x14ac:dyDescent="0.25">
      <c r="B248" s="136" t="s">
        <v>231</v>
      </c>
      <c r="C248" s="276">
        <v>6</v>
      </c>
      <c r="D248" s="276">
        <v>2</v>
      </c>
      <c r="E248" s="276">
        <v>8</v>
      </c>
      <c r="F248" s="276">
        <v>18</v>
      </c>
      <c r="G248" s="276">
        <v>25</v>
      </c>
      <c r="H248" s="276">
        <v>43</v>
      </c>
      <c r="I248" s="276">
        <v>4</v>
      </c>
      <c r="J248" s="276"/>
      <c r="K248" s="276">
        <v>4</v>
      </c>
      <c r="L248" s="276"/>
      <c r="M248" s="276">
        <v>4</v>
      </c>
      <c r="N248" s="276">
        <v>4</v>
      </c>
      <c r="O248" s="312">
        <v>28</v>
      </c>
      <c r="P248" s="312">
        <v>31</v>
      </c>
      <c r="Q248" s="312">
        <v>59</v>
      </c>
      <c r="R248" s="13"/>
      <c r="S248" s="13"/>
      <c r="T248" s="13"/>
      <c r="U248" s="13"/>
      <c r="V248" s="13"/>
      <c r="W248" s="13"/>
      <c r="X248" s="13"/>
    </row>
    <row r="249" spans="2:24" x14ac:dyDescent="0.25">
      <c r="B249" s="136" t="s">
        <v>232</v>
      </c>
      <c r="C249" s="276">
        <v>12</v>
      </c>
      <c r="D249" s="276">
        <v>12</v>
      </c>
      <c r="E249" s="276">
        <v>24</v>
      </c>
      <c r="F249" s="276">
        <v>40</v>
      </c>
      <c r="G249" s="276">
        <v>31</v>
      </c>
      <c r="H249" s="276">
        <v>71</v>
      </c>
      <c r="I249" s="276">
        <v>10</v>
      </c>
      <c r="J249" s="276">
        <v>4</v>
      </c>
      <c r="K249" s="276">
        <v>14</v>
      </c>
      <c r="L249" s="276">
        <v>1</v>
      </c>
      <c r="M249" s="276">
        <v>2</v>
      </c>
      <c r="N249" s="276">
        <v>3</v>
      </c>
      <c r="O249" s="312">
        <v>63</v>
      </c>
      <c r="P249" s="312">
        <v>49</v>
      </c>
      <c r="Q249" s="312">
        <v>112</v>
      </c>
      <c r="R249" s="13"/>
      <c r="S249" s="13"/>
      <c r="T249" s="13"/>
      <c r="U249" s="13"/>
      <c r="V249" s="13"/>
      <c r="W249" s="13"/>
      <c r="X249" s="13"/>
    </row>
    <row r="250" spans="2:24" x14ac:dyDescent="0.25">
      <c r="B250" s="136" t="s">
        <v>233</v>
      </c>
      <c r="C250" s="276">
        <v>4</v>
      </c>
      <c r="D250" s="276">
        <v>11</v>
      </c>
      <c r="E250" s="276">
        <v>15</v>
      </c>
      <c r="F250" s="276">
        <v>44</v>
      </c>
      <c r="G250" s="276">
        <v>32</v>
      </c>
      <c r="H250" s="276">
        <v>76</v>
      </c>
      <c r="I250" s="276">
        <v>6</v>
      </c>
      <c r="J250" s="276">
        <v>6</v>
      </c>
      <c r="K250" s="276">
        <v>12</v>
      </c>
      <c r="L250" s="276"/>
      <c r="M250" s="276">
        <v>4</v>
      </c>
      <c r="N250" s="276">
        <v>4</v>
      </c>
      <c r="O250" s="312">
        <v>54</v>
      </c>
      <c r="P250" s="312">
        <v>53</v>
      </c>
      <c r="Q250" s="312">
        <v>107</v>
      </c>
      <c r="R250" s="13"/>
      <c r="S250" s="13"/>
      <c r="T250" s="13"/>
      <c r="U250" s="13"/>
      <c r="V250" s="13"/>
      <c r="W250" s="13"/>
      <c r="X250" s="13"/>
    </row>
    <row r="251" spans="2:24" x14ac:dyDescent="0.25">
      <c r="B251" s="136" t="s">
        <v>234</v>
      </c>
      <c r="C251" s="276">
        <v>4</v>
      </c>
      <c r="D251" s="276">
        <v>1</v>
      </c>
      <c r="E251" s="276">
        <v>5</v>
      </c>
      <c r="F251" s="276">
        <v>17</v>
      </c>
      <c r="G251" s="276">
        <v>14</v>
      </c>
      <c r="H251" s="276">
        <v>31</v>
      </c>
      <c r="I251" s="276">
        <v>5</v>
      </c>
      <c r="J251" s="276"/>
      <c r="K251" s="276">
        <v>5</v>
      </c>
      <c r="L251" s="276">
        <v>1</v>
      </c>
      <c r="M251" s="276"/>
      <c r="N251" s="276">
        <v>1</v>
      </c>
      <c r="O251" s="312">
        <v>27</v>
      </c>
      <c r="P251" s="312">
        <v>15</v>
      </c>
      <c r="Q251" s="312">
        <v>42</v>
      </c>
      <c r="R251" s="13"/>
      <c r="S251" s="13"/>
      <c r="T251" s="13"/>
      <c r="U251" s="13"/>
      <c r="V251" s="13"/>
      <c r="W251" s="13"/>
      <c r="X251" s="13"/>
    </row>
    <row r="252" spans="2:24" x14ac:dyDescent="0.25">
      <c r="B252" s="136" t="s">
        <v>235</v>
      </c>
      <c r="C252" s="276">
        <v>4</v>
      </c>
      <c r="D252" s="276">
        <v>3</v>
      </c>
      <c r="E252" s="276">
        <v>7</v>
      </c>
      <c r="F252" s="276">
        <v>12</v>
      </c>
      <c r="G252" s="276">
        <v>8</v>
      </c>
      <c r="H252" s="276">
        <v>20</v>
      </c>
      <c r="I252" s="276">
        <v>1</v>
      </c>
      <c r="J252" s="276"/>
      <c r="K252" s="276">
        <v>1</v>
      </c>
      <c r="L252" s="276"/>
      <c r="M252" s="276"/>
      <c r="N252" s="276"/>
      <c r="O252" s="312">
        <v>17</v>
      </c>
      <c r="P252" s="312">
        <v>11</v>
      </c>
      <c r="Q252" s="312">
        <v>28</v>
      </c>
      <c r="R252" s="13"/>
      <c r="S252" s="13"/>
      <c r="T252" s="13"/>
      <c r="U252" s="13"/>
      <c r="V252" s="13"/>
      <c r="W252" s="13"/>
      <c r="X252" s="13"/>
    </row>
    <row r="253" spans="2:24" x14ac:dyDescent="0.25">
      <c r="B253" s="136" t="s">
        <v>236</v>
      </c>
      <c r="C253" s="276">
        <v>5</v>
      </c>
      <c r="D253" s="276">
        <v>2</v>
      </c>
      <c r="E253" s="276">
        <v>7</v>
      </c>
      <c r="F253" s="276">
        <v>21</v>
      </c>
      <c r="G253" s="276">
        <v>23</v>
      </c>
      <c r="H253" s="276">
        <v>44</v>
      </c>
      <c r="I253" s="276">
        <v>5</v>
      </c>
      <c r="J253" s="276">
        <v>3</v>
      </c>
      <c r="K253" s="276">
        <v>8</v>
      </c>
      <c r="L253" s="276">
        <v>4</v>
      </c>
      <c r="M253" s="276">
        <v>4</v>
      </c>
      <c r="N253" s="276">
        <v>8</v>
      </c>
      <c r="O253" s="312">
        <v>35</v>
      </c>
      <c r="P253" s="312">
        <v>32</v>
      </c>
      <c r="Q253" s="312">
        <v>67</v>
      </c>
      <c r="R253" s="13"/>
      <c r="S253" s="13"/>
      <c r="T253" s="13"/>
      <c r="U253" s="13"/>
      <c r="V253" s="13"/>
      <c r="W253" s="13"/>
      <c r="X253" s="13"/>
    </row>
    <row r="254" spans="2:24" x14ac:dyDescent="0.25">
      <c r="B254" s="136" t="s">
        <v>237</v>
      </c>
      <c r="C254" s="276">
        <v>76</v>
      </c>
      <c r="D254" s="276">
        <v>57</v>
      </c>
      <c r="E254" s="276">
        <v>133</v>
      </c>
      <c r="F254" s="276">
        <v>516</v>
      </c>
      <c r="G254" s="276">
        <v>460</v>
      </c>
      <c r="H254" s="276">
        <v>976</v>
      </c>
      <c r="I254" s="276">
        <v>70</v>
      </c>
      <c r="J254" s="276">
        <v>30</v>
      </c>
      <c r="K254" s="276">
        <v>100</v>
      </c>
      <c r="L254" s="276">
        <v>23</v>
      </c>
      <c r="M254" s="276">
        <v>43</v>
      </c>
      <c r="N254" s="276">
        <v>66</v>
      </c>
      <c r="O254" s="312">
        <v>685</v>
      </c>
      <c r="P254" s="312">
        <v>590</v>
      </c>
      <c r="Q254" s="312">
        <v>1275</v>
      </c>
      <c r="R254" s="13"/>
      <c r="S254" s="13"/>
      <c r="T254" s="13"/>
      <c r="U254" s="13"/>
      <c r="V254" s="13"/>
      <c r="W254" s="13"/>
      <c r="X254" s="13"/>
    </row>
    <row r="255" spans="2:24" x14ac:dyDescent="0.25">
      <c r="B255" s="136" t="s">
        <v>238</v>
      </c>
      <c r="C255" s="276">
        <v>28</v>
      </c>
      <c r="D255" s="276">
        <v>22</v>
      </c>
      <c r="E255" s="276">
        <v>50</v>
      </c>
      <c r="F255" s="276">
        <v>109</v>
      </c>
      <c r="G255" s="276">
        <v>84</v>
      </c>
      <c r="H255" s="276">
        <v>193</v>
      </c>
      <c r="I255" s="276">
        <v>20</v>
      </c>
      <c r="J255" s="276">
        <v>6</v>
      </c>
      <c r="K255" s="276">
        <v>26</v>
      </c>
      <c r="L255" s="276">
        <v>7</v>
      </c>
      <c r="M255" s="276">
        <v>5</v>
      </c>
      <c r="N255" s="276">
        <v>12</v>
      </c>
      <c r="O255" s="312">
        <v>164</v>
      </c>
      <c r="P255" s="312">
        <v>117</v>
      </c>
      <c r="Q255" s="312">
        <v>281</v>
      </c>
      <c r="R255" s="13"/>
      <c r="S255" s="13"/>
      <c r="T255" s="13"/>
      <c r="U255" s="13"/>
      <c r="V255" s="13"/>
      <c r="W255" s="13"/>
      <c r="X255" s="13"/>
    </row>
    <row r="256" spans="2:24" x14ac:dyDescent="0.25">
      <c r="B256" s="136" t="s">
        <v>239</v>
      </c>
      <c r="C256" s="276">
        <v>5</v>
      </c>
      <c r="D256" s="276">
        <v>8</v>
      </c>
      <c r="E256" s="276">
        <v>13</v>
      </c>
      <c r="F256" s="276">
        <v>47</v>
      </c>
      <c r="G256" s="276">
        <v>49</v>
      </c>
      <c r="H256" s="276">
        <v>96</v>
      </c>
      <c r="I256" s="276">
        <v>9</v>
      </c>
      <c r="J256" s="276">
        <v>3</v>
      </c>
      <c r="K256" s="276">
        <v>12</v>
      </c>
      <c r="L256" s="276">
        <v>5</v>
      </c>
      <c r="M256" s="276">
        <v>3</v>
      </c>
      <c r="N256" s="276">
        <v>8</v>
      </c>
      <c r="O256" s="312">
        <v>66</v>
      </c>
      <c r="P256" s="312">
        <v>63</v>
      </c>
      <c r="Q256" s="312">
        <v>129</v>
      </c>
      <c r="R256" s="13"/>
      <c r="S256" s="13"/>
      <c r="T256" s="13"/>
      <c r="U256" s="13"/>
      <c r="V256" s="13"/>
      <c r="W256" s="13"/>
      <c r="X256" s="13"/>
    </row>
    <row r="257" spans="1:24" x14ac:dyDescent="0.25">
      <c r="B257" s="136" t="s">
        <v>240</v>
      </c>
      <c r="C257" s="276">
        <v>27</v>
      </c>
      <c r="D257" s="276">
        <v>23</v>
      </c>
      <c r="E257" s="276">
        <v>50</v>
      </c>
      <c r="F257" s="276">
        <v>118</v>
      </c>
      <c r="G257" s="276">
        <v>127</v>
      </c>
      <c r="H257" s="276">
        <v>245</v>
      </c>
      <c r="I257" s="276">
        <v>27</v>
      </c>
      <c r="J257" s="276">
        <v>8</v>
      </c>
      <c r="K257" s="276">
        <v>35</v>
      </c>
      <c r="L257" s="276">
        <v>5</v>
      </c>
      <c r="M257" s="276">
        <v>12</v>
      </c>
      <c r="N257" s="276">
        <v>17</v>
      </c>
      <c r="O257" s="312">
        <v>177</v>
      </c>
      <c r="P257" s="312">
        <v>170</v>
      </c>
      <c r="Q257" s="312">
        <v>347</v>
      </c>
      <c r="R257" s="13"/>
      <c r="S257" s="13"/>
      <c r="T257" s="13"/>
      <c r="U257" s="13"/>
      <c r="V257" s="13"/>
      <c r="W257" s="13"/>
      <c r="X257" s="13"/>
    </row>
    <row r="258" spans="1:24" x14ac:dyDescent="0.25">
      <c r="B258" s="136" t="s">
        <v>241</v>
      </c>
      <c r="C258" s="276">
        <v>18</v>
      </c>
      <c r="D258" s="276">
        <v>14</v>
      </c>
      <c r="E258" s="276">
        <v>32</v>
      </c>
      <c r="F258" s="276">
        <v>92</v>
      </c>
      <c r="G258" s="276">
        <v>79</v>
      </c>
      <c r="H258" s="276">
        <v>171</v>
      </c>
      <c r="I258" s="276">
        <v>14</v>
      </c>
      <c r="J258" s="276">
        <v>5</v>
      </c>
      <c r="K258" s="276">
        <v>19</v>
      </c>
      <c r="L258" s="276">
        <v>3</v>
      </c>
      <c r="M258" s="276">
        <v>19</v>
      </c>
      <c r="N258" s="276">
        <v>22</v>
      </c>
      <c r="O258" s="312">
        <v>127</v>
      </c>
      <c r="P258" s="312">
        <v>117</v>
      </c>
      <c r="Q258" s="312">
        <v>244</v>
      </c>
      <c r="R258" s="13"/>
      <c r="S258" s="13"/>
      <c r="T258" s="13"/>
      <c r="U258" s="13"/>
      <c r="V258" s="13"/>
      <c r="W258" s="13"/>
      <c r="X258" s="13"/>
    </row>
    <row r="259" spans="1:24" x14ac:dyDescent="0.25">
      <c r="B259" s="156" t="s">
        <v>242</v>
      </c>
      <c r="C259" s="279">
        <v>17</v>
      </c>
      <c r="D259" s="279">
        <v>13</v>
      </c>
      <c r="E259" s="279">
        <v>30</v>
      </c>
      <c r="F259" s="279">
        <v>83</v>
      </c>
      <c r="G259" s="279">
        <v>68</v>
      </c>
      <c r="H259" s="279">
        <v>151</v>
      </c>
      <c r="I259" s="279">
        <v>16</v>
      </c>
      <c r="J259" s="279">
        <v>4</v>
      </c>
      <c r="K259" s="279">
        <v>20</v>
      </c>
      <c r="L259" s="279">
        <v>8</v>
      </c>
      <c r="M259" s="279">
        <v>9</v>
      </c>
      <c r="N259" s="279">
        <v>17</v>
      </c>
      <c r="O259" s="312">
        <v>124</v>
      </c>
      <c r="P259" s="312">
        <v>94</v>
      </c>
      <c r="Q259" s="312">
        <v>218</v>
      </c>
      <c r="R259" s="13"/>
      <c r="S259" s="13"/>
      <c r="T259" s="13"/>
      <c r="U259" s="13"/>
      <c r="V259" s="13"/>
      <c r="W259" s="13"/>
      <c r="X259" s="13"/>
    </row>
    <row r="260" spans="1:24" x14ac:dyDescent="0.25">
      <c r="B260" s="311" t="s">
        <v>28</v>
      </c>
      <c r="C260" s="271">
        <v>309</v>
      </c>
      <c r="D260" s="271">
        <v>285</v>
      </c>
      <c r="E260" s="271">
        <v>594</v>
      </c>
      <c r="F260" s="271">
        <v>1716</v>
      </c>
      <c r="G260" s="271">
        <v>1613</v>
      </c>
      <c r="H260" s="269">
        <v>3329</v>
      </c>
      <c r="I260" s="271">
        <v>340</v>
      </c>
      <c r="J260" s="269">
        <v>120</v>
      </c>
      <c r="K260" s="271">
        <v>460</v>
      </c>
      <c r="L260" s="269">
        <v>109</v>
      </c>
      <c r="M260" s="271">
        <v>174</v>
      </c>
      <c r="N260" s="269">
        <v>283</v>
      </c>
      <c r="O260" s="312">
        <v>2474</v>
      </c>
      <c r="P260" s="312">
        <v>2192</v>
      </c>
      <c r="Q260" s="312">
        <v>4666</v>
      </c>
      <c r="R260" s="13"/>
      <c r="S260" s="13"/>
      <c r="T260" s="13"/>
      <c r="U260" s="13"/>
      <c r="V260" s="13"/>
      <c r="W260" s="13"/>
      <c r="X260" s="13"/>
    </row>
    <row r="261" spans="1:24" ht="113.25" customHeight="1" x14ac:dyDescent="0.25">
      <c r="B261" s="442" t="s">
        <v>814</v>
      </c>
      <c r="C261" s="442"/>
      <c r="D261" s="442"/>
      <c r="E261" s="442"/>
      <c r="F261" s="442"/>
      <c r="G261" s="442"/>
      <c r="H261" s="442"/>
      <c r="I261" s="442"/>
      <c r="J261" s="442"/>
      <c r="K261" s="442"/>
      <c r="L261" s="442"/>
      <c r="M261" s="442"/>
      <c r="N261" s="442"/>
      <c r="O261" s="442"/>
      <c r="P261" s="442"/>
      <c r="Q261" s="442"/>
      <c r="R261" s="13"/>
      <c r="S261" s="13"/>
      <c r="T261" s="13"/>
      <c r="U261" s="13"/>
      <c r="V261" s="13"/>
      <c r="W261" s="13"/>
    </row>
    <row r="262" spans="1:24" x14ac:dyDescent="0.25">
      <c r="B262" s="158"/>
      <c r="C262" s="158"/>
      <c r="D262" s="158"/>
      <c r="E262"/>
      <c r="F262"/>
      <c r="G262"/>
      <c r="H262" s="13"/>
      <c r="I262" s="13"/>
      <c r="J262" s="13"/>
      <c r="K262" s="13"/>
      <c r="L262" s="13"/>
      <c r="M262" s="13"/>
      <c r="N262" s="13"/>
      <c r="O262" s="13"/>
      <c r="P262" s="13"/>
      <c r="Q262" s="13"/>
      <c r="R262" s="13"/>
      <c r="S262" s="13"/>
      <c r="T262" s="13"/>
      <c r="U262" s="13"/>
      <c r="V262" s="13"/>
      <c r="W262" s="13"/>
    </row>
    <row r="263" spans="1:24" x14ac:dyDescent="0.25">
      <c r="A263"/>
      <c r="B263" s="187" t="s">
        <v>516</v>
      </c>
      <c r="C263"/>
      <c r="D263"/>
      <c r="E263"/>
      <c r="F263"/>
      <c r="G263"/>
      <c r="H263" s="13"/>
      <c r="I263" s="13"/>
      <c r="J263" s="13"/>
      <c r="K263" s="13"/>
      <c r="L263" s="13"/>
      <c r="M263" s="13"/>
      <c r="N263" s="13"/>
      <c r="O263" s="13"/>
      <c r="P263" s="13"/>
      <c r="Q263" s="13"/>
      <c r="R263" s="13"/>
      <c r="S263" s="13"/>
      <c r="T263" s="13"/>
      <c r="U263" s="13"/>
      <c r="V263" s="13"/>
      <c r="W263" s="13"/>
    </row>
    <row r="264" spans="1:24" x14ac:dyDescent="0.25">
      <c r="A264"/>
      <c r="B264" s="187"/>
      <c r="C264"/>
      <c r="D264"/>
      <c r="E264"/>
      <c r="F264"/>
      <c r="G264"/>
      <c r="H264" s="13"/>
      <c r="I264" s="13"/>
      <c r="J264" s="13"/>
      <c r="K264" s="13"/>
      <c r="L264" s="13"/>
      <c r="M264" s="13"/>
      <c r="N264" s="13"/>
      <c r="O264" s="13"/>
      <c r="P264" s="13"/>
      <c r="Q264" s="13"/>
      <c r="R264" s="13"/>
      <c r="S264" s="13"/>
      <c r="T264" s="13"/>
      <c r="U264" s="13"/>
      <c r="V264" s="13"/>
      <c r="W264" s="13"/>
    </row>
    <row r="265" spans="1:24" ht="15" customHeight="1" x14ac:dyDescent="0.25">
      <c r="A265"/>
      <c r="B265" s="441" t="s">
        <v>537</v>
      </c>
      <c r="C265" s="426" t="s">
        <v>481</v>
      </c>
      <c r="D265" s="426"/>
      <c r="E265" s="426"/>
      <c r="F265" s="426"/>
      <c r="G265" s="426"/>
      <c r="H265" s="426"/>
      <c r="I265" s="426"/>
      <c r="J265" s="426"/>
      <c r="K265" s="426"/>
      <c r="L265" s="426"/>
      <c r="M265" s="426"/>
      <c r="N265" s="426"/>
      <c r="O265" s="443" t="s">
        <v>697</v>
      </c>
      <c r="P265" s="444"/>
      <c r="Q265" s="445"/>
      <c r="R265" s="13"/>
      <c r="S265" s="13"/>
      <c r="T265" s="13"/>
      <c r="U265" s="13"/>
      <c r="V265" s="13"/>
      <c r="W265" s="13"/>
    </row>
    <row r="266" spans="1:24" ht="15" customHeight="1" x14ac:dyDescent="0.25">
      <c r="B266" s="441"/>
      <c r="C266" s="426" t="s">
        <v>658</v>
      </c>
      <c r="D266" s="426"/>
      <c r="E266" s="426"/>
      <c r="F266" s="426" t="s">
        <v>490</v>
      </c>
      <c r="G266" s="426"/>
      <c r="H266" s="426"/>
      <c r="I266" s="426" t="s">
        <v>4</v>
      </c>
      <c r="J266" s="426"/>
      <c r="K266" s="426"/>
      <c r="L266" s="426" t="s">
        <v>6</v>
      </c>
      <c r="M266" s="426"/>
      <c r="N266" s="426"/>
      <c r="O266" s="446"/>
      <c r="P266" s="447"/>
      <c r="Q266" s="448"/>
      <c r="R266" s="13"/>
      <c r="S266" s="13"/>
      <c r="T266" s="13"/>
      <c r="U266" s="13"/>
      <c r="V266" s="13"/>
      <c r="W266" s="13"/>
    </row>
    <row r="267" spans="1:24" x14ac:dyDescent="0.25">
      <c r="B267" s="441"/>
      <c r="C267" s="161" t="s">
        <v>76</v>
      </c>
      <c r="D267" s="161" t="s">
        <v>77</v>
      </c>
      <c r="E267" s="161" t="s">
        <v>28</v>
      </c>
      <c r="F267" s="161" t="s">
        <v>76</v>
      </c>
      <c r="G267" s="161" t="s">
        <v>77</v>
      </c>
      <c r="H267" s="161" t="s">
        <v>28</v>
      </c>
      <c r="I267" s="161" t="s">
        <v>76</v>
      </c>
      <c r="J267" s="161" t="s">
        <v>77</v>
      </c>
      <c r="K267" s="161" t="s">
        <v>28</v>
      </c>
      <c r="L267" s="161" t="s">
        <v>76</v>
      </c>
      <c r="M267" s="161" t="s">
        <v>77</v>
      </c>
      <c r="N267" s="161" t="s">
        <v>28</v>
      </c>
      <c r="O267" s="244" t="s">
        <v>76</v>
      </c>
      <c r="P267" s="244" t="s">
        <v>77</v>
      </c>
      <c r="Q267" s="244" t="s">
        <v>28</v>
      </c>
      <c r="R267" s="13"/>
      <c r="S267" s="13"/>
      <c r="T267" s="13"/>
      <c r="U267" s="13"/>
      <c r="V267" s="13"/>
      <c r="W267" s="13"/>
    </row>
    <row r="268" spans="1:24" x14ac:dyDescent="0.25">
      <c r="B268" s="157" t="s">
        <v>243</v>
      </c>
      <c r="C268" s="276">
        <v>16</v>
      </c>
      <c r="D268" s="276">
        <v>28</v>
      </c>
      <c r="E268" s="276">
        <v>44</v>
      </c>
      <c r="F268" s="276">
        <v>80</v>
      </c>
      <c r="G268" s="276">
        <v>69</v>
      </c>
      <c r="H268" s="276">
        <v>149</v>
      </c>
      <c r="I268" s="276">
        <v>17</v>
      </c>
      <c r="J268" s="276">
        <v>9</v>
      </c>
      <c r="K268" s="276">
        <v>26</v>
      </c>
      <c r="L268" s="276">
        <v>3</v>
      </c>
      <c r="M268" s="276">
        <v>8</v>
      </c>
      <c r="N268" s="276">
        <v>11</v>
      </c>
      <c r="O268" s="312">
        <v>116</v>
      </c>
      <c r="P268" s="312">
        <v>114</v>
      </c>
      <c r="Q268" s="312">
        <v>230</v>
      </c>
      <c r="R268" s="13"/>
      <c r="S268" s="13"/>
      <c r="T268" s="13"/>
      <c r="U268" s="13"/>
      <c r="V268" s="13"/>
      <c r="W268" s="13"/>
      <c r="X268" s="13"/>
    </row>
    <row r="269" spans="1:24" x14ac:dyDescent="0.25">
      <c r="B269" s="136" t="s">
        <v>244</v>
      </c>
      <c r="C269" s="276">
        <v>3</v>
      </c>
      <c r="D269" s="276">
        <v>7</v>
      </c>
      <c r="E269" s="276">
        <v>10</v>
      </c>
      <c r="F269" s="276">
        <v>14</v>
      </c>
      <c r="G269" s="276">
        <v>20</v>
      </c>
      <c r="H269" s="276">
        <v>34</v>
      </c>
      <c r="I269" s="276">
        <v>4</v>
      </c>
      <c r="J269" s="276">
        <v>1</v>
      </c>
      <c r="K269" s="276">
        <v>5</v>
      </c>
      <c r="L269" s="276">
        <v>1</v>
      </c>
      <c r="M269" s="276"/>
      <c r="N269" s="276">
        <v>1</v>
      </c>
      <c r="O269" s="312">
        <v>22</v>
      </c>
      <c r="P269" s="312">
        <v>28</v>
      </c>
      <c r="Q269" s="312">
        <v>50</v>
      </c>
      <c r="R269" s="13"/>
      <c r="S269" s="13"/>
      <c r="T269" s="13"/>
      <c r="U269" s="13"/>
      <c r="V269" s="13"/>
      <c r="W269" s="13"/>
      <c r="X269" s="13"/>
    </row>
    <row r="270" spans="1:24" x14ac:dyDescent="0.25">
      <c r="B270" s="136" t="s">
        <v>245</v>
      </c>
      <c r="C270" s="276">
        <v>5</v>
      </c>
      <c r="D270" s="276">
        <v>7</v>
      </c>
      <c r="E270" s="276">
        <v>12</v>
      </c>
      <c r="F270" s="276">
        <v>45</v>
      </c>
      <c r="G270" s="276">
        <v>46</v>
      </c>
      <c r="H270" s="276">
        <v>91</v>
      </c>
      <c r="I270" s="276">
        <v>13</v>
      </c>
      <c r="J270" s="276">
        <v>5</v>
      </c>
      <c r="K270" s="276">
        <v>18</v>
      </c>
      <c r="L270" s="276">
        <v>5</v>
      </c>
      <c r="M270" s="276">
        <v>1</v>
      </c>
      <c r="N270" s="276">
        <v>6</v>
      </c>
      <c r="O270" s="312">
        <v>68</v>
      </c>
      <c r="P270" s="312">
        <v>59</v>
      </c>
      <c r="Q270" s="312">
        <v>127</v>
      </c>
      <c r="R270" s="13"/>
      <c r="S270" s="13"/>
      <c r="T270" s="13"/>
      <c r="U270" s="13"/>
      <c r="V270" s="13"/>
      <c r="W270" s="13"/>
      <c r="X270" s="13"/>
    </row>
    <row r="271" spans="1:24" x14ac:dyDescent="0.25">
      <c r="B271" s="136" t="s">
        <v>246</v>
      </c>
      <c r="C271" s="276">
        <v>13</v>
      </c>
      <c r="D271" s="276">
        <v>14</v>
      </c>
      <c r="E271" s="276">
        <v>27</v>
      </c>
      <c r="F271" s="276">
        <v>87</v>
      </c>
      <c r="G271" s="276">
        <v>69</v>
      </c>
      <c r="H271" s="276">
        <v>156</v>
      </c>
      <c r="I271" s="276">
        <v>29</v>
      </c>
      <c r="J271" s="276">
        <v>7</v>
      </c>
      <c r="K271" s="276">
        <v>36</v>
      </c>
      <c r="L271" s="276">
        <v>9</v>
      </c>
      <c r="M271" s="276">
        <v>8</v>
      </c>
      <c r="N271" s="276">
        <v>17</v>
      </c>
      <c r="O271" s="312">
        <v>138</v>
      </c>
      <c r="P271" s="312">
        <v>98</v>
      </c>
      <c r="Q271" s="312">
        <v>236</v>
      </c>
      <c r="R271" s="13"/>
      <c r="S271" s="13"/>
      <c r="T271" s="13"/>
      <c r="U271" s="13"/>
      <c r="V271" s="13"/>
      <c r="W271" s="13"/>
      <c r="X271" s="13"/>
    </row>
    <row r="272" spans="1:24" x14ac:dyDescent="0.25">
      <c r="B272" s="136" t="s">
        <v>247</v>
      </c>
      <c r="C272" s="276">
        <v>1</v>
      </c>
      <c r="D272" s="276">
        <v>2</v>
      </c>
      <c r="E272" s="276">
        <v>3</v>
      </c>
      <c r="F272" s="276">
        <v>25</v>
      </c>
      <c r="G272" s="276">
        <v>23</v>
      </c>
      <c r="H272" s="276">
        <v>48</v>
      </c>
      <c r="I272" s="276">
        <v>3</v>
      </c>
      <c r="J272" s="276">
        <v>1</v>
      </c>
      <c r="K272" s="276">
        <v>4</v>
      </c>
      <c r="L272" s="276"/>
      <c r="M272" s="276">
        <v>1</v>
      </c>
      <c r="N272" s="276">
        <v>1</v>
      </c>
      <c r="O272" s="312">
        <v>29</v>
      </c>
      <c r="P272" s="312">
        <v>27</v>
      </c>
      <c r="Q272" s="312">
        <v>56</v>
      </c>
      <c r="R272" s="13"/>
      <c r="S272" s="13"/>
      <c r="T272" s="13"/>
      <c r="U272" s="13"/>
      <c r="V272" s="13"/>
      <c r="W272" s="13"/>
      <c r="X272" s="13"/>
    </row>
    <row r="273" spans="2:24" x14ac:dyDescent="0.25">
      <c r="B273" s="136" t="s">
        <v>248</v>
      </c>
      <c r="C273" s="276">
        <v>54</v>
      </c>
      <c r="D273" s="276">
        <v>51</v>
      </c>
      <c r="E273" s="276">
        <v>105</v>
      </c>
      <c r="F273" s="276">
        <v>272</v>
      </c>
      <c r="G273" s="276">
        <v>229</v>
      </c>
      <c r="H273" s="276">
        <v>501</v>
      </c>
      <c r="I273" s="276">
        <v>42</v>
      </c>
      <c r="J273" s="276">
        <v>17</v>
      </c>
      <c r="K273" s="276">
        <v>59</v>
      </c>
      <c r="L273" s="276">
        <v>15</v>
      </c>
      <c r="M273" s="276">
        <v>33</v>
      </c>
      <c r="N273" s="276">
        <v>48</v>
      </c>
      <c r="O273" s="312">
        <v>383</v>
      </c>
      <c r="P273" s="312">
        <v>330</v>
      </c>
      <c r="Q273" s="312">
        <v>713</v>
      </c>
      <c r="R273" s="13"/>
      <c r="S273" s="13"/>
      <c r="T273" s="13"/>
      <c r="U273" s="13"/>
      <c r="V273" s="13"/>
      <c r="W273" s="13"/>
      <c r="X273" s="13"/>
    </row>
    <row r="274" spans="2:24" x14ac:dyDescent="0.25">
      <c r="B274" s="136" t="s">
        <v>249</v>
      </c>
      <c r="C274" s="276">
        <v>1</v>
      </c>
      <c r="D274" s="276">
        <v>2</v>
      </c>
      <c r="E274" s="276">
        <v>3</v>
      </c>
      <c r="F274" s="276">
        <v>6</v>
      </c>
      <c r="G274" s="276">
        <v>2</v>
      </c>
      <c r="H274" s="276">
        <v>8</v>
      </c>
      <c r="I274" s="276"/>
      <c r="J274" s="276"/>
      <c r="K274" s="276"/>
      <c r="L274" s="276">
        <v>1</v>
      </c>
      <c r="M274" s="276">
        <v>1</v>
      </c>
      <c r="N274" s="276">
        <v>2</v>
      </c>
      <c r="O274" s="312">
        <v>8</v>
      </c>
      <c r="P274" s="312">
        <v>5</v>
      </c>
      <c r="Q274" s="312">
        <v>13</v>
      </c>
      <c r="R274" s="13"/>
      <c r="S274" s="13"/>
      <c r="T274" s="13"/>
      <c r="U274" s="13"/>
      <c r="V274" s="13"/>
      <c r="W274" s="13"/>
      <c r="X274" s="13"/>
    </row>
    <row r="275" spans="2:24" x14ac:dyDescent="0.25">
      <c r="B275" s="136" t="s">
        <v>499</v>
      </c>
      <c r="C275" s="276">
        <v>3</v>
      </c>
      <c r="D275" s="276">
        <v>6</v>
      </c>
      <c r="E275" s="276">
        <v>9</v>
      </c>
      <c r="F275" s="276">
        <v>24</v>
      </c>
      <c r="G275" s="276">
        <v>23</v>
      </c>
      <c r="H275" s="276">
        <v>47</v>
      </c>
      <c r="I275" s="276">
        <v>6</v>
      </c>
      <c r="J275" s="276">
        <v>1</v>
      </c>
      <c r="K275" s="276">
        <v>7</v>
      </c>
      <c r="L275" s="276">
        <v>1</v>
      </c>
      <c r="M275" s="276"/>
      <c r="N275" s="276">
        <v>1</v>
      </c>
      <c r="O275" s="312">
        <v>34</v>
      </c>
      <c r="P275" s="312">
        <v>30</v>
      </c>
      <c r="Q275" s="312">
        <v>64</v>
      </c>
      <c r="R275" s="13"/>
      <c r="S275" s="13"/>
      <c r="T275" s="13"/>
      <c r="U275" s="13"/>
      <c r="V275" s="13"/>
      <c r="W275" s="13"/>
      <c r="X275" s="13"/>
    </row>
    <row r="276" spans="2:24" x14ac:dyDescent="0.25">
      <c r="B276" s="136" t="s">
        <v>250</v>
      </c>
      <c r="C276" s="276">
        <v>3</v>
      </c>
      <c r="D276" s="276">
        <v>2</v>
      </c>
      <c r="E276" s="276">
        <v>5</v>
      </c>
      <c r="F276" s="276">
        <v>16</v>
      </c>
      <c r="G276" s="276">
        <v>13</v>
      </c>
      <c r="H276" s="276">
        <v>29</v>
      </c>
      <c r="I276" s="276">
        <v>5</v>
      </c>
      <c r="J276" s="276"/>
      <c r="K276" s="276">
        <v>5</v>
      </c>
      <c r="L276" s="276">
        <v>1</v>
      </c>
      <c r="M276" s="276"/>
      <c r="N276" s="276">
        <v>1</v>
      </c>
      <c r="O276" s="312">
        <v>25</v>
      </c>
      <c r="P276" s="312">
        <v>15</v>
      </c>
      <c r="Q276" s="312">
        <v>40</v>
      </c>
      <c r="R276" s="13"/>
      <c r="S276" s="13"/>
      <c r="T276" s="13"/>
      <c r="U276" s="13"/>
      <c r="V276" s="13"/>
      <c r="W276" s="13"/>
      <c r="X276" s="13"/>
    </row>
    <row r="277" spans="2:24" x14ac:dyDescent="0.25">
      <c r="B277" s="136" t="s">
        <v>251</v>
      </c>
      <c r="C277" s="276">
        <v>34</v>
      </c>
      <c r="D277" s="276">
        <v>28</v>
      </c>
      <c r="E277" s="276">
        <v>62</v>
      </c>
      <c r="F277" s="276">
        <v>222</v>
      </c>
      <c r="G277" s="276">
        <v>179</v>
      </c>
      <c r="H277" s="276">
        <v>401</v>
      </c>
      <c r="I277" s="276">
        <v>35</v>
      </c>
      <c r="J277" s="276">
        <v>15</v>
      </c>
      <c r="K277" s="276">
        <v>50</v>
      </c>
      <c r="L277" s="276">
        <v>10</v>
      </c>
      <c r="M277" s="276">
        <v>16</v>
      </c>
      <c r="N277" s="276">
        <v>26</v>
      </c>
      <c r="O277" s="312">
        <v>301</v>
      </c>
      <c r="P277" s="312">
        <v>238</v>
      </c>
      <c r="Q277" s="312">
        <v>539</v>
      </c>
      <c r="R277" s="13"/>
      <c r="S277" s="13"/>
      <c r="T277" s="13"/>
      <c r="U277" s="13"/>
      <c r="V277" s="13"/>
      <c r="W277" s="13"/>
      <c r="X277" s="13"/>
    </row>
    <row r="278" spans="2:24" x14ac:dyDescent="0.25">
      <c r="B278" s="136" t="s">
        <v>252</v>
      </c>
      <c r="C278" s="276">
        <v>9</v>
      </c>
      <c r="D278" s="276">
        <v>22</v>
      </c>
      <c r="E278" s="276">
        <v>31</v>
      </c>
      <c r="F278" s="276">
        <v>58</v>
      </c>
      <c r="G278" s="276">
        <v>63</v>
      </c>
      <c r="H278" s="276">
        <v>121</v>
      </c>
      <c r="I278" s="276">
        <v>22</v>
      </c>
      <c r="J278" s="276">
        <v>7</v>
      </c>
      <c r="K278" s="276">
        <v>29</v>
      </c>
      <c r="L278" s="276">
        <v>1</v>
      </c>
      <c r="M278" s="276">
        <v>5</v>
      </c>
      <c r="N278" s="276">
        <v>6</v>
      </c>
      <c r="O278" s="312">
        <v>90</v>
      </c>
      <c r="P278" s="312">
        <v>97</v>
      </c>
      <c r="Q278" s="312">
        <v>187</v>
      </c>
      <c r="R278" s="13"/>
      <c r="S278" s="13"/>
      <c r="T278" s="13"/>
      <c r="U278" s="13"/>
      <c r="V278" s="13"/>
      <c r="W278" s="13"/>
      <c r="X278" s="13"/>
    </row>
    <row r="279" spans="2:24" x14ac:dyDescent="0.25">
      <c r="B279" s="136" t="s">
        <v>253</v>
      </c>
      <c r="C279" s="276">
        <v>9</v>
      </c>
      <c r="D279" s="276">
        <v>15</v>
      </c>
      <c r="E279" s="276">
        <v>24</v>
      </c>
      <c r="F279" s="276">
        <v>52</v>
      </c>
      <c r="G279" s="276">
        <v>60</v>
      </c>
      <c r="H279" s="276">
        <v>112</v>
      </c>
      <c r="I279" s="276">
        <v>21</v>
      </c>
      <c r="J279" s="276">
        <v>6</v>
      </c>
      <c r="K279" s="276">
        <v>27</v>
      </c>
      <c r="L279" s="276">
        <v>7</v>
      </c>
      <c r="M279" s="276">
        <v>8</v>
      </c>
      <c r="N279" s="276">
        <v>15</v>
      </c>
      <c r="O279" s="312">
        <v>89</v>
      </c>
      <c r="P279" s="312">
        <v>89</v>
      </c>
      <c r="Q279" s="312">
        <v>178</v>
      </c>
      <c r="R279" s="13"/>
      <c r="S279" s="13"/>
      <c r="T279" s="13"/>
      <c r="U279" s="13"/>
      <c r="V279" s="13"/>
      <c r="W279" s="13"/>
      <c r="X279" s="13"/>
    </row>
    <row r="280" spans="2:24" x14ac:dyDescent="0.25">
      <c r="B280" s="136" t="s">
        <v>254</v>
      </c>
      <c r="C280" s="276">
        <v>16</v>
      </c>
      <c r="D280" s="276">
        <v>18</v>
      </c>
      <c r="E280" s="276">
        <v>34</v>
      </c>
      <c r="F280" s="276">
        <v>78</v>
      </c>
      <c r="G280" s="276">
        <v>84</v>
      </c>
      <c r="H280" s="276">
        <v>162</v>
      </c>
      <c r="I280" s="276">
        <v>4</v>
      </c>
      <c r="J280" s="276">
        <v>4</v>
      </c>
      <c r="K280" s="276">
        <v>8</v>
      </c>
      <c r="L280" s="276">
        <v>4</v>
      </c>
      <c r="M280" s="276">
        <v>5</v>
      </c>
      <c r="N280" s="276">
        <v>9</v>
      </c>
      <c r="O280" s="312">
        <v>102</v>
      </c>
      <c r="P280" s="312">
        <v>111</v>
      </c>
      <c r="Q280" s="312">
        <v>213</v>
      </c>
      <c r="R280" s="13"/>
      <c r="S280" s="13"/>
      <c r="T280" s="13"/>
      <c r="U280" s="13"/>
      <c r="V280" s="13"/>
      <c r="W280" s="13"/>
      <c r="X280" s="13"/>
    </row>
    <row r="281" spans="2:24" x14ac:dyDescent="0.25">
      <c r="B281" s="136" t="s">
        <v>255</v>
      </c>
      <c r="C281" s="276">
        <v>17</v>
      </c>
      <c r="D281" s="276">
        <v>26</v>
      </c>
      <c r="E281" s="276">
        <v>43</v>
      </c>
      <c r="F281" s="276">
        <v>79</v>
      </c>
      <c r="G281" s="276">
        <v>71</v>
      </c>
      <c r="H281" s="276">
        <v>150</v>
      </c>
      <c r="I281" s="276">
        <v>23</v>
      </c>
      <c r="J281" s="276">
        <v>8</v>
      </c>
      <c r="K281" s="276">
        <v>31</v>
      </c>
      <c r="L281" s="276">
        <v>6</v>
      </c>
      <c r="M281" s="276">
        <v>5</v>
      </c>
      <c r="N281" s="276">
        <v>11</v>
      </c>
      <c r="O281" s="312">
        <v>125</v>
      </c>
      <c r="P281" s="312">
        <v>110</v>
      </c>
      <c r="Q281" s="312">
        <v>235</v>
      </c>
      <c r="R281" s="13"/>
      <c r="S281" s="13"/>
      <c r="T281" s="13"/>
      <c r="U281" s="13"/>
      <c r="V281" s="13"/>
      <c r="W281" s="13"/>
      <c r="X281" s="13"/>
    </row>
    <row r="282" spans="2:24" x14ac:dyDescent="0.25">
      <c r="B282" s="136" t="s">
        <v>256</v>
      </c>
      <c r="C282" s="276">
        <v>6</v>
      </c>
      <c r="D282" s="276">
        <v>3</v>
      </c>
      <c r="E282" s="276">
        <v>9</v>
      </c>
      <c r="F282" s="276">
        <v>16</v>
      </c>
      <c r="G282" s="276">
        <v>15</v>
      </c>
      <c r="H282" s="276">
        <v>31</v>
      </c>
      <c r="I282" s="276">
        <v>7</v>
      </c>
      <c r="J282" s="276">
        <v>2</v>
      </c>
      <c r="K282" s="276">
        <v>9</v>
      </c>
      <c r="L282" s="276">
        <v>1</v>
      </c>
      <c r="M282" s="276">
        <v>3</v>
      </c>
      <c r="N282" s="276">
        <v>4</v>
      </c>
      <c r="O282" s="312">
        <v>30</v>
      </c>
      <c r="P282" s="312">
        <v>23</v>
      </c>
      <c r="Q282" s="312">
        <v>53</v>
      </c>
      <c r="R282" s="13"/>
      <c r="S282" s="13"/>
      <c r="T282" s="13"/>
      <c r="U282" s="13"/>
      <c r="V282" s="13"/>
      <c r="W282" s="13"/>
      <c r="X282" s="13"/>
    </row>
    <row r="283" spans="2:24" x14ac:dyDescent="0.25">
      <c r="B283" s="136" t="s">
        <v>257</v>
      </c>
      <c r="C283" s="276">
        <v>3</v>
      </c>
      <c r="D283" s="276">
        <v>3</v>
      </c>
      <c r="E283" s="276">
        <v>6</v>
      </c>
      <c r="F283" s="276">
        <v>20</v>
      </c>
      <c r="G283" s="276">
        <v>9</v>
      </c>
      <c r="H283" s="276">
        <v>29</v>
      </c>
      <c r="I283" s="276">
        <v>3</v>
      </c>
      <c r="J283" s="276">
        <v>1</v>
      </c>
      <c r="K283" s="276">
        <v>4</v>
      </c>
      <c r="L283" s="276"/>
      <c r="M283" s="276">
        <v>2</v>
      </c>
      <c r="N283" s="276">
        <v>2</v>
      </c>
      <c r="O283" s="312">
        <v>26</v>
      </c>
      <c r="P283" s="312">
        <v>15</v>
      </c>
      <c r="Q283" s="312">
        <v>41</v>
      </c>
      <c r="R283" s="13"/>
      <c r="S283" s="13"/>
      <c r="T283" s="13"/>
      <c r="U283" s="13"/>
      <c r="V283" s="13"/>
      <c r="W283" s="13"/>
      <c r="X283" s="13"/>
    </row>
    <row r="284" spans="2:24" x14ac:dyDescent="0.25">
      <c r="B284" s="136" t="s">
        <v>258</v>
      </c>
      <c r="C284" s="276">
        <v>2</v>
      </c>
      <c r="D284" s="276">
        <v>4</v>
      </c>
      <c r="E284" s="276">
        <v>6</v>
      </c>
      <c r="F284" s="276">
        <v>11</v>
      </c>
      <c r="G284" s="276">
        <v>18</v>
      </c>
      <c r="H284" s="276">
        <v>29</v>
      </c>
      <c r="I284" s="276">
        <v>5</v>
      </c>
      <c r="J284" s="276">
        <v>1</v>
      </c>
      <c r="K284" s="276">
        <v>6</v>
      </c>
      <c r="L284" s="276"/>
      <c r="M284" s="276">
        <v>1</v>
      </c>
      <c r="N284" s="276">
        <v>1</v>
      </c>
      <c r="O284" s="312">
        <v>18</v>
      </c>
      <c r="P284" s="312">
        <v>24</v>
      </c>
      <c r="Q284" s="312">
        <v>42</v>
      </c>
      <c r="R284" s="13"/>
      <c r="S284" s="13"/>
      <c r="T284" s="13"/>
      <c r="U284" s="13"/>
      <c r="V284" s="13"/>
      <c r="W284" s="13"/>
      <c r="X284" s="13"/>
    </row>
    <row r="285" spans="2:24" x14ac:dyDescent="0.25">
      <c r="B285" s="136" t="s">
        <v>259</v>
      </c>
      <c r="C285" s="276">
        <v>3</v>
      </c>
      <c r="D285" s="276">
        <v>6</v>
      </c>
      <c r="E285" s="276">
        <v>9</v>
      </c>
      <c r="F285" s="276">
        <v>15</v>
      </c>
      <c r="G285" s="276">
        <v>14</v>
      </c>
      <c r="H285" s="276">
        <v>29</v>
      </c>
      <c r="I285" s="276"/>
      <c r="J285" s="276">
        <v>2</v>
      </c>
      <c r="K285" s="276">
        <v>2</v>
      </c>
      <c r="L285" s="276">
        <v>2</v>
      </c>
      <c r="M285" s="276">
        <v>3</v>
      </c>
      <c r="N285" s="276">
        <v>5</v>
      </c>
      <c r="O285" s="312">
        <v>20</v>
      </c>
      <c r="P285" s="312">
        <v>25</v>
      </c>
      <c r="Q285" s="312">
        <v>45</v>
      </c>
      <c r="R285" s="13"/>
      <c r="S285" s="13"/>
      <c r="T285" s="13"/>
      <c r="U285" s="13"/>
      <c r="V285" s="13"/>
      <c r="W285" s="13"/>
      <c r="X285" s="13"/>
    </row>
    <row r="286" spans="2:24" x14ac:dyDescent="0.25">
      <c r="B286" s="136" t="s">
        <v>260</v>
      </c>
      <c r="C286" s="276">
        <v>13</v>
      </c>
      <c r="D286" s="276">
        <v>14</v>
      </c>
      <c r="E286" s="276">
        <v>27</v>
      </c>
      <c r="F286" s="276">
        <v>41</v>
      </c>
      <c r="G286" s="276">
        <v>46</v>
      </c>
      <c r="H286" s="276">
        <v>87</v>
      </c>
      <c r="I286" s="276">
        <v>10</v>
      </c>
      <c r="J286" s="276">
        <v>9</v>
      </c>
      <c r="K286" s="276">
        <v>19</v>
      </c>
      <c r="L286" s="276">
        <v>2</v>
      </c>
      <c r="M286" s="276">
        <v>2</v>
      </c>
      <c r="N286" s="276">
        <v>4</v>
      </c>
      <c r="O286" s="312">
        <v>66</v>
      </c>
      <c r="P286" s="312">
        <v>71</v>
      </c>
      <c r="Q286" s="312">
        <v>137</v>
      </c>
      <c r="R286" s="13"/>
      <c r="S286" s="13"/>
      <c r="T286" s="13"/>
      <c r="U286" s="13"/>
      <c r="V286" s="13"/>
      <c r="W286" s="13"/>
      <c r="X286" s="13"/>
    </row>
    <row r="287" spans="2:24" x14ac:dyDescent="0.25">
      <c r="B287" s="136" t="s">
        <v>261</v>
      </c>
      <c r="C287" s="276">
        <v>3</v>
      </c>
      <c r="D287" s="276">
        <v>9</v>
      </c>
      <c r="E287" s="276">
        <v>12</v>
      </c>
      <c r="F287" s="276">
        <v>21</v>
      </c>
      <c r="G287" s="276">
        <v>22</v>
      </c>
      <c r="H287" s="276">
        <v>43</v>
      </c>
      <c r="I287" s="276">
        <v>5</v>
      </c>
      <c r="J287" s="276">
        <v>3</v>
      </c>
      <c r="K287" s="276">
        <v>8</v>
      </c>
      <c r="L287" s="276">
        <v>1</v>
      </c>
      <c r="M287" s="276"/>
      <c r="N287" s="276">
        <v>1</v>
      </c>
      <c r="O287" s="312">
        <v>30</v>
      </c>
      <c r="P287" s="312">
        <v>34</v>
      </c>
      <c r="Q287" s="312">
        <v>64</v>
      </c>
      <c r="R287" s="13"/>
      <c r="S287" s="13"/>
      <c r="T287" s="13"/>
      <c r="U287" s="13"/>
      <c r="V287" s="13"/>
      <c r="W287" s="13"/>
      <c r="X287" s="13"/>
    </row>
    <row r="288" spans="2:24" x14ac:dyDescent="0.25">
      <c r="B288" s="136" t="s">
        <v>262</v>
      </c>
      <c r="C288" s="276">
        <v>7</v>
      </c>
      <c r="D288" s="276">
        <v>3</v>
      </c>
      <c r="E288" s="276">
        <v>10</v>
      </c>
      <c r="F288" s="276">
        <v>24</v>
      </c>
      <c r="G288" s="276">
        <v>21</v>
      </c>
      <c r="H288" s="276">
        <v>45</v>
      </c>
      <c r="I288" s="276">
        <v>3</v>
      </c>
      <c r="J288" s="276">
        <v>3</v>
      </c>
      <c r="K288" s="276">
        <v>6</v>
      </c>
      <c r="L288" s="276">
        <v>1</v>
      </c>
      <c r="M288" s="276">
        <v>3</v>
      </c>
      <c r="N288" s="276">
        <v>4</v>
      </c>
      <c r="O288" s="312">
        <v>35</v>
      </c>
      <c r="P288" s="312">
        <v>30</v>
      </c>
      <c r="Q288" s="312">
        <v>65</v>
      </c>
      <c r="R288" s="13"/>
      <c r="S288" s="13"/>
      <c r="T288" s="13"/>
      <c r="U288" s="13"/>
      <c r="V288" s="13"/>
      <c r="W288" s="13"/>
      <c r="X288" s="13"/>
    </row>
    <row r="289" spans="2:24" x14ac:dyDescent="0.25">
      <c r="B289" s="136" t="s">
        <v>263</v>
      </c>
      <c r="C289" s="276">
        <v>6</v>
      </c>
      <c r="D289" s="276">
        <v>4</v>
      </c>
      <c r="E289" s="276">
        <v>10</v>
      </c>
      <c r="F289" s="276">
        <v>39</v>
      </c>
      <c r="G289" s="276">
        <v>27</v>
      </c>
      <c r="H289" s="276">
        <v>66</v>
      </c>
      <c r="I289" s="276">
        <v>4</v>
      </c>
      <c r="J289" s="276">
        <v>1</v>
      </c>
      <c r="K289" s="276">
        <v>5</v>
      </c>
      <c r="L289" s="276">
        <v>1</v>
      </c>
      <c r="M289" s="276"/>
      <c r="N289" s="276">
        <v>1</v>
      </c>
      <c r="O289" s="312">
        <v>50</v>
      </c>
      <c r="P289" s="312">
        <v>32</v>
      </c>
      <c r="Q289" s="312">
        <v>82</v>
      </c>
      <c r="R289" s="13"/>
      <c r="S289" s="13"/>
      <c r="T289" s="13"/>
      <c r="U289" s="13"/>
      <c r="V289" s="13"/>
      <c r="W289" s="13"/>
      <c r="X289" s="13"/>
    </row>
    <row r="290" spans="2:24" x14ac:dyDescent="0.25">
      <c r="B290" s="136" t="s">
        <v>264</v>
      </c>
      <c r="C290" s="276">
        <v>11</v>
      </c>
      <c r="D290" s="276">
        <v>16</v>
      </c>
      <c r="E290" s="276">
        <v>27</v>
      </c>
      <c r="F290" s="276">
        <v>61</v>
      </c>
      <c r="G290" s="276">
        <v>59</v>
      </c>
      <c r="H290" s="276">
        <v>120</v>
      </c>
      <c r="I290" s="276">
        <v>17</v>
      </c>
      <c r="J290" s="276">
        <v>7</v>
      </c>
      <c r="K290" s="276">
        <v>24</v>
      </c>
      <c r="L290" s="276">
        <v>8</v>
      </c>
      <c r="M290" s="276">
        <v>9</v>
      </c>
      <c r="N290" s="276">
        <v>17</v>
      </c>
      <c r="O290" s="312">
        <v>97</v>
      </c>
      <c r="P290" s="312">
        <v>91</v>
      </c>
      <c r="Q290" s="312">
        <v>188</v>
      </c>
      <c r="R290" s="13"/>
      <c r="S290" s="13"/>
      <c r="T290" s="13"/>
      <c r="U290" s="13"/>
      <c r="V290" s="13"/>
      <c r="W290" s="13"/>
      <c r="X290" s="13"/>
    </row>
    <row r="291" spans="2:24" x14ac:dyDescent="0.25">
      <c r="B291" s="136" t="s">
        <v>265</v>
      </c>
      <c r="C291" s="276">
        <v>15</v>
      </c>
      <c r="D291" s="276">
        <v>11</v>
      </c>
      <c r="E291" s="276">
        <v>26</v>
      </c>
      <c r="F291" s="276">
        <v>79</v>
      </c>
      <c r="G291" s="276">
        <v>90</v>
      </c>
      <c r="H291" s="276">
        <v>169</v>
      </c>
      <c r="I291" s="276">
        <v>26</v>
      </c>
      <c r="J291" s="276">
        <v>8</v>
      </c>
      <c r="K291" s="276">
        <v>34</v>
      </c>
      <c r="L291" s="276">
        <v>4</v>
      </c>
      <c r="M291" s="276">
        <v>6</v>
      </c>
      <c r="N291" s="276">
        <v>10</v>
      </c>
      <c r="O291" s="312">
        <v>124</v>
      </c>
      <c r="P291" s="312">
        <v>115</v>
      </c>
      <c r="Q291" s="312">
        <v>239</v>
      </c>
      <c r="R291" s="13"/>
      <c r="S291" s="13"/>
      <c r="T291" s="13"/>
      <c r="U291" s="13"/>
      <c r="V291" s="13"/>
      <c r="W291" s="13"/>
      <c r="X291" s="13"/>
    </row>
    <row r="292" spans="2:24" x14ac:dyDescent="0.25">
      <c r="B292" s="136" t="s">
        <v>266</v>
      </c>
      <c r="C292" s="276">
        <v>3</v>
      </c>
      <c r="D292" s="276">
        <v>2</v>
      </c>
      <c r="E292" s="276">
        <v>5</v>
      </c>
      <c r="F292" s="276">
        <v>11</v>
      </c>
      <c r="G292" s="276">
        <v>21</v>
      </c>
      <c r="H292" s="276">
        <v>32</v>
      </c>
      <c r="I292" s="276">
        <v>7</v>
      </c>
      <c r="J292" s="276">
        <v>1</v>
      </c>
      <c r="K292" s="276">
        <v>8</v>
      </c>
      <c r="L292" s="276">
        <v>5</v>
      </c>
      <c r="M292" s="276">
        <v>2</v>
      </c>
      <c r="N292" s="276">
        <v>7</v>
      </c>
      <c r="O292" s="312">
        <v>26</v>
      </c>
      <c r="P292" s="312">
        <v>26</v>
      </c>
      <c r="Q292" s="312">
        <v>52</v>
      </c>
      <c r="R292" s="13"/>
      <c r="S292" s="13"/>
      <c r="T292" s="13"/>
      <c r="U292" s="13"/>
      <c r="V292" s="13"/>
      <c r="W292" s="13"/>
      <c r="X292" s="13"/>
    </row>
    <row r="293" spans="2:24" x14ac:dyDescent="0.25">
      <c r="B293" s="136" t="s">
        <v>267</v>
      </c>
      <c r="C293" s="276">
        <v>68</v>
      </c>
      <c r="D293" s="276">
        <v>71</v>
      </c>
      <c r="E293" s="276">
        <v>139</v>
      </c>
      <c r="F293" s="276">
        <v>401</v>
      </c>
      <c r="G293" s="276">
        <v>333</v>
      </c>
      <c r="H293" s="276">
        <v>734</v>
      </c>
      <c r="I293" s="276">
        <v>95</v>
      </c>
      <c r="J293" s="276">
        <v>34</v>
      </c>
      <c r="K293" s="276">
        <v>129</v>
      </c>
      <c r="L293" s="276">
        <v>21</v>
      </c>
      <c r="M293" s="276">
        <v>33</v>
      </c>
      <c r="N293" s="276">
        <v>54</v>
      </c>
      <c r="O293" s="312">
        <v>585</v>
      </c>
      <c r="P293" s="312">
        <v>471</v>
      </c>
      <c r="Q293" s="312">
        <v>1056</v>
      </c>
      <c r="R293" s="13"/>
      <c r="S293" s="13"/>
      <c r="T293" s="13"/>
      <c r="U293" s="13"/>
      <c r="V293" s="13"/>
      <c r="W293" s="13"/>
      <c r="X293" s="13"/>
    </row>
    <row r="294" spans="2:24" x14ac:dyDescent="0.25">
      <c r="B294" s="136" t="s">
        <v>268</v>
      </c>
      <c r="C294" s="276">
        <v>9</v>
      </c>
      <c r="D294" s="276">
        <v>8</v>
      </c>
      <c r="E294" s="276">
        <v>17</v>
      </c>
      <c r="F294" s="276">
        <v>37</v>
      </c>
      <c r="G294" s="276">
        <v>36</v>
      </c>
      <c r="H294" s="276">
        <v>73</v>
      </c>
      <c r="I294" s="276">
        <v>9</v>
      </c>
      <c r="J294" s="276">
        <v>7</v>
      </c>
      <c r="K294" s="276">
        <v>16</v>
      </c>
      <c r="L294" s="276">
        <v>3</v>
      </c>
      <c r="M294" s="276">
        <v>4</v>
      </c>
      <c r="N294" s="276">
        <v>7</v>
      </c>
      <c r="O294" s="312">
        <v>58</v>
      </c>
      <c r="P294" s="312">
        <v>55</v>
      </c>
      <c r="Q294" s="312">
        <v>113</v>
      </c>
      <c r="R294" s="13"/>
      <c r="S294" s="13"/>
      <c r="T294" s="13"/>
      <c r="U294" s="13"/>
      <c r="V294" s="13"/>
      <c r="W294" s="13"/>
      <c r="X294" s="13"/>
    </row>
    <row r="295" spans="2:24" x14ac:dyDescent="0.25">
      <c r="B295" s="136" t="s">
        <v>269</v>
      </c>
      <c r="C295" s="276"/>
      <c r="D295" s="276">
        <v>2</v>
      </c>
      <c r="E295" s="276">
        <v>2</v>
      </c>
      <c r="F295" s="276">
        <v>10</v>
      </c>
      <c r="G295" s="276">
        <v>6</v>
      </c>
      <c r="H295" s="276">
        <v>16</v>
      </c>
      <c r="I295" s="276">
        <v>2</v>
      </c>
      <c r="J295" s="276">
        <v>2</v>
      </c>
      <c r="K295" s="276">
        <v>4</v>
      </c>
      <c r="L295" s="276"/>
      <c r="M295" s="276"/>
      <c r="N295" s="276"/>
      <c r="O295" s="312">
        <v>12</v>
      </c>
      <c r="P295" s="312">
        <v>10</v>
      </c>
      <c r="Q295" s="312">
        <v>22</v>
      </c>
      <c r="R295" s="13"/>
      <c r="S295" s="13"/>
      <c r="T295" s="13"/>
      <c r="U295" s="13"/>
      <c r="V295" s="13"/>
      <c r="W295" s="13"/>
      <c r="X295" s="13"/>
    </row>
    <row r="296" spans="2:24" x14ac:dyDescent="0.25">
      <c r="B296" s="136" t="s">
        <v>270</v>
      </c>
      <c r="C296" s="276">
        <v>2</v>
      </c>
      <c r="D296" s="276">
        <v>4</v>
      </c>
      <c r="E296" s="276">
        <v>6</v>
      </c>
      <c r="F296" s="276">
        <v>31</v>
      </c>
      <c r="G296" s="276">
        <v>32</v>
      </c>
      <c r="H296" s="276">
        <v>63</v>
      </c>
      <c r="I296" s="276">
        <v>8</v>
      </c>
      <c r="J296" s="276">
        <v>4</v>
      </c>
      <c r="K296" s="276">
        <v>12</v>
      </c>
      <c r="L296" s="276">
        <v>1</v>
      </c>
      <c r="M296" s="276">
        <v>4</v>
      </c>
      <c r="N296" s="276">
        <v>5</v>
      </c>
      <c r="O296" s="312">
        <v>42</v>
      </c>
      <c r="P296" s="312">
        <v>44</v>
      </c>
      <c r="Q296" s="312">
        <v>86</v>
      </c>
      <c r="R296" s="13"/>
      <c r="S296" s="13"/>
      <c r="T296" s="13"/>
      <c r="U296" s="13"/>
      <c r="V296" s="13"/>
      <c r="W296" s="13"/>
      <c r="X296" s="13"/>
    </row>
    <row r="297" spans="2:24" x14ac:dyDescent="0.25">
      <c r="B297" s="156" t="s">
        <v>271</v>
      </c>
      <c r="C297" s="279">
        <v>2</v>
      </c>
      <c r="D297" s="279">
        <v>3</v>
      </c>
      <c r="E297" s="276">
        <v>5</v>
      </c>
      <c r="F297" s="276">
        <v>17</v>
      </c>
      <c r="G297" s="276">
        <v>34</v>
      </c>
      <c r="H297" s="276">
        <v>51</v>
      </c>
      <c r="I297" s="276">
        <v>12</v>
      </c>
      <c r="J297" s="276">
        <v>3</v>
      </c>
      <c r="K297" s="276">
        <v>15</v>
      </c>
      <c r="L297" s="276">
        <v>1</v>
      </c>
      <c r="M297" s="276">
        <v>1</v>
      </c>
      <c r="N297" s="276">
        <v>2</v>
      </c>
      <c r="O297" s="312">
        <v>32</v>
      </c>
      <c r="P297" s="312">
        <v>41</v>
      </c>
      <c r="Q297" s="312">
        <v>73</v>
      </c>
      <c r="R297" s="13"/>
      <c r="S297" s="13"/>
      <c r="T297" s="13"/>
      <c r="U297" s="13"/>
      <c r="V297" s="13"/>
      <c r="W297" s="13"/>
      <c r="X297" s="13"/>
    </row>
    <row r="298" spans="2:24" x14ac:dyDescent="0.25">
      <c r="B298" s="311" t="s">
        <v>28</v>
      </c>
      <c r="C298" s="271">
        <v>337</v>
      </c>
      <c r="D298" s="271">
        <v>391</v>
      </c>
      <c r="E298" s="271">
        <v>728</v>
      </c>
      <c r="F298" s="271">
        <v>1892</v>
      </c>
      <c r="G298" s="271">
        <v>1734</v>
      </c>
      <c r="H298" s="269">
        <v>3626</v>
      </c>
      <c r="I298" s="271">
        <v>437</v>
      </c>
      <c r="J298" s="269">
        <v>169</v>
      </c>
      <c r="K298" s="271">
        <v>606</v>
      </c>
      <c r="L298" s="269">
        <v>115</v>
      </c>
      <c r="M298" s="271">
        <v>164</v>
      </c>
      <c r="N298" s="269">
        <v>279</v>
      </c>
      <c r="O298" s="312">
        <v>2781</v>
      </c>
      <c r="P298" s="312">
        <v>2458</v>
      </c>
      <c r="Q298" s="312">
        <v>5239</v>
      </c>
      <c r="R298" s="13"/>
      <c r="S298" s="13"/>
      <c r="T298" s="13"/>
      <c r="U298" s="13"/>
      <c r="V298" s="13"/>
      <c r="W298" s="13"/>
      <c r="X298" s="13"/>
    </row>
    <row r="299" spans="2:24" ht="117" customHeight="1" x14ac:dyDescent="0.25">
      <c r="B299" s="442" t="s">
        <v>814</v>
      </c>
      <c r="C299" s="442"/>
      <c r="D299" s="442"/>
      <c r="E299" s="442"/>
      <c r="F299" s="442"/>
      <c r="G299" s="442"/>
      <c r="H299" s="442"/>
      <c r="I299" s="442"/>
      <c r="J299" s="442"/>
      <c r="K299" s="442"/>
      <c r="L299" s="442"/>
      <c r="M299" s="442"/>
      <c r="N299" s="442"/>
      <c r="O299" s="442"/>
      <c r="P299" s="442"/>
      <c r="Q299" s="442"/>
      <c r="R299" s="13"/>
      <c r="S299" s="13"/>
      <c r="T299" s="13"/>
      <c r="U299" s="13"/>
      <c r="V299" s="13"/>
      <c r="W299" s="13"/>
    </row>
    <row r="300" spans="2:24" x14ac:dyDescent="0.25">
      <c r="B300" s="158"/>
      <c r="C300" s="158"/>
      <c r="D300" s="158"/>
      <c r="E300"/>
      <c r="F300"/>
      <c r="G300"/>
      <c r="H300" s="13"/>
      <c r="I300" s="13"/>
      <c r="J300" s="13"/>
      <c r="K300" s="13"/>
      <c r="L300" s="13"/>
      <c r="M300" s="13"/>
      <c r="N300" s="13"/>
      <c r="O300" s="13"/>
      <c r="P300" s="13"/>
      <c r="Q300" s="13"/>
      <c r="R300" s="13"/>
      <c r="S300" s="13"/>
      <c r="T300" s="13"/>
      <c r="U300" s="13"/>
      <c r="V300" s="13"/>
      <c r="W300" s="13"/>
    </row>
    <row r="301" spans="2:24" x14ac:dyDescent="0.25">
      <c r="B301" s="158"/>
      <c r="C301" s="158"/>
      <c r="D301" s="158"/>
      <c r="E301"/>
      <c r="F301"/>
      <c r="G301"/>
      <c r="H301" s="13"/>
      <c r="I301" s="13"/>
      <c r="J301" s="13"/>
      <c r="K301" s="13"/>
      <c r="L301" s="13"/>
      <c r="M301" s="13"/>
      <c r="N301" s="13"/>
      <c r="O301" s="13"/>
      <c r="P301" s="13"/>
      <c r="Q301" s="13"/>
      <c r="R301" s="13"/>
      <c r="S301" s="13"/>
      <c r="T301" s="13"/>
      <c r="U301" s="13"/>
      <c r="V301" s="13"/>
      <c r="W301" s="13"/>
    </row>
    <row r="302" spans="2:24" x14ac:dyDescent="0.25">
      <c r="B302" s="187" t="s">
        <v>525</v>
      </c>
      <c r="C302"/>
      <c r="D302"/>
      <c r="E302"/>
      <c r="F302"/>
      <c r="G302"/>
      <c r="H302" s="13"/>
      <c r="I302" s="13"/>
      <c r="J302" s="13"/>
      <c r="K302" s="13"/>
      <c r="L302" s="13"/>
      <c r="M302" s="13"/>
      <c r="N302" s="13"/>
      <c r="O302" s="13"/>
      <c r="P302" s="13"/>
      <c r="Q302" s="13"/>
      <c r="R302" s="13"/>
      <c r="S302" s="13"/>
      <c r="T302" s="13"/>
      <c r="U302" s="13"/>
      <c r="V302" s="13"/>
      <c r="W302" s="13"/>
    </row>
    <row r="303" spans="2:24" x14ac:dyDescent="0.25">
      <c r="B303" s="187"/>
      <c r="C303"/>
      <c r="D303"/>
      <c r="E303"/>
      <c r="F303"/>
      <c r="G303"/>
      <c r="H303" s="13"/>
      <c r="I303" s="13"/>
      <c r="J303" s="13"/>
      <c r="K303" s="13"/>
      <c r="L303" s="13"/>
      <c r="M303" s="13"/>
      <c r="N303" s="13"/>
      <c r="O303" s="13"/>
      <c r="P303" s="13"/>
      <c r="Q303" s="13"/>
      <c r="R303" s="13"/>
      <c r="S303" s="13"/>
      <c r="T303" s="13"/>
      <c r="U303" s="13"/>
      <c r="V303" s="13"/>
      <c r="W303" s="13"/>
    </row>
    <row r="304" spans="2:24" ht="15" customHeight="1" x14ac:dyDescent="0.25">
      <c r="B304" s="441" t="s">
        <v>537</v>
      </c>
      <c r="C304" s="426" t="s">
        <v>481</v>
      </c>
      <c r="D304" s="426"/>
      <c r="E304" s="426"/>
      <c r="F304" s="426"/>
      <c r="G304" s="426"/>
      <c r="H304" s="426"/>
      <c r="I304" s="426"/>
      <c r="J304" s="426"/>
      <c r="K304" s="426"/>
      <c r="L304" s="426"/>
      <c r="M304" s="426"/>
      <c r="N304" s="426"/>
      <c r="O304" s="443" t="s">
        <v>697</v>
      </c>
      <c r="P304" s="444"/>
      <c r="Q304" s="445"/>
      <c r="R304" s="13"/>
      <c r="S304" s="13"/>
      <c r="T304" s="13"/>
      <c r="U304" s="13"/>
      <c r="V304" s="13"/>
      <c r="W304" s="13"/>
    </row>
    <row r="305" spans="2:24" ht="15" customHeight="1" x14ac:dyDescent="0.25">
      <c r="B305" s="441"/>
      <c r="C305" s="426" t="s">
        <v>658</v>
      </c>
      <c r="D305" s="426"/>
      <c r="E305" s="426"/>
      <c r="F305" s="426" t="s">
        <v>490</v>
      </c>
      <c r="G305" s="426"/>
      <c r="H305" s="426"/>
      <c r="I305" s="426" t="s">
        <v>4</v>
      </c>
      <c r="J305" s="426"/>
      <c r="K305" s="426"/>
      <c r="L305" s="426" t="s">
        <v>6</v>
      </c>
      <c r="M305" s="426"/>
      <c r="N305" s="426"/>
      <c r="O305" s="446"/>
      <c r="P305" s="447"/>
      <c r="Q305" s="448"/>
      <c r="R305" s="13"/>
      <c r="S305" s="13"/>
      <c r="T305" s="13"/>
      <c r="U305" s="13"/>
      <c r="V305" s="13"/>
      <c r="W305" s="13"/>
    </row>
    <row r="306" spans="2:24" x14ac:dyDescent="0.25">
      <c r="B306" s="441"/>
      <c r="C306" s="161" t="s">
        <v>76</v>
      </c>
      <c r="D306" s="161" t="s">
        <v>77</v>
      </c>
      <c r="E306" s="161" t="s">
        <v>28</v>
      </c>
      <c r="F306" s="161" t="s">
        <v>76</v>
      </c>
      <c r="G306" s="161" t="s">
        <v>77</v>
      </c>
      <c r="H306" s="161" t="s">
        <v>28</v>
      </c>
      <c r="I306" s="161" t="s">
        <v>76</v>
      </c>
      <c r="J306" s="161" t="s">
        <v>77</v>
      </c>
      <c r="K306" s="161" t="s">
        <v>28</v>
      </c>
      <c r="L306" s="161" t="s">
        <v>76</v>
      </c>
      <c r="M306" s="161" t="s">
        <v>77</v>
      </c>
      <c r="N306" s="161" t="s">
        <v>28</v>
      </c>
      <c r="O306" s="244" t="s">
        <v>76</v>
      </c>
      <c r="P306" s="244" t="s">
        <v>77</v>
      </c>
      <c r="Q306" s="244" t="s">
        <v>28</v>
      </c>
      <c r="R306" s="13"/>
      <c r="S306" s="13"/>
      <c r="T306" s="13"/>
      <c r="U306" s="13"/>
      <c r="V306" s="13"/>
      <c r="W306" s="13"/>
    </row>
    <row r="307" spans="2:24" x14ac:dyDescent="0.25">
      <c r="B307" s="157" t="s">
        <v>455</v>
      </c>
      <c r="C307" s="278">
        <v>10</v>
      </c>
      <c r="D307" s="278">
        <v>8</v>
      </c>
      <c r="E307" s="278">
        <v>18</v>
      </c>
      <c r="F307" s="278">
        <v>48</v>
      </c>
      <c r="G307" s="278">
        <v>43</v>
      </c>
      <c r="H307" s="278">
        <v>91</v>
      </c>
      <c r="I307" s="278">
        <v>10</v>
      </c>
      <c r="J307" s="278">
        <v>2</v>
      </c>
      <c r="K307" s="278">
        <v>12</v>
      </c>
      <c r="L307" s="278">
        <v>5</v>
      </c>
      <c r="M307" s="278">
        <v>2</v>
      </c>
      <c r="N307" s="278">
        <v>7</v>
      </c>
      <c r="O307" s="312">
        <v>73</v>
      </c>
      <c r="P307" s="312">
        <v>55</v>
      </c>
      <c r="Q307" s="312">
        <v>128</v>
      </c>
      <c r="R307" s="13"/>
      <c r="S307" s="13"/>
      <c r="T307" s="13"/>
      <c r="U307" s="13"/>
      <c r="V307" s="13"/>
      <c r="W307" s="13"/>
      <c r="X307" s="13"/>
    </row>
    <row r="308" spans="2:24" x14ac:dyDescent="0.25">
      <c r="B308" s="136" t="s">
        <v>456</v>
      </c>
      <c r="C308" s="276">
        <v>77</v>
      </c>
      <c r="D308" s="276">
        <v>55</v>
      </c>
      <c r="E308" s="276">
        <v>132</v>
      </c>
      <c r="F308" s="276">
        <v>399</v>
      </c>
      <c r="G308" s="276">
        <v>271</v>
      </c>
      <c r="H308" s="276">
        <v>670</v>
      </c>
      <c r="I308" s="276">
        <v>107</v>
      </c>
      <c r="J308" s="276">
        <v>47</v>
      </c>
      <c r="K308" s="276">
        <v>154</v>
      </c>
      <c r="L308" s="276">
        <v>25</v>
      </c>
      <c r="M308" s="276">
        <v>36</v>
      </c>
      <c r="N308" s="276">
        <v>61</v>
      </c>
      <c r="O308" s="312">
        <v>608</v>
      </c>
      <c r="P308" s="312">
        <v>409</v>
      </c>
      <c r="Q308" s="312">
        <v>1017</v>
      </c>
      <c r="R308" s="13"/>
      <c r="S308" s="13"/>
      <c r="T308" s="13"/>
      <c r="U308" s="13"/>
      <c r="V308" s="13"/>
      <c r="W308" s="13"/>
      <c r="X308" s="13"/>
    </row>
    <row r="309" spans="2:24" x14ac:dyDescent="0.25">
      <c r="B309" s="136" t="s">
        <v>457</v>
      </c>
      <c r="C309" s="276">
        <v>6</v>
      </c>
      <c r="D309" s="276">
        <v>6</v>
      </c>
      <c r="E309" s="276">
        <v>12</v>
      </c>
      <c r="F309" s="276">
        <v>34</v>
      </c>
      <c r="G309" s="276">
        <v>29</v>
      </c>
      <c r="H309" s="276">
        <v>63</v>
      </c>
      <c r="I309" s="276">
        <v>12</v>
      </c>
      <c r="J309" s="276">
        <v>5</v>
      </c>
      <c r="K309" s="276">
        <v>17</v>
      </c>
      <c r="L309" s="276">
        <v>8</v>
      </c>
      <c r="M309" s="276">
        <v>6</v>
      </c>
      <c r="N309" s="276">
        <v>14</v>
      </c>
      <c r="O309" s="312">
        <v>60</v>
      </c>
      <c r="P309" s="312">
        <v>46</v>
      </c>
      <c r="Q309" s="312">
        <v>106</v>
      </c>
      <c r="R309" s="13"/>
      <c r="S309" s="13"/>
      <c r="T309" s="13"/>
      <c r="U309" s="13"/>
      <c r="V309" s="13"/>
      <c r="W309" s="13"/>
      <c r="X309" s="13"/>
    </row>
    <row r="310" spans="2:24" x14ac:dyDescent="0.25">
      <c r="B310" s="136" t="s">
        <v>458</v>
      </c>
      <c r="C310" s="276">
        <v>1</v>
      </c>
      <c r="D310" s="276"/>
      <c r="E310" s="276">
        <v>1</v>
      </c>
      <c r="F310" s="276">
        <v>12</v>
      </c>
      <c r="G310" s="276">
        <v>10</v>
      </c>
      <c r="H310" s="276">
        <v>22</v>
      </c>
      <c r="I310" s="276">
        <v>8</v>
      </c>
      <c r="J310" s="276">
        <v>2</v>
      </c>
      <c r="K310" s="276">
        <v>10</v>
      </c>
      <c r="L310" s="276">
        <v>3</v>
      </c>
      <c r="M310" s="276">
        <v>2</v>
      </c>
      <c r="N310" s="276">
        <v>5</v>
      </c>
      <c r="O310" s="312">
        <v>24</v>
      </c>
      <c r="P310" s="312">
        <v>14</v>
      </c>
      <c r="Q310" s="312">
        <v>38</v>
      </c>
      <c r="R310" s="13"/>
      <c r="S310" s="13"/>
      <c r="T310" s="13"/>
      <c r="U310" s="13"/>
      <c r="V310" s="13"/>
      <c r="W310" s="13"/>
      <c r="X310" s="13"/>
    </row>
    <row r="311" spans="2:24" x14ac:dyDescent="0.25">
      <c r="B311" s="136" t="s">
        <v>459</v>
      </c>
      <c r="C311" s="276">
        <v>4</v>
      </c>
      <c r="D311" s="276">
        <v>7</v>
      </c>
      <c r="E311" s="276">
        <v>11</v>
      </c>
      <c r="F311" s="276">
        <v>26</v>
      </c>
      <c r="G311" s="276">
        <v>35</v>
      </c>
      <c r="H311" s="276">
        <v>61</v>
      </c>
      <c r="I311" s="276">
        <v>13</v>
      </c>
      <c r="J311" s="276">
        <v>4</v>
      </c>
      <c r="K311" s="276">
        <v>17</v>
      </c>
      <c r="L311" s="276">
        <v>2</v>
      </c>
      <c r="M311" s="276">
        <v>4</v>
      </c>
      <c r="N311" s="276">
        <v>6</v>
      </c>
      <c r="O311" s="312">
        <v>45</v>
      </c>
      <c r="P311" s="312">
        <v>50</v>
      </c>
      <c r="Q311" s="312">
        <v>95</v>
      </c>
      <c r="R311" s="13"/>
      <c r="S311" s="13"/>
      <c r="T311" s="13"/>
      <c r="U311" s="13"/>
      <c r="V311" s="13"/>
      <c r="W311" s="13"/>
      <c r="X311" s="13"/>
    </row>
    <row r="312" spans="2:24" x14ac:dyDescent="0.25">
      <c r="B312" s="136" t="s">
        <v>460</v>
      </c>
      <c r="C312" s="276">
        <v>12</v>
      </c>
      <c r="D312" s="276">
        <v>7</v>
      </c>
      <c r="E312" s="276">
        <v>19</v>
      </c>
      <c r="F312" s="276">
        <v>29</v>
      </c>
      <c r="G312" s="276">
        <v>34</v>
      </c>
      <c r="H312" s="276">
        <v>63</v>
      </c>
      <c r="I312" s="276">
        <v>26</v>
      </c>
      <c r="J312" s="276">
        <v>7</v>
      </c>
      <c r="K312" s="276">
        <v>33</v>
      </c>
      <c r="L312" s="276">
        <v>5</v>
      </c>
      <c r="M312" s="276">
        <v>7</v>
      </c>
      <c r="N312" s="276">
        <v>12</v>
      </c>
      <c r="O312" s="312">
        <v>72</v>
      </c>
      <c r="P312" s="312">
        <v>55</v>
      </c>
      <c r="Q312" s="312">
        <v>127</v>
      </c>
      <c r="R312" s="13"/>
      <c r="S312" s="13"/>
      <c r="T312" s="13"/>
      <c r="U312" s="13"/>
      <c r="V312" s="13"/>
      <c r="W312" s="13"/>
      <c r="X312" s="13"/>
    </row>
    <row r="313" spans="2:24" x14ac:dyDescent="0.25">
      <c r="B313" s="136" t="s">
        <v>461</v>
      </c>
      <c r="C313" s="276">
        <v>2</v>
      </c>
      <c r="D313" s="276">
        <v>8</v>
      </c>
      <c r="E313" s="276">
        <v>10</v>
      </c>
      <c r="F313" s="276">
        <v>18</v>
      </c>
      <c r="G313" s="276">
        <v>16</v>
      </c>
      <c r="H313" s="276">
        <v>34</v>
      </c>
      <c r="I313" s="276">
        <v>15</v>
      </c>
      <c r="J313" s="276">
        <v>5</v>
      </c>
      <c r="K313" s="276">
        <v>20</v>
      </c>
      <c r="L313" s="276">
        <v>1</v>
      </c>
      <c r="M313" s="276">
        <v>2</v>
      </c>
      <c r="N313" s="276">
        <v>3</v>
      </c>
      <c r="O313" s="312">
        <v>36</v>
      </c>
      <c r="P313" s="312">
        <v>31</v>
      </c>
      <c r="Q313" s="312">
        <v>67</v>
      </c>
      <c r="R313" s="13"/>
      <c r="S313" s="13"/>
      <c r="T313" s="13"/>
      <c r="U313" s="13"/>
      <c r="V313" s="13"/>
      <c r="W313" s="13"/>
      <c r="X313" s="13"/>
    </row>
    <row r="314" spans="2:24" x14ac:dyDescent="0.25">
      <c r="B314" s="136" t="s">
        <v>462</v>
      </c>
      <c r="C314" s="276">
        <v>1</v>
      </c>
      <c r="D314" s="276">
        <v>5</v>
      </c>
      <c r="E314" s="276">
        <v>6</v>
      </c>
      <c r="F314" s="276">
        <v>6</v>
      </c>
      <c r="G314" s="276">
        <v>13</v>
      </c>
      <c r="H314" s="276">
        <v>19</v>
      </c>
      <c r="I314" s="276">
        <v>4</v>
      </c>
      <c r="J314" s="276">
        <v>2</v>
      </c>
      <c r="K314" s="276">
        <v>6</v>
      </c>
      <c r="L314" s="276"/>
      <c r="M314" s="276">
        <v>2</v>
      </c>
      <c r="N314" s="276">
        <v>2</v>
      </c>
      <c r="O314" s="312">
        <v>11</v>
      </c>
      <c r="P314" s="312">
        <v>22</v>
      </c>
      <c r="Q314" s="312">
        <v>33</v>
      </c>
      <c r="R314" s="13"/>
      <c r="S314" s="13"/>
      <c r="T314" s="13"/>
      <c r="U314" s="13"/>
      <c r="V314" s="13"/>
      <c r="W314" s="13"/>
      <c r="X314" s="13"/>
    </row>
    <row r="315" spans="2:24" x14ac:dyDescent="0.25">
      <c r="B315" s="136" t="s">
        <v>463</v>
      </c>
      <c r="C315" s="276">
        <v>5</v>
      </c>
      <c r="D315" s="276">
        <v>6</v>
      </c>
      <c r="E315" s="276">
        <v>11</v>
      </c>
      <c r="F315" s="276">
        <v>16</v>
      </c>
      <c r="G315" s="276">
        <v>14</v>
      </c>
      <c r="H315" s="276">
        <v>30</v>
      </c>
      <c r="I315" s="276">
        <v>9</v>
      </c>
      <c r="J315" s="276">
        <v>3</v>
      </c>
      <c r="K315" s="276">
        <v>12</v>
      </c>
      <c r="L315" s="276"/>
      <c r="M315" s="276">
        <v>2</v>
      </c>
      <c r="N315" s="276">
        <v>2</v>
      </c>
      <c r="O315" s="312">
        <v>30</v>
      </c>
      <c r="P315" s="312">
        <v>25</v>
      </c>
      <c r="Q315" s="312">
        <v>55</v>
      </c>
      <c r="R315" s="13"/>
      <c r="S315" s="13"/>
      <c r="T315" s="13"/>
      <c r="U315" s="13"/>
      <c r="V315" s="13"/>
      <c r="W315" s="13"/>
      <c r="X315" s="13"/>
    </row>
    <row r="316" spans="2:24" x14ac:dyDescent="0.25">
      <c r="B316" s="136" t="s">
        <v>464</v>
      </c>
      <c r="C316" s="276">
        <v>5</v>
      </c>
      <c r="D316" s="276"/>
      <c r="E316" s="276">
        <v>5</v>
      </c>
      <c r="F316" s="276">
        <v>21</v>
      </c>
      <c r="G316" s="276">
        <v>20</v>
      </c>
      <c r="H316" s="276">
        <v>41</v>
      </c>
      <c r="I316" s="276">
        <v>11</v>
      </c>
      <c r="J316" s="276">
        <v>4</v>
      </c>
      <c r="K316" s="276">
        <v>15</v>
      </c>
      <c r="L316" s="276">
        <v>1</v>
      </c>
      <c r="M316" s="276">
        <v>1</v>
      </c>
      <c r="N316" s="276">
        <v>2</v>
      </c>
      <c r="O316" s="312">
        <v>38</v>
      </c>
      <c r="P316" s="312">
        <v>25</v>
      </c>
      <c r="Q316" s="312">
        <v>63</v>
      </c>
      <c r="R316" s="13"/>
      <c r="S316" s="13"/>
      <c r="T316" s="13"/>
      <c r="U316" s="13"/>
      <c r="V316" s="13"/>
      <c r="W316" s="13"/>
      <c r="X316" s="13"/>
    </row>
    <row r="317" spans="2:24" x14ac:dyDescent="0.25">
      <c r="B317" s="136" t="s">
        <v>465</v>
      </c>
      <c r="C317" s="276">
        <v>2</v>
      </c>
      <c r="D317" s="276">
        <v>2</v>
      </c>
      <c r="E317" s="276">
        <v>4</v>
      </c>
      <c r="F317" s="276">
        <v>11</v>
      </c>
      <c r="G317" s="276">
        <v>13</v>
      </c>
      <c r="H317" s="276">
        <v>24</v>
      </c>
      <c r="I317" s="276">
        <v>4</v>
      </c>
      <c r="J317" s="276">
        <v>3</v>
      </c>
      <c r="K317" s="276">
        <v>7</v>
      </c>
      <c r="L317" s="276">
        <v>2</v>
      </c>
      <c r="M317" s="276">
        <v>1</v>
      </c>
      <c r="N317" s="276">
        <v>3</v>
      </c>
      <c r="O317" s="312">
        <v>19</v>
      </c>
      <c r="P317" s="312">
        <v>19</v>
      </c>
      <c r="Q317" s="312">
        <v>38</v>
      </c>
      <c r="R317" s="13"/>
      <c r="S317" s="13"/>
      <c r="T317" s="13"/>
      <c r="U317" s="13"/>
      <c r="V317" s="13"/>
      <c r="W317" s="13"/>
      <c r="X317" s="13"/>
    </row>
    <row r="318" spans="2:24" x14ac:dyDescent="0.25">
      <c r="B318" s="136" t="s">
        <v>466</v>
      </c>
      <c r="C318" s="276">
        <v>9</v>
      </c>
      <c r="D318" s="276">
        <v>8</v>
      </c>
      <c r="E318" s="276">
        <v>17</v>
      </c>
      <c r="F318" s="276">
        <v>31</v>
      </c>
      <c r="G318" s="276">
        <v>35</v>
      </c>
      <c r="H318" s="276">
        <v>66</v>
      </c>
      <c r="I318" s="276">
        <v>21</v>
      </c>
      <c r="J318" s="276">
        <v>4</v>
      </c>
      <c r="K318" s="276">
        <v>25</v>
      </c>
      <c r="L318" s="276">
        <v>3</v>
      </c>
      <c r="M318" s="276">
        <v>4</v>
      </c>
      <c r="N318" s="276">
        <v>7</v>
      </c>
      <c r="O318" s="312">
        <v>64</v>
      </c>
      <c r="P318" s="312">
        <v>51</v>
      </c>
      <c r="Q318" s="312">
        <v>115</v>
      </c>
      <c r="R318" s="13"/>
      <c r="S318" s="13"/>
      <c r="T318" s="13"/>
      <c r="U318" s="13"/>
      <c r="V318" s="13"/>
      <c r="W318" s="13"/>
      <c r="X318" s="13"/>
    </row>
    <row r="319" spans="2:24" x14ac:dyDescent="0.25">
      <c r="B319" s="136" t="s">
        <v>467</v>
      </c>
      <c r="C319" s="276">
        <v>6</v>
      </c>
      <c r="D319" s="276">
        <v>11</v>
      </c>
      <c r="E319" s="276">
        <v>17</v>
      </c>
      <c r="F319" s="276">
        <v>27</v>
      </c>
      <c r="G319" s="276">
        <v>20</v>
      </c>
      <c r="H319" s="276">
        <v>47</v>
      </c>
      <c r="I319" s="276">
        <v>9</v>
      </c>
      <c r="J319" s="276">
        <v>1</v>
      </c>
      <c r="K319" s="276">
        <v>10</v>
      </c>
      <c r="L319" s="276">
        <v>4</v>
      </c>
      <c r="M319" s="276">
        <v>1</v>
      </c>
      <c r="N319" s="276">
        <v>5</v>
      </c>
      <c r="O319" s="312">
        <v>46</v>
      </c>
      <c r="P319" s="312">
        <v>33</v>
      </c>
      <c r="Q319" s="312">
        <v>79</v>
      </c>
      <c r="R319" s="13"/>
      <c r="S319" s="13"/>
      <c r="T319" s="13"/>
      <c r="U319" s="13"/>
      <c r="V319" s="13"/>
      <c r="W319" s="13"/>
      <c r="X319" s="13"/>
    </row>
    <row r="320" spans="2:24" x14ac:dyDescent="0.25">
      <c r="B320" s="136" t="s">
        <v>468</v>
      </c>
      <c r="C320" s="276">
        <v>9</v>
      </c>
      <c r="D320" s="276">
        <v>14</v>
      </c>
      <c r="E320" s="276">
        <v>23</v>
      </c>
      <c r="F320" s="276">
        <v>10</v>
      </c>
      <c r="G320" s="276">
        <v>21</v>
      </c>
      <c r="H320" s="276">
        <v>31</v>
      </c>
      <c r="I320" s="276">
        <v>8</v>
      </c>
      <c r="J320" s="276">
        <v>2</v>
      </c>
      <c r="K320" s="276">
        <v>10</v>
      </c>
      <c r="L320" s="276">
        <v>4</v>
      </c>
      <c r="M320" s="276">
        <v>2</v>
      </c>
      <c r="N320" s="276">
        <v>6</v>
      </c>
      <c r="O320" s="312">
        <v>31</v>
      </c>
      <c r="P320" s="312">
        <v>39</v>
      </c>
      <c r="Q320" s="312">
        <v>70</v>
      </c>
      <c r="R320" s="13"/>
      <c r="S320" s="13"/>
      <c r="T320" s="13"/>
      <c r="U320" s="13"/>
      <c r="V320" s="13"/>
      <c r="W320" s="13"/>
      <c r="X320" s="13"/>
    </row>
    <row r="321" spans="2:24" x14ac:dyDescent="0.25">
      <c r="B321" s="136" t="s">
        <v>469</v>
      </c>
      <c r="C321" s="276">
        <v>27</v>
      </c>
      <c r="D321" s="276">
        <v>17</v>
      </c>
      <c r="E321" s="276">
        <v>44</v>
      </c>
      <c r="F321" s="276">
        <v>118</v>
      </c>
      <c r="G321" s="276">
        <v>98</v>
      </c>
      <c r="H321" s="276">
        <v>216</v>
      </c>
      <c r="I321" s="276">
        <v>40</v>
      </c>
      <c r="J321" s="276">
        <v>16</v>
      </c>
      <c r="K321" s="276">
        <v>56</v>
      </c>
      <c r="L321" s="276">
        <v>13</v>
      </c>
      <c r="M321" s="276">
        <v>13</v>
      </c>
      <c r="N321" s="276">
        <v>26</v>
      </c>
      <c r="O321" s="312">
        <v>198</v>
      </c>
      <c r="P321" s="312">
        <v>144</v>
      </c>
      <c r="Q321" s="312">
        <v>342</v>
      </c>
      <c r="R321" s="13"/>
      <c r="S321" s="13"/>
      <c r="T321" s="13"/>
      <c r="U321" s="13"/>
      <c r="V321" s="13"/>
      <c r="W321" s="13"/>
      <c r="X321" s="13"/>
    </row>
    <row r="322" spans="2:24" x14ac:dyDescent="0.25">
      <c r="B322" s="136" t="s">
        <v>470</v>
      </c>
      <c r="C322" s="276"/>
      <c r="D322" s="276">
        <v>1</v>
      </c>
      <c r="E322" s="276">
        <v>1</v>
      </c>
      <c r="F322" s="276">
        <v>9</v>
      </c>
      <c r="G322" s="276">
        <v>10</v>
      </c>
      <c r="H322" s="276">
        <v>19</v>
      </c>
      <c r="I322" s="276">
        <v>1</v>
      </c>
      <c r="J322" s="276">
        <v>1</v>
      </c>
      <c r="K322" s="276">
        <v>2</v>
      </c>
      <c r="L322" s="276"/>
      <c r="M322" s="276"/>
      <c r="N322" s="276"/>
      <c r="O322" s="312">
        <v>10</v>
      </c>
      <c r="P322" s="312">
        <v>12</v>
      </c>
      <c r="Q322" s="312">
        <v>22</v>
      </c>
      <c r="R322" s="13"/>
      <c r="S322" s="13"/>
      <c r="T322" s="13"/>
      <c r="U322" s="13"/>
      <c r="V322" s="13"/>
      <c r="W322" s="13"/>
      <c r="X322" s="13"/>
    </row>
    <row r="323" spans="2:24" x14ac:dyDescent="0.25">
      <c r="B323" s="136" t="s">
        <v>471</v>
      </c>
      <c r="C323" s="276">
        <v>8</v>
      </c>
      <c r="D323" s="276">
        <v>11</v>
      </c>
      <c r="E323" s="276">
        <v>19</v>
      </c>
      <c r="F323" s="276">
        <v>24</v>
      </c>
      <c r="G323" s="276">
        <v>32</v>
      </c>
      <c r="H323" s="276">
        <v>56</v>
      </c>
      <c r="I323" s="276">
        <v>27</v>
      </c>
      <c r="J323" s="276">
        <v>9</v>
      </c>
      <c r="K323" s="276">
        <v>36</v>
      </c>
      <c r="L323" s="276">
        <v>5</v>
      </c>
      <c r="M323" s="276">
        <v>2</v>
      </c>
      <c r="N323" s="276">
        <v>7</v>
      </c>
      <c r="O323" s="312">
        <v>64</v>
      </c>
      <c r="P323" s="312">
        <v>54</v>
      </c>
      <c r="Q323" s="312">
        <v>118</v>
      </c>
      <c r="R323" s="13"/>
      <c r="S323" s="13"/>
      <c r="T323" s="13"/>
      <c r="U323" s="13"/>
      <c r="V323" s="13"/>
      <c r="W323" s="13"/>
      <c r="X323" s="13"/>
    </row>
    <row r="324" spans="2:24" x14ac:dyDescent="0.25">
      <c r="B324" s="136" t="s">
        <v>472</v>
      </c>
      <c r="C324" s="276">
        <v>6</v>
      </c>
      <c r="D324" s="276">
        <v>2</v>
      </c>
      <c r="E324" s="276">
        <v>8</v>
      </c>
      <c r="F324" s="276">
        <v>24</v>
      </c>
      <c r="G324" s="276">
        <v>24</v>
      </c>
      <c r="H324" s="276">
        <v>48</v>
      </c>
      <c r="I324" s="276">
        <v>12</v>
      </c>
      <c r="J324" s="276">
        <v>3</v>
      </c>
      <c r="K324" s="276">
        <v>15</v>
      </c>
      <c r="L324" s="276"/>
      <c r="M324" s="276">
        <v>4</v>
      </c>
      <c r="N324" s="276">
        <v>4</v>
      </c>
      <c r="O324" s="312">
        <v>42</v>
      </c>
      <c r="P324" s="312">
        <v>33</v>
      </c>
      <c r="Q324" s="312">
        <v>75</v>
      </c>
      <c r="R324" s="13"/>
      <c r="S324" s="13"/>
      <c r="T324" s="13"/>
      <c r="U324" s="13"/>
      <c r="V324" s="13"/>
      <c r="W324" s="13"/>
      <c r="X324" s="13"/>
    </row>
    <row r="325" spans="2:24" x14ac:dyDescent="0.25">
      <c r="B325" s="136" t="s">
        <v>473</v>
      </c>
      <c r="C325" s="276">
        <v>3</v>
      </c>
      <c r="D325" s="276"/>
      <c r="E325" s="276">
        <v>3</v>
      </c>
      <c r="F325" s="276">
        <v>7</v>
      </c>
      <c r="G325" s="276">
        <v>10</v>
      </c>
      <c r="H325" s="276">
        <v>17</v>
      </c>
      <c r="I325" s="276">
        <v>4</v>
      </c>
      <c r="J325" s="276">
        <v>1</v>
      </c>
      <c r="K325" s="276">
        <v>5</v>
      </c>
      <c r="L325" s="276"/>
      <c r="M325" s="276">
        <v>2</v>
      </c>
      <c r="N325" s="276">
        <v>2</v>
      </c>
      <c r="O325" s="312">
        <v>14</v>
      </c>
      <c r="P325" s="312">
        <v>13</v>
      </c>
      <c r="Q325" s="312">
        <v>27</v>
      </c>
      <c r="R325" s="13"/>
      <c r="S325" s="13"/>
      <c r="T325" s="13"/>
      <c r="U325" s="13"/>
      <c r="V325" s="13"/>
      <c r="W325" s="13"/>
      <c r="X325" s="13"/>
    </row>
    <row r="326" spans="2:24" x14ac:dyDescent="0.25">
      <c r="B326" s="136" t="s">
        <v>474</v>
      </c>
      <c r="C326" s="276">
        <v>12</v>
      </c>
      <c r="D326" s="276">
        <v>10</v>
      </c>
      <c r="E326" s="276">
        <v>22</v>
      </c>
      <c r="F326" s="276">
        <v>31</v>
      </c>
      <c r="G326" s="276">
        <v>28</v>
      </c>
      <c r="H326" s="276">
        <v>59</v>
      </c>
      <c r="I326" s="276">
        <v>17</v>
      </c>
      <c r="J326" s="276">
        <v>5</v>
      </c>
      <c r="K326" s="276">
        <v>22</v>
      </c>
      <c r="L326" s="276">
        <v>1</v>
      </c>
      <c r="M326" s="276">
        <v>2</v>
      </c>
      <c r="N326" s="276">
        <v>3</v>
      </c>
      <c r="O326" s="312">
        <v>61</v>
      </c>
      <c r="P326" s="312">
        <v>45</v>
      </c>
      <c r="Q326" s="312">
        <v>106</v>
      </c>
      <c r="R326" s="13"/>
      <c r="S326" s="13"/>
      <c r="T326" s="13"/>
      <c r="U326" s="13"/>
      <c r="V326" s="13"/>
      <c r="W326" s="13"/>
      <c r="X326" s="13"/>
    </row>
    <row r="327" spans="2:24" x14ac:dyDescent="0.25">
      <c r="B327" s="136" t="s">
        <v>475</v>
      </c>
      <c r="C327" s="276">
        <v>4</v>
      </c>
      <c r="D327" s="276">
        <v>4</v>
      </c>
      <c r="E327" s="276">
        <v>8</v>
      </c>
      <c r="F327" s="276">
        <v>14</v>
      </c>
      <c r="G327" s="276">
        <v>19</v>
      </c>
      <c r="H327" s="276">
        <v>33</v>
      </c>
      <c r="I327" s="276">
        <v>15</v>
      </c>
      <c r="J327" s="276">
        <v>6</v>
      </c>
      <c r="K327" s="276">
        <v>21</v>
      </c>
      <c r="L327" s="276">
        <v>1</v>
      </c>
      <c r="M327" s="276">
        <v>7</v>
      </c>
      <c r="N327" s="276">
        <v>8</v>
      </c>
      <c r="O327" s="312">
        <v>34</v>
      </c>
      <c r="P327" s="312">
        <v>36</v>
      </c>
      <c r="Q327" s="312">
        <v>70</v>
      </c>
      <c r="R327" s="13"/>
      <c r="S327" s="13"/>
      <c r="T327" s="13"/>
      <c r="U327" s="13"/>
      <c r="V327" s="13"/>
      <c r="W327" s="13"/>
      <c r="X327" s="13"/>
    </row>
    <row r="328" spans="2:24" x14ac:dyDescent="0.25">
      <c r="B328" s="311" t="s">
        <v>28</v>
      </c>
      <c r="C328" s="271">
        <v>209</v>
      </c>
      <c r="D328" s="271">
        <v>182</v>
      </c>
      <c r="E328" s="271">
        <v>391</v>
      </c>
      <c r="F328" s="271">
        <v>915</v>
      </c>
      <c r="G328" s="271">
        <v>795</v>
      </c>
      <c r="H328" s="269">
        <v>1710</v>
      </c>
      <c r="I328" s="271">
        <v>373</v>
      </c>
      <c r="J328" s="269">
        <v>132</v>
      </c>
      <c r="K328" s="271">
        <v>505</v>
      </c>
      <c r="L328" s="269">
        <v>83</v>
      </c>
      <c r="M328" s="271">
        <v>102</v>
      </c>
      <c r="N328" s="269">
        <v>185</v>
      </c>
      <c r="O328" s="312">
        <v>1580</v>
      </c>
      <c r="P328" s="312">
        <v>1211</v>
      </c>
      <c r="Q328" s="312">
        <v>2791</v>
      </c>
      <c r="R328" s="13"/>
      <c r="S328" s="13"/>
      <c r="T328" s="13"/>
      <c r="U328" s="13"/>
      <c r="V328" s="13"/>
      <c r="W328" s="13"/>
      <c r="X328" s="13"/>
    </row>
    <row r="329" spans="2:24" ht="102.75" customHeight="1" x14ac:dyDescent="0.25">
      <c r="B329" s="442" t="s">
        <v>814</v>
      </c>
      <c r="C329" s="442"/>
      <c r="D329" s="442"/>
      <c r="E329" s="442"/>
      <c r="F329" s="442"/>
      <c r="G329" s="442"/>
      <c r="H329" s="442"/>
      <c r="I329" s="442"/>
      <c r="J329" s="442"/>
      <c r="K329" s="442"/>
      <c r="L329" s="442"/>
      <c r="M329" s="442"/>
      <c r="N329" s="442"/>
      <c r="O329" s="442"/>
      <c r="P329" s="442"/>
      <c r="Q329" s="442"/>
      <c r="R329" s="13"/>
      <c r="S329" s="13"/>
      <c r="T329" s="13"/>
      <c r="U329" s="13"/>
      <c r="V329" s="13"/>
      <c r="W329" s="13"/>
    </row>
    <row r="330" spans="2:24" x14ac:dyDescent="0.25">
      <c r="B330" s="158"/>
      <c r="C330" s="158"/>
      <c r="D330" s="158"/>
      <c r="E330"/>
      <c r="F330"/>
      <c r="G330"/>
      <c r="H330" s="13"/>
      <c r="I330" s="13"/>
      <c r="J330" s="13"/>
      <c r="K330" s="13"/>
      <c r="L330" s="13"/>
      <c r="M330" s="13"/>
      <c r="N330" s="13"/>
      <c r="O330" s="13"/>
      <c r="P330" s="13"/>
      <c r="Q330" s="13"/>
      <c r="R330" s="13"/>
      <c r="S330" s="13"/>
      <c r="T330" s="13"/>
      <c r="U330" s="13"/>
      <c r="V330" s="13"/>
      <c r="W330" s="13"/>
    </row>
    <row r="331" spans="2:24" x14ac:dyDescent="0.25">
      <c r="B331" s="158"/>
      <c r="C331" s="158"/>
      <c r="D331" s="158"/>
      <c r="E331"/>
      <c r="F331"/>
      <c r="G331"/>
      <c r="H331" s="13"/>
      <c r="I331" s="13"/>
      <c r="J331" s="13"/>
      <c r="K331" s="13"/>
      <c r="L331" s="13"/>
      <c r="M331" s="13"/>
      <c r="N331" s="13"/>
      <c r="O331" s="13"/>
      <c r="P331" s="13"/>
      <c r="Q331" s="13"/>
      <c r="R331" s="13"/>
      <c r="S331" s="13"/>
      <c r="T331" s="13"/>
      <c r="U331" s="13"/>
      <c r="V331" s="13"/>
      <c r="W331" s="13"/>
    </row>
    <row r="332" spans="2:24" x14ac:dyDescent="0.25">
      <c r="B332" s="187" t="s">
        <v>517</v>
      </c>
      <c r="C332"/>
      <c r="D332"/>
      <c r="E332"/>
      <c r="F332"/>
      <c r="G332"/>
      <c r="H332" s="13"/>
      <c r="I332" s="13"/>
      <c r="J332" s="13"/>
      <c r="K332" s="13"/>
      <c r="L332" s="13"/>
      <c r="M332" s="13"/>
      <c r="N332" s="13"/>
      <c r="O332" s="13"/>
      <c r="P332" s="13"/>
      <c r="Q332" s="13"/>
      <c r="R332" s="13"/>
      <c r="S332" s="13"/>
      <c r="T332" s="13"/>
      <c r="U332" s="13"/>
      <c r="V332" s="13"/>
      <c r="W332" s="13"/>
    </row>
    <row r="333" spans="2:24" x14ac:dyDescent="0.25">
      <c r="B333" s="187"/>
      <c r="C333"/>
      <c r="D333"/>
      <c r="E333"/>
      <c r="F333"/>
      <c r="G333"/>
      <c r="H333" s="13"/>
      <c r="I333" s="13"/>
      <c r="J333" s="13"/>
      <c r="K333" s="13"/>
      <c r="L333" s="13"/>
      <c r="M333" s="13"/>
      <c r="N333" s="13"/>
      <c r="O333" s="13"/>
      <c r="P333" s="13"/>
      <c r="Q333" s="13"/>
      <c r="R333" s="13"/>
      <c r="S333" s="13"/>
      <c r="T333" s="13"/>
      <c r="U333" s="13"/>
      <c r="V333" s="13"/>
      <c r="W333" s="13"/>
    </row>
    <row r="334" spans="2:24" ht="15" customHeight="1" x14ac:dyDescent="0.25">
      <c r="B334" s="441" t="s">
        <v>537</v>
      </c>
      <c r="C334" s="426" t="s">
        <v>481</v>
      </c>
      <c r="D334" s="426"/>
      <c r="E334" s="426"/>
      <c r="F334" s="426"/>
      <c r="G334" s="426"/>
      <c r="H334" s="426"/>
      <c r="I334" s="426"/>
      <c r="J334" s="426"/>
      <c r="K334" s="426"/>
      <c r="L334" s="426"/>
      <c r="M334" s="426"/>
      <c r="N334" s="426"/>
      <c r="O334" s="443" t="s">
        <v>697</v>
      </c>
      <c r="P334" s="444"/>
      <c r="Q334" s="445"/>
      <c r="R334" s="13"/>
      <c r="S334" s="13"/>
      <c r="T334" s="13"/>
      <c r="U334" s="13"/>
      <c r="V334" s="13"/>
      <c r="W334" s="13"/>
    </row>
    <row r="335" spans="2:24" ht="15" customHeight="1" x14ac:dyDescent="0.25">
      <c r="B335" s="441"/>
      <c r="C335" s="426" t="s">
        <v>658</v>
      </c>
      <c r="D335" s="426"/>
      <c r="E335" s="426"/>
      <c r="F335" s="426" t="s">
        <v>490</v>
      </c>
      <c r="G335" s="426"/>
      <c r="H335" s="426"/>
      <c r="I335" s="426" t="s">
        <v>4</v>
      </c>
      <c r="J335" s="426"/>
      <c r="K335" s="426"/>
      <c r="L335" s="426" t="s">
        <v>6</v>
      </c>
      <c r="M335" s="426"/>
      <c r="N335" s="426"/>
      <c r="O335" s="446"/>
      <c r="P335" s="447"/>
      <c r="Q335" s="448"/>
      <c r="R335" s="13"/>
      <c r="S335" s="13"/>
      <c r="T335" s="13"/>
      <c r="U335" s="13"/>
      <c r="V335" s="13"/>
      <c r="W335" s="13"/>
    </row>
    <row r="336" spans="2:24" x14ac:dyDescent="0.25">
      <c r="B336" s="441"/>
      <c r="C336" s="161" t="s">
        <v>76</v>
      </c>
      <c r="D336" s="161" t="s">
        <v>77</v>
      </c>
      <c r="E336" s="161" t="s">
        <v>28</v>
      </c>
      <c r="F336" s="161" t="s">
        <v>76</v>
      </c>
      <c r="G336" s="161" t="s">
        <v>77</v>
      </c>
      <c r="H336" s="161" t="s">
        <v>28</v>
      </c>
      <c r="I336" s="161" t="s">
        <v>76</v>
      </c>
      <c r="J336" s="161" t="s">
        <v>77</v>
      </c>
      <c r="K336" s="161" t="s">
        <v>28</v>
      </c>
      <c r="L336" s="161" t="s">
        <v>76</v>
      </c>
      <c r="M336" s="161" t="s">
        <v>77</v>
      </c>
      <c r="N336" s="161" t="s">
        <v>28</v>
      </c>
      <c r="O336" s="244" t="s">
        <v>76</v>
      </c>
      <c r="P336" s="244" t="s">
        <v>77</v>
      </c>
      <c r="Q336" s="244" t="s">
        <v>28</v>
      </c>
      <c r="R336" s="13"/>
      <c r="S336" s="13"/>
      <c r="T336" s="13"/>
      <c r="U336" s="13"/>
      <c r="V336" s="13"/>
      <c r="W336" s="13"/>
    </row>
    <row r="337" spans="2:24" x14ac:dyDescent="0.25">
      <c r="B337" s="157" t="s">
        <v>273</v>
      </c>
      <c r="C337" s="276">
        <v>2</v>
      </c>
      <c r="D337" s="276">
        <v>4</v>
      </c>
      <c r="E337" s="276">
        <v>6</v>
      </c>
      <c r="F337" s="276">
        <v>6</v>
      </c>
      <c r="G337" s="276">
        <v>5</v>
      </c>
      <c r="H337" s="276">
        <v>11</v>
      </c>
      <c r="I337" s="276">
        <v>4</v>
      </c>
      <c r="J337" s="276">
        <v>3</v>
      </c>
      <c r="K337" s="276">
        <v>7</v>
      </c>
      <c r="L337" s="276">
        <v>2</v>
      </c>
      <c r="M337" s="276">
        <v>3</v>
      </c>
      <c r="N337" s="276">
        <v>5</v>
      </c>
      <c r="O337" s="312">
        <v>14</v>
      </c>
      <c r="P337" s="312">
        <v>15</v>
      </c>
      <c r="Q337" s="312">
        <v>29</v>
      </c>
      <c r="R337" s="13"/>
      <c r="S337" s="13"/>
      <c r="T337" s="13"/>
      <c r="U337" s="13"/>
      <c r="V337" s="13"/>
      <c r="W337" s="13"/>
      <c r="X337" s="13"/>
    </row>
    <row r="338" spans="2:24" x14ac:dyDescent="0.25">
      <c r="B338" s="136" t="s">
        <v>274</v>
      </c>
      <c r="C338" s="276">
        <v>2</v>
      </c>
      <c r="D338" s="276"/>
      <c r="E338" s="276">
        <v>2</v>
      </c>
      <c r="F338" s="276">
        <v>6</v>
      </c>
      <c r="G338" s="276">
        <v>7</v>
      </c>
      <c r="H338" s="276">
        <v>13</v>
      </c>
      <c r="I338" s="276">
        <v>2</v>
      </c>
      <c r="J338" s="276"/>
      <c r="K338" s="276">
        <v>2</v>
      </c>
      <c r="L338" s="276"/>
      <c r="M338" s="276">
        <v>1</v>
      </c>
      <c r="N338" s="276">
        <v>1</v>
      </c>
      <c r="O338" s="312">
        <v>10</v>
      </c>
      <c r="P338" s="312">
        <v>8</v>
      </c>
      <c r="Q338" s="312">
        <v>18</v>
      </c>
      <c r="R338" s="13"/>
      <c r="S338" s="13"/>
      <c r="T338" s="13"/>
      <c r="U338" s="13"/>
      <c r="V338" s="13"/>
      <c r="W338" s="13"/>
      <c r="X338" s="13"/>
    </row>
    <row r="339" spans="2:24" x14ac:dyDescent="0.25">
      <c r="B339" s="136" t="s">
        <v>275</v>
      </c>
      <c r="C339" s="276">
        <v>10</v>
      </c>
      <c r="D339" s="276">
        <v>13</v>
      </c>
      <c r="E339" s="276">
        <v>23</v>
      </c>
      <c r="F339" s="276">
        <v>47</v>
      </c>
      <c r="G339" s="276">
        <v>59</v>
      </c>
      <c r="H339" s="276">
        <v>106</v>
      </c>
      <c r="I339" s="276">
        <v>13</v>
      </c>
      <c r="J339" s="276">
        <v>3</v>
      </c>
      <c r="K339" s="276">
        <v>16</v>
      </c>
      <c r="L339" s="276">
        <v>4</v>
      </c>
      <c r="M339" s="276">
        <v>6</v>
      </c>
      <c r="N339" s="276">
        <v>10</v>
      </c>
      <c r="O339" s="312">
        <v>74</v>
      </c>
      <c r="P339" s="312">
        <v>81</v>
      </c>
      <c r="Q339" s="312">
        <v>155</v>
      </c>
      <c r="R339" s="13"/>
      <c r="S339" s="13"/>
      <c r="T339" s="13"/>
      <c r="U339" s="13"/>
      <c r="V339" s="13"/>
      <c r="W339" s="13"/>
      <c r="X339" s="13"/>
    </row>
    <row r="340" spans="2:24" x14ac:dyDescent="0.25">
      <c r="B340" s="136" t="s">
        <v>276</v>
      </c>
      <c r="C340" s="276">
        <v>8</v>
      </c>
      <c r="D340" s="276">
        <v>14</v>
      </c>
      <c r="E340" s="276">
        <v>22</v>
      </c>
      <c r="F340" s="276">
        <v>46</v>
      </c>
      <c r="G340" s="276">
        <v>45</v>
      </c>
      <c r="H340" s="276">
        <v>91</v>
      </c>
      <c r="I340" s="276">
        <v>19</v>
      </c>
      <c r="J340" s="276">
        <v>3</v>
      </c>
      <c r="K340" s="276">
        <v>22</v>
      </c>
      <c r="L340" s="276">
        <v>3</v>
      </c>
      <c r="M340" s="276">
        <v>7</v>
      </c>
      <c r="N340" s="276">
        <v>10</v>
      </c>
      <c r="O340" s="312">
        <v>76</v>
      </c>
      <c r="P340" s="312">
        <v>69</v>
      </c>
      <c r="Q340" s="312">
        <v>145</v>
      </c>
      <c r="R340" s="13"/>
      <c r="S340" s="13"/>
      <c r="T340" s="13"/>
      <c r="U340" s="13"/>
      <c r="V340" s="13"/>
      <c r="W340" s="13"/>
      <c r="X340" s="13"/>
    </row>
    <row r="341" spans="2:24" x14ac:dyDescent="0.25">
      <c r="B341" s="136" t="s">
        <v>500</v>
      </c>
      <c r="C341" s="276">
        <v>8</v>
      </c>
      <c r="D341" s="276">
        <v>13</v>
      </c>
      <c r="E341" s="276">
        <v>21</v>
      </c>
      <c r="F341" s="276">
        <v>58</v>
      </c>
      <c r="G341" s="276">
        <v>47</v>
      </c>
      <c r="H341" s="276">
        <v>105</v>
      </c>
      <c r="I341" s="276">
        <v>9</v>
      </c>
      <c r="J341" s="276">
        <v>10</v>
      </c>
      <c r="K341" s="276">
        <v>19</v>
      </c>
      <c r="L341" s="276">
        <v>4</v>
      </c>
      <c r="M341" s="276">
        <v>4</v>
      </c>
      <c r="N341" s="276">
        <v>8</v>
      </c>
      <c r="O341" s="312">
        <v>79</v>
      </c>
      <c r="P341" s="312">
        <v>74</v>
      </c>
      <c r="Q341" s="312">
        <v>153</v>
      </c>
      <c r="R341" s="13"/>
      <c r="S341" s="13"/>
      <c r="T341" s="13"/>
      <c r="U341" s="13"/>
      <c r="V341" s="13"/>
      <c r="W341" s="13"/>
      <c r="X341" s="13"/>
    </row>
    <row r="342" spans="2:24" x14ac:dyDescent="0.25">
      <c r="B342" s="136" t="s">
        <v>277</v>
      </c>
      <c r="C342" s="276">
        <v>34</v>
      </c>
      <c r="D342" s="276">
        <v>22</v>
      </c>
      <c r="E342" s="276">
        <v>56</v>
      </c>
      <c r="F342" s="276">
        <v>135</v>
      </c>
      <c r="G342" s="276">
        <v>108</v>
      </c>
      <c r="H342" s="276">
        <v>243</v>
      </c>
      <c r="I342" s="276">
        <v>26</v>
      </c>
      <c r="J342" s="276">
        <v>6</v>
      </c>
      <c r="K342" s="276">
        <v>32</v>
      </c>
      <c r="L342" s="276">
        <v>9</v>
      </c>
      <c r="M342" s="276">
        <v>17</v>
      </c>
      <c r="N342" s="276">
        <v>26</v>
      </c>
      <c r="O342" s="312">
        <v>204</v>
      </c>
      <c r="P342" s="312">
        <v>153</v>
      </c>
      <c r="Q342" s="312">
        <v>357</v>
      </c>
      <c r="R342" s="13"/>
      <c r="S342" s="13"/>
      <c r="T342" s="13"/>
      <c r="U342" s="13"/>
      <c r="V342" s="13"/>
      <c r="W342" s="13"/>
      <c r="X342" s="13"/>
    </row>
    <row r="343" spans="2:24" x14ac:dyDescent="0.25">
      <c r="B343" s="136" t="s">
        <v>278</v>
      </c>
      <c r="C343" s="276">
        <v>74</v>
      </c>
      <c r="D343" s="276">
        <v>58</v>
      </c>
      <c r="E343" s="276">
        <v>132</v>
      </c>
      <c r="F343" s="276">
        <v>496</v>
      </c>
      <c r="G343" s="276">
        <v>352</v>
      </c>
      <c r="H343" s="276">
        <v>848</v>
      </c>
      <c r="I343" s="276">
        <v>58</v>
      </c>
      <c r="J343" s="276">
        <v>20</v>
      </c>
      <c r="K343" s="276">
        <v>78</v>
      </c>
      <c r="L343" s="276">
        <v>18</v>
      </c>
      <c r="M343" s="276">
        <v>31</v>
      </c>
      <c r="N343" s="276">
        <v>49</v>
      </c>
      <c r="O343" s="312">
        <v>646</v>
      </c>
      <c r="P343" s="312">
        <v>461</v>
      </c>
      <c r="Q343" s="312">
        <v>1107</v>
      </c>
      <c r="R343" s="13"/>
      <c r="S343" s="13"/>
      <c r="T343" s="13"/>
      <c r="U343" s="13"/>
      <c r="V343" s="13"/>
      <c r="W343" s="13"/>
      <c r="X343" s="13"/>
    </row>
    <row r="344" spans="2:24" x14ac:dyDescent="0.25">
      <c r="B344" s="136" t="s">
        <v>279</v>
      </c>
      <c r="C344" s="276"/>
      <c r="D344" s="276">
        <v>1</v>
      </c>
      <c r="E344" s="276">
        <v>1</v>
      </c>
      <c r="F344" s="276">
        <v>9</v>
      </c>
      <c r="G344" s="276">
        <v>7</v>
      </c>
      <c r="H344" s="276">
        <v>16</v>
      </c>
      <c r="I344" s="276">
        <v>2</v>
      </c>
      <c r="J344" s="276">
        <v>3</v>
      </c>
      <c r="K344" s="276">
        <v>5</v>
      </c>
      <c r="L344" s="276"/>
      <c r="M344" s="276">
        <v>3</v>
      </c>
      <c r="N344" s="276">
        <v>3</v>
      </c>
      <c r="O344" s="312">
        <v>11</v>
      </c>
      <c r="P344" s="312">
        <v>14</v>
      </c>
      <c r="Q344" s="312">
        <v>25</v>
      </c>
      <c r="R344" s="13"/>
      <c r="S344" s="13"/>
      <c r="T344" s="13"/>
      <c r="U344" s="13"/>
      <c r="V344" s="13"/>
      <c r="W344" s="13"/>
      <c r="X344" s="13"/>
    </row>
    <row r="345" spans="2:24" x14ac:dyDescent="0.25">
      <c r="B345" s="136" t="s">
        <v>280</v>
      </c>
      <c r="C345" s="276">
        <v>28</v>
      </c>
      <c r="D345" s="276">
        <v>28</v>
      </c>
      <c r="E345" s="276">
        <v>56</v>
      </c>
      <c r="F345" s="276">
        <v>193</v>
      </c>
      <c r="G345" s="276">
        <v>175</v>
      </c>
      <c r="H345" s="276">
        <v>368</v>
      </c>
      <c r="I345" s="276">
        <v>47</v>
      </c>
      <c r="J345" s="276">
        <v>15</v>
      </c>
      <c r="K345" s="276">
        <v>62</v>
      </c>
      <c r="L345" s="276">
        <v>10</v>
      </c>
      <c r="M345" s="276">
        <v>13</v>
      </c>
      <c r="N345" s="276">
        <v>23</v>
      </c>
      <c r="O345" s="312">
        <v>278</v>
      </c>
      <c r="P345" s="312">
        <v>231</v>
      </c>
      <c r="Q345" s="312">
        <v>509</v>
      </c>
      <c r="R345" s="13"/>
      <c r="S345" s="13"/>
      <c r="T345" s="13"/>
      <c r="U345" s="13"/>
      <c r="V345" s="13"/>
      <c r="W345" s="13"/>
      <c r="X345" s="13"/>
    </row>
    <row r="346" spans="2:24" x14ac:dyDescent="0.25">
      <c r="B346" s="136" t="s">
        <v>281</v>
      </c>
      <c r="C346" s="276">
        <v>11</v>
      </c>
      <c r="D346" s="276">
        <v>7</v>
      </c>
      <c r="E346" s="276">
        <v>18</v>
      </c>
      <c r="F346" s="276">
        <v>75</v>
      </c>
      <c r="G346" s="276">
        <v>49</v>
      </c>
      <c r="H346" s="276">
        <v>124</v>
      </c>
      <c r="I346" s="276">
        <v>8</v>
      </c>
      <c r="J346" s="276">
        <v>5</v>
      </c>
      <c r="K346" s="276">
        <v>13</v>
      </c>
      <c r="L346" s="276">
        <v>3</v>
      </c>
      <c r="M346" s="276">
        <v>8</v>
      </c>
      <c r="N346" s="276">
        <v>11</v>
      </c>
      <c r="O346" s="312">
        <v>97</v>
      </c>
      <c r="P346" s="312">
        <v>69</v>
      </c>
      <c r="Q346" s="312">
        <v>166</v>
      </c>
      <c r="R346" s="13"/>
      <c r="S346" s="13"/>
      <c r="T346" s="13"/>
      <c r="U346" s="13"/>
      <c r="V346" s="13"/>
      <c r="W346" s="13"/>
      <c r="X346" s="13"/>
    </row>
    <row r="347" spans="2:24" x14ac:dyDescent="0.25">
      <c r="B347" s="136" t="s">
        <v>282</v>
      </c>
      <c r="C347" s="276">
        <v>3</v>
      </c>
      <c r="D347" s="276">
        <v>11</v>
      </c>
      <c r="E347" s="276">
        <v>14</v>
      </c>
      <c r="F347" s="276">
        <v>18</v>
      </c>
      <c r="G347" s="276">
        <v>21</v>
      </c>
      <c r="H347" s="276">
        <v>39</v>
      </c>
      <c r="I347" s="276">
        <v>7</v>
      </c>
      <c r="J347" s="276">
        <v>1</v>
      </c>
      <c r="K347" s="276">
        <v>8</v>
      </c>
      <c r="L347" s="276">
        <v>2</v>
      </c>
      <c r="M347" s="276">
        <v>4</v>
      </c>
      <c r="N347" s="276">
        <v>6</v>
      </c>
      <c r="O347" s="312">
        <v>30</v>
      </c>
      <c r="P347" s="312">
        <v>37</v>
      </c>
      <c r="Q347" s="312">
        <v>67</v>
      </c>
      <c r="R347" s="13"/>
      <c r="S347" s="13"/>
      <c r="T347" s="13"/>
      <c r="U347" s="13"/>
      <c r="V347" s="13"/>
      <c r="W347" s="13"/>
      <c r="X347" s="13"/>
    </row>
    <row r="348" spans="2:24" x14ac:dyDescent="0.25">
      <c r="B348" s="136" t="s">
        <v>283</v>
      </c>
      <c r="C348" s="276">
        <v>45</v>
      </c>
      <c r="D348" s="276">
        <v>17</v>
      </c>
      <c r="E348" s="276">
        <v>62</v>
      </c>
      <c r="F348" s="276">
        <v>156</v>
      </c>
      <c r="G348" s="276">
        <v>114</v>
      </c>
      <c r="H348" s="276">
        <v>270</v>
      </c>
      <c r="I348" s="276">
        <v>22</v>
      </c>
      <c r="J348" s="276">
        <v>6</v>
      </c>
      <c r="K348" s="276">
        <v>28</v>
      </c>
      <c r="L348" s="276">
        <v>9</v>
      </c>
      <c r="M348" s="276">
        <v>6</v>
      </c>
      <c r="N348" s="276">
        <v>15</v>
      </c>
      <c r="O348" s="312">
        <v>232</v>
      </c>
      <c r="P348" s="312">
        <v>143</v>
      </c>
      <c r="Q348" s="312">
        <v>375</v>
      </c>
      <c r="R348" s="13"/>
      <c r="S348" s="13"/>
      <c r="T348" s="13"/>
      <c r="U348" s="13"/>
      <c r="V348" s="13"/>
      <c r="W348" s="13"/>
      <c r="X348" s="13"/>
    </row>
    <row r="349" spans="2:24" x14ac:dyDescent="0.25">
      <c r="B349" s="136" t="s">
        <v>284</v>
      </c>
      <c r="C349" s="276">
        <v>10</v>
      </c>
      <c r="D349" s="276">
        <v>10</v>
      </c>
      <c r="E349" s="276">
        <v>20</v>
      </c>
      <c r="F349" s="276">
        <v>31</v>
      </c>
      <c r="G349" s="276">
        <v>43</v>
      </c>
      <c r="H349" s="276">
        <v>74</v>
      </c>
      <c r="I349" s="276">
        <v>23</v>
      </c>
      <c r="J349" s="276">
        <v>5</v>
      </c>
      <c r="K349" s="276">
        <v>28</v>
      </c>
      <c r="L349" s="276">
        <v>2</v>
      </c>
      <c r="M349" s="276">
        <v>3</v>
      </c>
      <c r="N349" s="276">
        <v>5</v>
      </c>
      <c r="O349" s="312">
        <v>66</v>
      </c>
      <c r="P349" s="312">
        <v>61</v>
      </c>
      <c r="Q349" s="312">
        <v>127</v>
      </c>
      <c r="R349" s="13"/>
      <c r="S349" s="13"/>
      <c r="T349" s="13"/>
      <c r="U349" s="13"/>
      <c r="V349" s="13"/>
      <c r="W349" s="13"/>
      <c r="X349" s="13"/>
    </row>
    <row r="350" spans="2:24" x14ac:dyDescent="0.25">
      <c r="B350" s="136" t="s">
        <v>285</v>
      </c>
      <c r="C350" s="276">
        <v>8</v>
      </c>
      <c r="D350" s="276">
        <v>9</v>
      </c>
      <c r="E350" s="276">
        <v>17</v>
      </c>
      <c r="F350" s="276">
        <v>41</v>
      </c>
      <c r="G350" s="276">
        <v>40</v>
      </c>
      <c r="H350" s="276">
        <v>81</v>
      </c>
      <c r="I350" s="276">
        <v>25</v>
      </c>
      <c r="J350" s="276">
        <v>7</v>
      </c>
      <c r="K350" s="276">
        <v>32</v>
      </c>
      <c r="L350" s="276">
        <v>3</v>
      </c>
      <c r="M350" s="276">
        <v>3</v>
      </c>
      <c r="N350" s="276">
        <v>6</v>
      </c>
      <c r="O350" s="312">
        <v>77</v>
      </c>
      <c r="P350" s="312">
        <v>59</v>
      </c>
      <c r="Q350" s="312">
        <v>136</v>
      </c>
      <c r="R350" s="13"/>
      <c r="S350" s="13"/>
      <c r="T350" s="13"/>
      <c r="U350" s="13"/>
      <c r="V350" s="13"/>
      <c r="W350" s="13"/>
      <c r="X350" s="13"/>
    </row>
    <row r="351" spans="2:24" x14ac:dyDescent="0.25">
      <c r="B351" s="136" t="s">
        <v>286</v>
      </c>
      <c r="C351" s="276">
        <v>14</v>
      </c>
      <c r="D351" s="276">
        <v>5</v>
      </c>
      <c r="E351" s="276">
        <v>19</v>
      </c>
      <c r="F351" s="276">
        <v>32</v>
      </c>
      <c r="G351" s="276">
        <v>30</v>
      </c>
      <c r="H351" s="276">
        <v>62</v>
      </c>
      <c r="I351" s="276">
        <v>16</v>
      </c>
      <c r="J351" s="276">
        <v>9</v>
      </c>
      <c r="K351" s="276">
        <v>25</v>
      </c>
      <c r="L351" s="276">
        <v>1</v>
      </c>
      <c r="M351" s="276">
        <v>1</v>
      </c>
      <c r="N351" s="276">
        <v>2</v>
      </c>
      <c r="O351" s="312">
        <v>63</v>
      </c>
      <c r="P351" s="312">
        <v>45</v>
      </c>
      <c r="Q351" s="312">
        <v>108</v>
      </c>
      <c r="R351" s="13"/>
      <c r="S351" s="13"/>
      <c r="T351" s="13"/>
      <c r="U351" s="13"/>
      <c r="V351" s="13"/>
      <c r="W351" s="13"/>
      <c r="X351" s="13"/>
    </row>
    <row r="352" spans="2:24" x14ac:dyDescent="0.25">
      <c r="B352" s="136" t="s">
        <v>287</v>
      </c>
      <c r="C352" s="276">
        <v>5</v>
      </c>
      <c r="D352" s="276">
        <v>9</v>
      </c>
      <c r="E352" s="276">
        <v>14</v>
      </c>
      <c r="F352" s="276">
        <v>28</v>
      </c>
      <c r="G352" s="276">
        <v>34</v>
      </c>
      <c r="H352" s="276">
        <v>62</v>
      </c>
      <c r="I352" s="276">
        <v>9</v>
      </c>
      <c r="J352" s="276">
        <v>8</v>
      </c>
      <c r="K352" s="276">
        <v>17</v>
      </c>
      <c r="L352" s="276">
        <v>2</v>
      </c>
      <c r="M352" s="276">
        <v>4</v>
      </c>
      <c r="N352" s="276">
        <v>6</v>
      </c>
      <c r="O352" s="312">
        <v>44</v>
      </c>
      <c r="P352" s="312">
        <v>55</v>
      </c>
      <c r="Q352" s="312">
        <v>99</v>
      </c>
      <c r="R352" s="13"/>
      <c r="S352" s="13"/>
      <c r="T352" s="13"/>
      <c r="U352" s="13"/>
      <c r="V352" s="13"/>
      <c r="W352" s="13"/>
      <c r="X352" s="13"/>
    </row>
    <row r="353" spans="2:24" x14ac:dyDescent="0.25">
      <c r="B353" s="136" t="s">
        <v>288</v>
      </c>
      <c r="C353" s="276">
        <v>91</v>
      </c>
      <c r="D353" s="276">
        <v>53</v>
      </c>
      <c r="E353" s="276">
        <v>144</v>
      </c>
      <c r="F353" s="276">
        <v>404</v>
      </c>
      <c r="G353" s="276">
        <v>320</v>
      </c>
      <c r="H353" s="276">
        <v>724</v>
      </c>
      <c r="I353" s="276">
        <v>114</v>
      </c>
      <c r="J353" s="276">
        <v>38</v>
      </c>
      <c r="K353" s="276">
        <v>152</v>
      </c>
      <c r="L353" s="276">
        <v>33</v>
      </c>
      <c r="M353" s="276">
        <v>36</v>
      </c>
      <c r="N353" s="276">
        <v>69</v>
      </c>
      <c r="O353" s="312">
        <v>642</v>
      </c>
      <c r="P353" s="312">
        <v>447</v>
      </c>
      <c r="Q353" s="312">
        <v>1089</v>
      </c>
      <c r="R353" s="13"/>
      <c r="S353" s="13"/>
      <c r="T353" s="13"/>
      <c r="U353" s="13"/>
      <c r="V353" s="13"/>
      <c r="W353" s="13"/>
      <c r="X353" s="13"/>
    </row>
    <row r="354" spans="2:24" x14ac:dyDescent="0.25">
      <c r="B354" s="136" t="s">
        <v>289</v>
      </c>
      <c r="C354" s="276">
        <v>12</v>
      </c>
      <c r="D354" s="276">
        <v>10</v>
      </c>
      <c r="E354" s="276">
        <v>22</v>
      </c>
      <c r="F354" s="276">
        <v>77</v>
      </c>
      <c r="G354" s="276">
        <v>74</v>
      </c>
      <c r="H354" s="276">
        <v>151</v>
      </c>
      <c r="I354" s="276">
        <v>19</v>
      </c>
      <c r="J354" s="276">
        <v>6</v>
      </c>
      <c r="K354" s="276">
        <v>25</v>
      </c>
      <c r="L354" s="276">
        <v>2</v>
      </c>
      <c r="M354" s="276">
        <v>8</v>
      </c>
      <c r="N354" s="276">
        <v>10</v>
      </c>
      <c r="O354" s="312">
        <v>110</v>
      </c>
      <c r="P354" s="312">
        <v>98</v>
      </c>
      <c r="Q354" s="312">
        <v>208</v>
      </c>
      <c r="R354" s="13"/>
      <c r="S354" s="13"/>
      <c r="T354" s="13"/>
      <c r="U354" s="13"/>
      <c r="V354" s="13"/>
      <c r="W354" s="13"/>
      <c r="X354" s="13"/>
    </row>
    <row r="355" spans="2:24" x14ac:dyDescent="0.25">
      <c r="B355" s="136" t="s">
        <v>290</v>
      </c>
      <c r="C355" s="276">
        <v>8</v>
      </c>
      <c r="D355" s="276">
        <v>14</v>
      </c>
      <c r="E355" s="276">
        <v>22</v>
      </c>
      <c r="F355" s="276">
        <v>53</v>
      </c>
      <c r="G355" s="276">
        <v>45</v>
      </c>
      <c r="H355" s="276">
        <v>98</v>
      </c>
      <c r="I355" s="276">
        <v>33</v>
      </c>
      <c r="J355" s="276">
        <v>6</v>
      </c>
      <c r="K355" s="276">
        <v>39</v>
      </c>
      <c r="L355" s="276">
        <v>3</v>
      </c>
      <c r="M355" s="276">
        <v>5</v>
      </c>
      <c r="N355" s="276">
        <v>8</v>
      </c>
      <c r="O355" s="312">
        <v>97</v>
      </c>
      <c r="P355" s="312">
        <v>70</v>
      </c>
      <c r="Q355" s="312">
        <v>167</v>
      </c>
      <c r="R355" s="13"/>
      <c r="S355" s="13"/>
      <c r="T355" s="13"/>
      <c r="U355" s="13"/>
      <c r="V355" s="13"/>
      <c r="W355" s="13"/>
      <c r="X355" s="13"/>
    </row>
    <row r="356" spans="2:24" x14ac:dyDescent="0.25">
      <c r="B356" s="136" t="s">
        <v>291</v>
      </c>
      <c r="C356" s="276">
        <v>9</v>
      </c>
      <c r="D356" s="276">
        <v>8</v>
      </c>
      <c r="E356" s="276">
        <v>17</v>
      </c>
      <c r="F356" s="276">
        <v>39</v>
      </c>
      <c r="G356" s="276">
        <v>41</v>
      </c>
      <c r="H356" s="276">
        <v>80</v>
      </c>
      <c r="I356" s="276">
        <v>24</v>
      </c>
      <c r="J356" s="276">
        <v>12</v>
      </c>
      <c r="K356" s="276">
        <v>36</v>
      </c>
      <c r="L356" s="276">
        <v>3</v>
      </c>
      <c r="M356" s="276">
        <v>5</v>
      </c>
      <c r="N356" s="276">
        <v>8</v>
      </c>
      <c r="O356" s="312">
        <v>75</v>
      </c>
      <c r="P356" s="312">
        <v>66</v>
      </c>
      <c r="Q356" s="312">
        <v>141</v>
      </c>
      <c r="R356" s="13"/>
      <c r="S356" s="13"/>
      <c r="T356" s="13"/>
      <c r="U356" s="13"/>
      <c r="V356" s="13"/>
      <c r="W356" s="13"/>
      <c r="X356" s="13"/>
    </row>
    <row r="357" spans="2:24" x14ac:dyDescent="0.25">
      <c r="B357" s="136" t="s">
        <v>292</v>
      </c>
      <c r="C357" s="276">
        <v>1</v>
      </c>
      <c r="D357" s="276"/>
      <c r="E357" s="276">
        <v>1</v>
      </c>
      <c r="F357" s="276">
        <v>18</v>
      </c>
      <c r="G357" s="276">
        <v>16</v>
      </c>
      <c r="H357" s="276">
        <v>34</v>
      </c>
      <c r="I357" s="276">
        <v>7</v>
      </c>
      <c r="J357" s="276">
        <v>3</v>
      </c>
      <c r="K357" s="276">
        <v>10</v>
      </c>
      <c r="L357" s="276">
        <v>2</v>
      </c>
      <c r="M357" s="276">
        <v>4</v>
      </c>
      <c r="N357" s="276">
        <v>6</v>
      </c>
      <c r="O357" s="312">
        <v>28</v>
      </c>
      <c r="P357" s="312">
        <v>23</v>
      </c>
      <c r="Q357" s="312">
        <v>51</v>
      </c>
      <c r="R357" s="13"/>
      <c r="S357" s="13"/>
      <c r="T357" s="13"/>
      <c r="U357" s="13"/>
      <c r="V357" s="13"/>
      <c r="W357" s="13"/>
      <c r="X357" s="13"/>
    </row>
    <row r="358" spans="2:24" x14ac:dyDescent="0.25">
      <c r="B358" s="136" t="s">
        <v>293</v>
      </c>
      <c r="C358" s="276">
        <v>22</v>
      </c>
      <c r="D358" s="276">
        <v>10</v>
      </c>
      <c r="E358" s="276">
        <v>32</v>
      </c>
      <c r="F358" s="276">
        <v>91</v>
      </c>
      <c r="G358" s="276">
        <v>81</v>
      </c>
      <c r="H358" s="276">
        <v>172</v>
      </c>
      <c r="I358" s="276">
        <v>23</v>
      </c>
      <c r="J358" s="276">
        <v>8</v>
      </c>
      <c r="K358" s="276">
        <v>31</v>
      </c>
      <c r="L358" s="276">
        <v>2</v>
      </c>
      <c r="M358" s="276">
        <v>4</v>
      </c>
      <c r="N358" s="276">
        <v>6</v>
      </c>
      <c r="O358" s="312">
        <v>138</v>
      </c>
      <c r="P358" s="312">
        <v>103</v>
      </c>
      <c r="Q358" s="312">
        <v>241</v>
      </c>
      <c r="R358" s="13"/>
      <c r="S358" s="13"/>
      <c r="T358" s="13"/>
      <c r="U358" s="13"/>
      <c r="V358" s="13"/>
      <c r="W358" s="13"/>
      <c r="X358" s="13"/>
    </row>
    <row r="359" spans="2:24" x14ac:dyDescent="0.25">
      <c r="B359" s="136" t="s">
        <v>294</v>
      </c>
      <c r="C359" s="276">
        <v>4</v>
      </c>
      <c r="D359" s="276">
        <v>1</v>
      </c>
      <c r="E359" s="276">
        <v>5</v>
      </c>
      <c r="F359" s="276">
        <v>9</v>
      </c>
      <c r="G359" s="276">
        <v>12</v>
      </c>
      <c r="H359" s="276">
        <v>21</v>
      </c>
      <c r="I359" s="276">
        <v>1</v>
      </c>
      <c r="J359" s="276">
        <v>1</v>
      </c>
      <c r="K359" s="276">
        <v>2</v>
      </c>
      <c r="L359" s="276"/>
      <c r="M359" s="276"/>
      <c r="N359" s="276"/>
      <c r="O359" s="312">
        <v>14</v>
      </c>
      <c r="P359" s="312">
        <v>14</v>
      </c>
      <c r="Q359" s="312">
        <v>28</v>
      </c>
      <c r="R359" s="13"/>
      <c r="S359" s="13"/>
      <c r="T359" s="13"/>
      <c r="U359" s="13"/>
      <c r="V359" s="13"/>
      <c r="W359" s="13"/>
      <c r="X359" s="13"/>
    </row>
    <row r="360" spans="2:24" x14ac:dyDescent="0.25">
      <c r="B360" s="136" t="s">
        <v>295</v>
      </c>
      <c r="C360" s="276">
        <v>8</v>
      </c>
      <c r="D360" s="276">
        <v>3</v>
      </c>
      <c r="E360" s="276">
        <v>11</v>
      </c>
      <c r="F360" s="276">
        <v>18</v>
      </c>
      <c r="G360" s="276">
        <v>13</v>
      </c>
      <c r="H360" s="276">
        <v>31</v>
      </c>
      <c r="I360" s="276">
        <v>2</v>
      </c>
      <c r="J360" s="276">
        <v>3</v>
      </c>
      <c r="K360" s="276">
        <v>5</v>
      </c>
      <c r="L360" s="276">
        <v>2</v>
      </c>
      <c r="M360" s="276">
        <v>1</v>
      </c>
      <c r="N360" s="276">
        <v>3</v>
      </c>
      <c r="O360" s="312">
        <v>30</v>
      </c>
      <c r="P360" s="312">
        <v>20</v>
      </c>
      <c r="Q360" s="312">
        <v>50</v>
      </c>
      <c r="R360" s="13"/>
      <c r="S360" s="13"/>
      <c r="T360" s="13"/>
      <c r="U360" s="13"/>
      <c r="V360" s="13"/>
      <c r="W360" s="13"/>
      <c r="X360" s="13"/>
    </row>
    <row r="361" spans="2:24" x14ac:dyDescent="0.25">
      <c r="B361" s="136" t="s">
        <v>296</v>
      </c>
      <c r="C361" s="276">
        <v>44</v>
      </c>
      <c r="D361" s="276">
        <v>23</v>
      </c>
      <c r="E361" s="276">
        <v>67</v>
      </c>
      <c r="F361" s="276">
        <v>203</v>
      </c>
      <c r="G361" s="276">
        <v>145</v>
      </c>
      <c r="H361" s="276">
        <v>348</v>
      </c>
      <c r="I361" s="276">
        <v>40</v>
      </c>
      <c r="J361" s="276">
        <v>15</v>
      </c>
      <c r="K361" s="276">
        <v>55</v>
      </c>
      <c r="L361" s="276">
        <v>16</v>
      </c>
      <c r="M361" s="276">
        <v>11</v>
      </c>
      <c r="N361" s="276">
        <v>27</v>
      </c>
      <c r="O361" s="312">
        <v>303</v>
      </c>
      <c r="P361" s="312">
        <v>194</v>
      </c>
      <c r="Q361" s="312">
        <v>497</v>
      </c>
      <c r="R361" s="13"/>
      <c r="S361" s="13"/>
      <c r="T361" s="13"/>
      <c r="U361" s="13"/>
      <c r="V361" s="13"/>
      <c r="W361" s="13"/>
      <c r="X361" s="13"/>
    </row>
    <row r="362" spans="2:24" x14ac:dyDescent="0.25">
      <c r="B362" s="136" t="s">
        <v>297</v>
      </c>
      <c r="C362" s="276">
        <v>1</v>
      </c>
      <c r="D362" s="276">
        <v>2</v>
      </c>
      <c r="E362" s="276">
        <v>3</v>
      </c>
      <c r="F362" s="276">
        <v>6</v>
      </c>
      <c r="G362" s="276">
        <v>12</v>
      </c>
      <c r="H362" s="276">
        <v>18</v>
      </c>
      <c r="I362" s="276">
        <v>4</v>
      </c>
      <c r="J362" s="276">
        <v>1</v>
      </c>
      <c r="K362" s="276">
        <v>5</v>
      </c>
      <c r="L362" s="276"/>
      <c r="M362" s="276">
        <v>1</v>
      </c>
      <c r="N362" s="276">
        <v>1</v>
      </c>
      <c r="O362" s="312">
        <v>11</v>
      </c>
      <c r="P362" s="312">
        <v>16</v>
      </c>
      <c r="Q362" s="312">
        <v>27</v>
      </c>
      <c r="R362" s="13"/>
      <c r="S362" s="13"/>
      <c r="T362" s="13"/>
      <c r="U362" s="13"/>
      <c r="V362" s="13"/>
      <c r="W362" s="13"/>
      <c r="X362" s="13"/>
    </row>
    <row r="363" spans="2:24" x14ac:dyDescent="0.25">
      <c r="B363" s="136" t="s">
        <v>298</v>
      </c>
      <c r="C363" s="276">
        <v>5</v>
      </c>
      <c r="D363" s="276">
        <v>3</v>
      </c>
      <c r="E363" s="276">
        <v>8</v>
      </c>
      <c r="F363" s="276">
        <v>27</v>
      </c>
      <c r="G363" s="276">
        <v>17</v>
      </c>
      <c r="H363" s="276">
        <v>44</v>
      </c>
      <c r="I363" s="276">
        <v>8</v>
      </c>
      <c r="J363" s="276">
        <v>1</v>
      </c>
      <c r="K363" s="276">
        <v>9</v>
      </c>
      <c r="L363" s="276">
        <v>2</v>
      </c>
      <c r="M363" s="276">
        <v>1</v>
      </c>
      <c r="N363" s="276">
        <v>3</v>
      </c>
      <c r="O363" s="312">
        <v>42</v>
      </c>
      <c r="P363" s="312">
        <v>22</v>
      </c>
      <c r="Q363" s="312">
        <v>64</v>
      </c>
      <c r="R363" s="13"/>
      <c r="S363" s="13"/>
      <c r="T363" s="13"/>
      <c r="U363" s="13"/>
      <c r="V363" s="13"/>
      <c r="W363" s="13"/>
      <c r="X363" s="13"/>
    </row>
    <row r="364" spans="2:24" x14ac:dyDescent="0.25">
      <c r="B364" s="136" t="s">
        <v>299</v>
      </c>
      <c r="C364" s="276">
        <v>6</v>
      </c>
      <c r="D364" s="276">
        <v>7</v>
      </c>
      <c r="E364" s="276">
        <v>13</v>
      </c>
      <c r="F364" s="276">
        <v>27</v>
      </c>
      <c r="G364" s="276">
        <v>19</v>
      </c>
      <c r="H364" s="276">
        <v>46</v>
      </c>
      <c r="I364" s="276">
        <v>12</v>
      </c>
      <c r="J364" s="276">
        <v>2</v>
      </c>
      <c r="K364" s="276">
        <v>14</v>
      </c>
      <c r="L364" s="276">
        <v>1</v>
      </c>
      <c r="M364" s="276">
        <v>4</v>
      </c>
      <c r="N364" s="276">
        <v>5</v>
      </c>
      <c r="O364" s="312">
        <v>46</v>
      </c>
      <c r="P364" s="312">
        <v>32</v>
      </c>
      <c r="Q364" s="312">
        <v>78</v>
      </c>
      <c r="R364" s="13"/>
      <c r="S364" s="13"/>
      <c r="T364" s="13"/>
      <c r="U364" s="13"/>
      <c r="V364" s="13"/>
      <c r="W364" s="13"/>
      <c r="X364" s="13"/>
    </row>
    <row r="365" spans="2:24" x14ac:dyDescent="0.25">
      <c r="B365" s="136" t="s">
        <v>300</v>
      </c>
      <c r="C365" s="276">
        <v>53</v>
      </c>
      <c r="D365" s="276">
        <v>33</v>
      </c>
      <c r="E365" s="276">
        <v>86</v>
      </c>
      <c r="F365" s="276">
        <v>306</v>
      </c>
      <c r="G365" s="276">
        <v>270</v>
      </c>
      <c r="H365" s="276">
        <v>576</v>
      </c>
      <c r="I365" s="276">
        <v>50</v>
      </c>
      <c r="J365" s="276">
        <v>23</v>
      </c>
      <c r="K365" s="276">
        <v>73</v>
      </c>
      <c r="L365" s="276">
        <v>9</v>
      </c>
      <c r="M365" s="276">
        <v>19</v>
      </c>
      <c r="N365" s="276">
        <v>28</v>
      </c>
      <c r="O365" s="312">
        <v>418</v>
      </c>
      <c r="P365" s="312">
        <v>345</v>
      </c>
      <c r="Q365" s="312">
        <v>763</v>
      </c>
      <c r="R365" s="13"/>
      <c r="S365" s="13"/>
      <c r="T365" s="13"/>
      <c r="U365" s="13"/>
      <c r="V365" s="13"/>
      <c r="W365" s="13"/>
      <c r="X365" s="13"/>
    </row>
    <row r="366" spans="2:24" x14ac:dyDescent="0.25">
      <c r="B366" s="136" t="s">
        <v>301</v>
      </c>
      <c r="C366" s="276">
        <v>2</v>
      </c>
      <c r="D366" s="276"/>
      <c r="E366" s="276">
        <v>2</v>
      </c>
      <c r="F366" s="276">
        <v>6</v>
      </c>
      <c r="G366" s="276">
        <v>12</v>
      </c>
      <c r="H366" s="276">
        <v>18</v>
      </c>
      <c r="I366" s="276">
        <v>3</v>
      </c>
      <c r="J366" s="276">
        <v>1</v>
      </c>
      <c r="K366" s="276">
        <v>4</v>
      </c>
      <c r="L366" s="276">
        <v>1</v>
      </c>
      <c r="M366" s="276">
        <v>1</v>
      </c>
      <c r="N366" s="276">
        <v>2</v>
      </c>
      <c r="O366" s="312">
        <v>12</v>
      </c>
      <c r="P366" s="312">
        <v>14</v>
      </c>
      <c r="Q366" s="312">
        <v>26</v>
      </c>
      <c r="R366" s="13"/>
      <c r="S366" s="13"/>
      <c r="T366" s="13"/>
      <c r="U366" s="13"/>
      <c r="V366" s="13"/>
      <c r="W366" s="13"/>
      <c r="X366" s="13"/>
    </row>
    <row r="367" spans="2:24" x14ac:dyDescent="0.25">
      <c r="B367" s="136" t="s">
        <v>302</v>
      </c>
      <c r="C367" s="276">
        <v>37</v>
      </c>
      <c r="D367" s="276">
        <v>16</v>
      </c>
      <c r="E367" s="276">
        <v>53</v>
      </c>
      <c r="F367" s="276">
        <v>115</v>
      </c>
      <c r="G367" s="276">
        <v>90</v>
      </c>
      <c r="H367" s="276">
        <v>205</v>
      </c>
      <c r="I367" s="276">
        <v>17</v>
      </c>
      <c r="J367" s="276">
        <v>17</v>
      </c>
      <c r="K367" s="276">
        <v>34</v>
      </c>
      <c r="L367" s="276">
        <v>3</v>
      </c>
      <c r="M367" s="276">
        <v>8</v>
      </c>
      <c r="N367" s="276">
        <v>11</v>
      </c>
      <c r="O367" s="312">
        <v>172</v>
      </c>
      <c r="P367" s="312">
        <v>131</v>
      </c>
      <c r="Q367" s="312">
        <v>303</v>
      </c>
      <c r="R367" s="13"/>
      <c r="S367" s="13"/>
      <c r="T367" s="13"/>
      <c r="U367" s="13"/>
      <c r="V367" s="13"/>
      <c r="W367" s="13"/>
      <c r="X367" s="13"/>
    </row>
    <row r="368" spans="2:24" x14ac:dyDescent="0.25">
      <c r="B368" s="156" t="s">
        <v>303</v>
      </c>
      <c r="C368" s="279">
        <v>4</v>
      </c>
      <c r="D368" s="279">
        <v>7</v>
      </c>
      <c r="E368" s="279">
        <v>11</v>
      </c>
      <c r="F368" s="279">
        <v>35</v>
      </c>
      <c r="G368" s="279">
        <v>20</v>
      </c>
      <c r="H368" s="279">
        <v>55</v>
      </c>
      <c r="I368" s="279">
        <v>4</v>
      </c>
      <c r="J368" s="279">
        <v>1</v>
      </c>
      <c r="K368" s="279">
        <v>5</v>
      </c>
      <c r="L368" s="279">
        <v>2</v>
      </c>
      <c r="M368" s="279">
        <v>1</v>
      </c>
      <c r="N368" s="279">
        <v>3</v>
      </c>
      <c r="O368" s="312">
        <v>45</v>
      </c>
      <c r="P368" s="312">
        <v>29</v>
      </c>
      <c r="Q368" s="312">
        <v>74</v>
      </c>
      <c r="R368" s="13"/>
      <c r="S368" s="13"/>
      <c r="T368" s="13"/>
      <c r="U368" s="13"/>
      <c r="V368" s="13"/>
      <c r="W368" s="13"/>
      <c r="X368" s="13"/>
    </row>
    <row r="369" spans="2:24" x14ac:dyDescent="0.25">
      <c r="B369" s="159" t="s">
        <v>304</v>
      </c>
      <c r="C369" s="277">
        <v>11</v>
      </c>
      <c r="D369" s="277">
        <v>11</v>
      </c>
      <c r="E369" s="277">
        <v>22</v>
      </c>
      <c r="F369" s="277">
        <v>48</v>
      </c>
      <c r="G369" s="277">
        <v>43</v>
      </c>
      <c r="H369" s="277">
        <v>91</v>
      </c>
      <c r="I369" s="277">
        <v>24</v>
      </c>
      <c r="J369" s="277">
        <v>9</v>
      </c>
      <c r="K369" s="277">
        <v>33</v>
      </c>
      <c r="L369" s="277"/>
      <c r="M369" s="277">
        <v>5</v>
      </c>
      <c r="N369" s="277">
        <v>5</v>
      </c>
      <c r="O369" s="312">
        <v>83</v>
      </c>
      <c r="P369" s="312">
        <v>68</v>
      </c>
      <c r="Q369" s="312">
        <v>151</v>
      </c>
      <c r="R369" s="13"/>
      <c r="S369" s="13"/>
      <c r="T369" s="13"/>
      <c r="U369" s="13"/>
      <c r="V369" s="13"/>
      <c r="W369" s="13"/>
      <c r="X369" s="13"/>
    </row>
    <row r="370" spans="2:24" x14ac:dyDescent="0.25">
      <c r="B370" s="311" t="s">
        <v>28</v>
      </c>
      <c r="C370" s="271">
        <v>580</v>
      </c>
      <c r="D370" s="271">
        <v>422</v>
      </c>
      <c r="E370" s="271">
        <v>1002</v>
      </c>
      <c r="F370" s="271">
        <v>2859</v>
      </c>
      <c r="G370" s="271">
        <v>2366</v>
      </c>
      <c r="H370" s="269">
        <v>5225</v>
      </c>
      <c r="I370" s="271">
        <v>675</v>
      </c>
      <c r="J370" s="269">
        <v>251</v>
      </c>
      <c r="K370" s="271">
        <v>926</v>
      </c>
      <c r="L370" s="269">
        <v>153</v>
      </c>
      <c r="M370" s="271">
        <v>228</v>
      </c>
      <c r="N370" s="269">
        <v>381</v>
      </c>
      <c r="O370" s="312">
        <v>4267</v>
      </c>
      <c r="P370" s="312">
        <v>3267</v>
      </c>
      <c r="Q370" s="312">
        <v>7534</v>
      </c>
      <c r="R370" s="13"/>
      <c r="S370" s="13"/>
      <c r="T370" s="13"/>
      <c r="U370" s="13"/>
      <c r="V370" s="13"/>
      <c r="W370" s="13"/>
      <c r="X370" s="13"/>
    </row>
    <row r="371" spans="2:24" ht="111.75" customHeight="1" x14ac:dyDescent="0.25">
      <c r="B371" s="442" t="s">
        <v>814</v>
      </c>
      <c r="C371" s="442"/>
      <c r="D371" s="442"/>
      <c r="E371" s="442"/>
      <c r="F371" s="442"/>
      <c r="G371" s="442"/>
      <c r="H371" s="442"/>
      <c r="I371" s="442"/>
      <c r="J371" s="442"/>
      <c r="K371" s="442"/>
      <c r="L371" s="442"/>
      <c r="M371" s="442"/>
      <c r="N371" s="442"/>
      <c r="O371" s="442"/>
      <c r="P371" s="442"/>
      <c r="Q371" s="442"/>
      <c r="R371" s="13"/>
      <c r="S371" s="13"/>
      <c r="T371" s="13"/>
      <c r="U371" s="13"/>
      <c r="V371" s="13"/>
      <c r="W371" s="13"/>
    </row>
    <row r="372" spans="2:24" x14ac:dyDescent="0.25">
      <c r="B372" s="158"/>
      <c r="C372" s="158"/>
      <c r="D372" s="158"/>
      <c r="E372"/>
      <c r="F372"/>
      <c r="G372"/>
      <c r="H372" s="13"/>
      <c r="I372" s="13"/>
      <c r="J372" s="13"/>
      <c r="K372" s="13"/>
      <c r="L372" s="13"/>
      <c r="M372" s="13"/>
      <c r="N372" s="13"/>
      <c r="O372" s="13"/>
      <c r="P372" s="13"/>
      <c r="Q372" s="13"/>
      <c r="R372" s="13"/>
      <c r="S372" s="13"/>
      <c r="T372" s="13"/>
      <c r="U372" s="13"/>
      <c r="V372" s="13"/>
      <c r="W372" s="13"/>
    </row>
    <row r="373" spans="2:24" x14ac:dyDescent="0.25">
      <c r="B373" s="187" t="s">
        <v>518</v>
      </c>
      <c r="C373"/>
      <c r="D373"/>
      <c r="E373"/>
      <c r="F373"/>
      <c r="G373"/>
      <c r="H373" s="13"/>
      <c r="I373" s="13"/>
      <c r="J373" s="13"/>
      <c r="K373" s="13"/>
      <c r="L373" s="13"/>
      <c r="M373" s="13"/>
      <c r="N373" s="13"/>
      <c r="O373" s="13"/>
      <c r="P373" s="13"/>
      <c r="Q373" s="13"/>
      <c r="R373" s="13"/>
      <c r="S373" s="13"/>
      <c r="T373" s="13"/>
      <c r="U373" s="13"/>
      <c r="V373" s="13"/>
      <c r="W373" s="13"/>
    </row>
    <row r="374" spans="2:24" x14ac:dyDescent="0.25">
      <c r="B374" s="187"/>
      <c r="C374"/>
      <c r="D374"/>
      <c r="E374"/>
      <c r="F374"/>
      <c r="G374"/>
      <c r="H374" s="13"/>
      <c r="I374" s="13"/>
      <c r="J374" s="13"/>
      <c r="K374" s="13"/>
      <c r="L374" s="13"/>
      <c r="M374" s="13"/>
      <c r="N374" s="13"/>
      <c r="O374" s="13"/>
      <c r="P374" s="13"/>
      <c r="Q374" s="13"/>
      <c r="R374" s="13"/>
      <c r="S374" s="13"/>
      <c r="T374" s="13"/>
      <c r="U374" s="13"/>
      <c r="V374" s="13"/>
      <c r="W374" s="13"/>
    </row>
    <row r="375" spans="2:24" ht="15" customHeight="1" x14ac:dyDescent="0.25">
      <c r="B375" s="441" t="s">
        <v>537</v>
      </c>
      <c r="C375" s="426" t="s">
        <v>481</v>
      </c>
      <c r="D375" s="426"/>
      <c r="E375" s="426"/>
      <c r="F375" s="426"/>
      <c r="G375" s="426"/>
      <c r="H375" s="426"/>
      <c r="I375" s="426"/>
      <c r="J375" s="426"/>
      <c r="K375" s="426"/>
      <c r="L375" s="426"/>
      <c r="M375" s="426"/>
      <c r="N375" s="426"/>
      <c r="O375" s="443" t="s">
        <v>697</v>
      </c>
      <c r="P375" s="444"/>
      <c r="Q375" s="445"/>
      <c r="R375" s="13"/>
      <c r="S375" s="13"/>
      <c r="T375" s="13"/>
      <c r="U375" s="13"/>
      <c r="V375" s="13"/>
      <c r="W375" s="13"/>
    </row>
    <row r="376" spans="2:24" ht="15" customHeight="1" x14ac:dyDescent="0.25">
      <c r="B376" s="441"/>
      <c r="C376" s="426" t="s">
        <v>658</v>
      </c>
      <c r="D376" s="426"/>
      <c r="E376" s="426"/>
      <c r="F376" s="426" t="s">
        <v>490</v>
      </c>
      <c r="G376" s="426"/>
      <c r="H376" s="426"/>
      <c r="I376" s="426" t="s">
        <v>4</v>
      </c>
      <c r="J376" s="426"/>
      <c r="K376" s="426"/>
      <c r="L376" s="426" t="s">
        <v>6</v>
      </c>
      <c r="M376" s="426"/>
      <c r="N376" s="426"/>
      <c r="O376" s="446"/>
      <c r="P376" s="447"/>
      <c r="Q376" s="448"/>
      <c r="R376" s="13"/>
      <c r="S376" s="13"/>
      <c r="T376" s="13"/>
      <c r="U376" s="13"/>
      <c r="V376" s="13"/>
      <c r="W376" s="13"/>
    </row>
    <row r="377" spans="2:24" x14ac:dyDescent="0.25">
      <c r="B377" s="441"/>
      <c r="C377" s="161" t="s">
        <v>76</v>
      </c>
      <c r="D377" s="161" t="s">
        <v>77</v>
      </c>
      <c r="E377" s="161" t="s">
        <v>28</v>
      </c>
      <c r="F377" s="161" t="s">
        <v>76</v>
      </c>
      <c r="G377" s="161" t="s">
        <v>77</v>
      </c>
      <c r="H377" s="161" t="s">
        <v>28</v>
      </c>
      <c r="I377" s="161" t="s">
        <v>76</v>
      </c>
      <c r="J377" s="161" t="s">
        <v>77</v>
      </c>
      <c r="K377" s="161" t="s">
        <v>28</v>
      </c>
      <c r="L377" s="161" t="s">
        <v>76</v>
      </c>
      <c r="M377" s="161" t="s">
        <v>77</v>
      </c>
      <c r="N377" s="161" t="s">
        <v>28</v>
      </c>
      <c r="O377" s="244" t="s">
        <v>76</v>
      </c>
      <c r="P377" s="244" t="s">
        <v>77</v>
      </c>
      <c r="Q377" s="244" t="s">
        <v>28</v>
      </c>
      <c r="R377" s="13"/>
      <c r="S377" s="13"/>
      <c r="T377" s="13"/>
      <c r="U377" s="13"/>
      <c r="V377" s="13"/>
      <c r="W377" s="13"/>
    </row>
    <row r="378" spans="2:24" x14ac:dyDescent="0.25">
      <c r="B378" s="157" t="s">
        <v>305</v>
      </c>
      <c r="C378" s="278">
        <v>21</v>
      </c>
      <c r="D378" s="278">
        <v>16</v>
      </c>
      <c r="E378" s="278">
        <v>37</v>
      </c>
      <c r="F378" s="278">
        <v>84</v>
      </c>
      <c r="G378" s="278">
        <v>68</v>
      </c>
      <c r="H378" s="278">
        <v>152</v>
      </c>
      <c r="I378" s="278">
        <v>16</v>
      </c>
      <c r="J378" s="278">
        <v>6</v>
      </c>
      <c r="K378" s="278">
        <v>22</v>
      </c>
      <c r="L378" s="278">
        <v>4</v>
      </c>
      <c r="M378" s="278">
        <v>2</v>
      </c>
      <c r="N378" s="278">
        <v>6</v>
      </c>
      <c r="O378" s="312">
        <v>125</v>
      </c>
      <c r="P378" s="312">
        <v>92</v>
      </c>
      <c r="Q378" s="312">
        <v>217</v>
      </c>
      <c r="R378" s="13"/>
      <c r="S378" s="13"/>
      <c r="T378" s="13"/>
      <c r="U378" s="13"/>
      <c r="V378" s="13"/>
      <c r="W378" s="13"/>
      <c r="X378" s="13"/>
    </row>
    <row r="379" spans="2:24" x14ac:dyDescent="0.25">
      <c r="B379" s="136" t="s">
        <v>306</v>
      </c>
      <c r="C379" s="276">
        <v>6</v>
      </c>
      <c r="D379" s="276">
        <v>13</v>
      </c>
      <c r="E379" s="276">
        <v>19</v>
      </c>
      <c r="F379" s="276">
        <v>45</v>
      </c>
      <c r="G379" s="276">
        <v>34</v>
      </c>
      <c r="H379" s="276">
        <v>79</v>
      </c>
      <c r="I379" s="276">
        <v>17</v>
      </c>
      <c r="J379" s="276">
        <v>8</v>
      </c>
      <c r="K379" s="276">
        <v>25</v>
      </c>
      <c r="L379" s="276">
        <v>2</v>
      </c>
      <c r="M379" s="276">
        <v>7</v>
      </c>
      <c r="N379" s="276">
        <v>9</v>
      </c>
      <c r="O379" s="312">
        <v>70</v>
      </c>
      <c r="P379" s="312">
        <v>62</v>
      </c>
      <c r="Q379" s="312">
        <v>132</v>
      </c>
      <c r="R379" s="13"/>
      <c r="S379" s="13"/>
      <c r="T379" s="13"/>
      <c r="U379" s="13"/>
      <c r="V379" s="13"/>
      <c r="W379" s="13"/>
      <c r="X379" s="13"/>
    </row>
    <row r="380" spans="2:24" x14ac:dyDescent="0.25">
      <c r="B380" s="136" t="s">
        <v>307</v>
      </c>
      <c r="C380" s="276">
        <v>4</v>
      </c>
      <c r="D380" s="276">
        <v>6</v>
      </c>
      <c r="E380" s="276">
        <v>10</v>
      </c>
      <c r="F380" s="276">
        <v>25</v>
      </c>
      <c r="G380" s="276">
        <v>21</v>
      </c>
      <c r="H380" s="276">
        <v>46</v>
      </c>
      <c r="I380" s="276">
        <v>7</v>
      </c>
      <c r="J380" s="276">
        <v>5</v>
      </c>
      <c r="K380" s="276">
        <v>12</v>
      </c>
      <c r="L380" s="276">
        <v>2</v>
      </c>
      <c r="M380" s="276">
        <v>1</v>
      </c>
      <c r="N380" s="276">
        <v>3</v>
      </c>
      <c r="O380" s="312">
        <v>38</v>
      </c>
      <c r="P380" s="312">
        <v>33</v>
      </c>
      <c r="Q380" s="312">
        <v>71</v>
      </c>
      <c r="R380" s="13"/>
      <c r="S380" s="13"/>
      <c r="T380" s="13"/>
      <c r="U380" s="13"/>
      <c r="V380" s="13"/>
      <c r="W380" s="13"/>
      <c r="X380" s="13"/>
    </row>
    <row r="381" spans="2:24" x14ac:dyDescent="0.25">
      <c r="B381" s="136" t="s">
        <v>308</v>
      </c>
      <c r="C381" s="276">
        <v>9</v>
      </c>
      <c r="D381" s="276">
        <v>11</v>
      </c>
      <c r="E381" s="276">
        <v>20</v>
      </c>
      <c r="F381" s="276">
        <v>43</v>
      </c>
      <c r="G381" s="276">
        <v>50</v>
      </c>
      <c r="H381" s="276">
        <v>93</v>
      </c>
      <c r="I381" s="276">
        <v>15</v>
      </c>
      <c r="J381" s="276">
        <v>3</v>
      </c>
      <c r="K381" s="276">
        <v>18</v>
      </c>
      <c r="L381" s="276">
        <v>1</v>
      </c>
      <c r="M381" s="276">
        <v>4</v>
      </c>
      <c r="N381" s="276">
        <v>5</v>
      </c>
      <c r="O381" s="312">
        <v>68</v>
      </c>
      <c r="P381" s="312">
        <v>68</v>
      </c>
      <c r="Q381" s="312">
        <v>136</v>
      </c>
      <c r="R381" s="13"/>
      <c r="S381" s="13"/>
      <c r="T381" s="13"/>
      <c r="U381" s="13"/>
      <c r="V381" s="13"/>
      <c r="W381" s="13"/>
      <c r="X381" s="13"/>
    </row>
    <row r="382" spans="2:24" x14ac:dyDescent="0.25">
      <c r="B382" s="136" t="s">
        <v>309</v>
      </c>
      <c r="C382" s="276">
        <v>5</v>
      </c>
      <c r="D382" s="276">
        <v>1</v>
      </c>
      <c r="E382" s="276">
        <v>6</v>
      </c>
      <c r="F382" s="276">
        <v>35</v>
      </c>
      <c r="G382" s="276">
        <v>39</v>
      </c>
      <c r="H382" s="276">
        <v>74</v>
      </c>
      <c r="I382" s="276">
        <v>9</v>
      </c>
      <c r="J382" s="276">
        <v>6</v>
      </c>
      <c r="K382" s="276">
        <v>15</v>
      </c>
      <c r="L382" s="276">
        <v>1</v>
      </c>
      <c r="M382" s="276">
        <v>2</v>
      </c>
      <c r="N382" s="276">
        <v>3</v>
      </c>
      <c r="O382" s="312">
        <v>50</v>
      </c>
      <c r="P382" s="312">
        <v>48</v>
      </c>
      <c r="Q382" s="312">
        <v>98</v>
      </c>
      <c r="R382" s="13"/>
      <c r="S382" s="13"/>
      <c r="T382" s="13"/>
      <c r="U382" s="13"/>
      <c r="V382" s="13"/>
      <c r="W382" s="13"/>
      <c r="X382" s="13"/>
    </row>
    <row r="383" spans="2:24" x14ac:dyDescent="0.25">
      <c r="B383" s="136" t="s">
        <v>310</v>
      </c>
      <c r="C383" s="276">
        <v>11</v>
      </c>
      <c r="D383" s="276">
        <v>8</v>
      </c>
      <c r="E383" s="276">
        <v>19</v>
      </c>
      <c r="F383" s="276">
        <v>39</v>
      </c>
      <c r="G383" s="276">
        <v>42</v>
      </c>
      <c r="H383" s="276">
        <v>81</v>
      </c>
      <c r="I383" s="276">
        <v>7</v>
      </c>
      <c r="J383" s="276">
        <v>8</v>
      </c>
      <c r="K383" s="276">
        <v>15</v>
      </c>
      <c r="L383" s="276">
        <v>1</v>
      </c>
      <c r="M383" s="276">
        <v>3</v>
      </c>
      <c r="N383" s="276">
        <v>4</v>
      </c>
      <c r="O383" s="312">
        <v>58</v>
      </c>
      <c r="P383" s="312">
        <v>61</v>
      </c>
      <c r="Q383" s="312">
        <v>119</v>
      </c>
      <c r="R383" s="13"/>
      <c r="S383" s="13"/>
      <c r="T383" s="13"/>
      <c r="U383" s="13"/>
      <c r="V383" s="13"/>
      <c r="W383" s="13"/>
      <c r="X383" s="13"/>
    </row>
    <row r="384" spans="2:24" x14ac:dyDescent="0.25">
      <c r="B384" s="136" t="s">
        <v>311</v>
      </c>
      <c r="C384" s="276">
        <v>5</v>
      </c>
      <c r="D384" s="276">
        <v>2</v>
      </c>
      <c r="E384" s="276">
        <v>7</v>
      </c>
      <c r="F384" s="276">
        <v>12</v>
      </c>
      <c r="G384" s="276">
        <v>15</v>
      </c>
      <c r="H384" s="276">
        <v>27</v>
      </c>
      <c r="I384" s="276">
        <v>4</v>
      </c>
      <c r="J384" s="276">
        <v>9</v>
      </c>
      <c r="K384" s="276">
        <v>13</v>
      </c>
      <c r="L384" s="276"/>
      <c r="M384" s="276">
        <v>2</v>
      </c>
      <c r="N384" s="276">
        <v>2</v>
      </c>
      <c r="O384" s="312">
        <v>21</v>
      </c>
      <c r="P384" s="312">
        <v>28</v>
      </c>
      <c r="Q384" s="312">
        <v>49</v>
      </c>
      <c r="R384" s="13"/>
      <c r="S384" s="13"/>
      <c r="T384" s="13"/>
      <c r="U384" s="13"/>
      <c r="V384" s="13"/>
      <c r="W384" s="13"/>
      <c r="X384" s="13"/>
    </row>
    <row r="385" spans="2:24" x14ac:dyDescent="0.25">
      <c r="B385" s="136" t="s">
        <v>312</v>
      </c>
      <c r="C385" s="276">
        <v>1</v>
      </c>
      <c r="D385" s="276">
        <v>4</v>
      </c>
      <c r="E385" s="276">
        <v>5</v>
      </c>
      <c r="F385" s="276">
        <v>13</v>
      </c>
      <c r="G385" s="276">
        <v>13</v>
      </c>
      <c r="H385" s="276">
        <v>26</v>
      </c>
      <c r="I385" s="276">
        <v>4</v>
      </c>
      <c r="J385" s="276">
        <v>2</v>
      </c>
      <c r="K385" s="276">
        <v>6</v>
      </c>
      <c r="L385" s="276"/>
      <c r="M385" s="276">
        <v>5</v>
      </c>
      <c r="N385" s="276">
        <v>5</v>
      </c>
      <c r="O385" s="312">
        <v>18</v>
      </c>
      <c r="P385" s="312">
        <v>24</v>
      </c>
      <c r="Q385" s="312">
        <v>42</v>
      </c>
      <c r="R385" s="13"/>
      <c r="S385" s="13"/>
      <c r="T385" s="13"/>
      <c r="U385" s="13"/>
      <c r="V385" s="13"/>
      <c r="W385" s="13"/>
      <c r="X385" s="13"/>
    </row>
    <row r="386" spans="2:24" x14ac:dyDescent="0.25">
      <c r="B386" s="136" t="s">
        <v>313</v>
      </c>
      <c r="C386" s="276">
        <v>7</v>
      </c>
      <c r="D386" s="276">
        <v>4</v>
      </c>
      <c r="E386" s="276">
        <v>11</v>
      </c>
      <c r="F386" s="276">
        <v>29</v>
      </c>
      <c r="G386" s="276">
        <v>46</v>
      </c>
      <c r="H386" s="276">
        <v>75</v>
      </c>
      <c r="I386" s="276">
        <v>13</v>
      </c>
      <c r="J386" s="276">
        <v>6</v>
      </c>
      <c r="K386" s="276">
        <v>19</v>
      </c>
      <c r="L386" s="276">
        <v>2</v>
      </c>
      <c r="M386" s="276">
        <v>4</v>
      </c>
      <c r="N386" s="276">
        <v>6</v>
      </c>
      <c r="O386" s="312">
        <v>51</v>
      </c>
      <c r="P386" s="312">
        <v>60</v>
      </c>
      <c r="Q386" s="312">
        <v>111</v>
      </c>
      <c r="R386" s="13"/>
      <c r="S386" s="13"/>
      <c r="T386" s="13"/>
      <c r="U386" s="13"/>
      <c r="V386" s="13"/>
      <c r="W386" s="13"/>
      <c r="X386" s="13"/>
    </row>
    <row r="387" spans="2:24" x14ac:dyDescent="0.25">
      <c r="B387" s="136" t="s">
        <v>314</v>
      </c>
      <c r="C387" s="276">
        <v>9</v>
      </c>
      <c r="D387" s="276">
        <v>2</v>
      </c>
      <c r="E387" s="276">
        <v>11</v>
      </c>
      <c r="F387" s="276">
        <v>15</v>
      </c>
      <c r="G387" s="276">
        <v>22</v>
      </c>
      <c r="H387" s="276">
        <v>37</v>
      </c>
      <c r="I387" s="276">
        <v>6</v>
      </c>
      <c r="J387" s="276">
        <v>8</v>
      </c>
      <c r="K387" s="276">
        <v>14</v>
      </c>
      <c r="L387" s="276"/>
      <c r="M387" s="276">
        <v>5</v>
      </c>
      <c r="N387" s="276">
        <v>5</v>
      </c>
      <c r="O387" s="312">
        <v>30</v>
      </c>
      <c r="P387" s="312">
        <v>37</v>
      </c>
      <c r="Q387" s="312">
        <v>67</v>
      </c>
      <c r="R387" s="13"/>
      <c r="S387" s="13"/>
      <c r="T387" s="13"/>
      <c r="U387" s="13"/>
      <c r="V387" s="13"/>
      <c r="W387" s="13"/>
      <c r="X387" s="13"/>
    </row>
    <row r="388" spans="2:24" x14ac:dyDescent="0.25">
      <c r="B388" s="136" t="s">
        <v>315</v>
      </c>
      <c r="C388" s="276">
        <v>5</v>
      </c>
      <c r="D388" s="276">
        <v>13</v>
      </c>
      <c r="E388" s="276">
        <v>18</v>
      </c>
      <c r="F388" s="276">
        <v>38</v>
      </c>
      <c r="G388" s="276">
        <v>34</v>
      </c>
      <c r="H388" s="276">
        <v>72</v>
      </c>
      <c r="I388" s="276">
        <v>11</v>
      </c>
      <c r="J388" s="276">
        <v>3</v>
      </c>
      <c r="K388" s="276">
        <v>14</v>
      </c>
      <c r="L388" s="276"/>
      <c r="M388" s="276">
        <v>3</v>
      </c>
      <c r="N388" s="276">
        <v>3</v>
      </c>
      <c r="O388" s="312">
        <v>54</v>
      </c>
      <c r="P388" s="312">
        <v>53</v>
      </c>
      <c r="Q388" s="312">
        <v>107</v>
      </c>
      <c r="R388" s="13"/>
      <c r="S388" s="13"/>
      <c r="T388" s="13"/>
      <c r="U388" s="13"/>
      <c r="V388" s="13"/>
      <c r="W388" s="13"/>
      <c r="X388" s="13"/>
    </row>
    <row r="389" spans="2:24" x14ac:dyDescent="0.25">
      <c r="B389" s="136" t="s">
        <v>316</v>
      </c>
      <c r="C389" s="276">
        <v>11</v>
      </c>
      <c r="D389" s="276">
        <v>8</v>
      </c>
      <c r="E389" s="276">
        <v>19</v>
      </c>
      <c r="F389" s="276">
        <v>74</v>
      </c>
      <c r="G389" s="276">
        <v>53</v>
      </c>
      <c r="H389" s="276">
        <v>127</v>
      </c>
      <c r="I389" s="276">
        <v>24</v>
      </c>
      <c r="J389" s="276">
        <v>5</v>
      </c>
      <c r="K389" s="276">
        <v>29</v>
      </c>
      <c r="L389" s="276">
        <v>5</v>
      </c>
      <c r="M389" s="276">
        <v>6</v>
      </c>
      <c r="N389" s="276">
        <v>11</v>
      </c>
      <c r="O389" s="312">
        <v>114</v>
      </c>
      <c r="P389" s="312">
        <v>72</v>
      </c>
      <c r="Q389" s="312">
        <v>186</v>
      </c>
      <c r="R389" s="13"/>
      <c r="S389" s="13"/>
      <c r="T389" s="13"/>
      <c r="U389" s="13"/>
      <c r="V389" s="13"/>
      <c r="W389" s="13"/>
      <c r="X389" s="13"/>
    </row>
    <row r="390" spans="2:24" x14ac:dyDescent="0.25">
      <c r="B390" s="136" t="s">
        <v>317</v>
      </c>
      <c r="C390" s="276">
        <v>7</v>
      </c>
      <c r="D390" s="276">
        <v>5</v>
      </c>
      <c r="E390" s="276">
        <v>12</v>
      </c>
      <c r="F390" s="276">
        <v>41</v>
      </c>
      <c r="G390" s="276">
        <v>57</v>
      </c>
      <c r="H390" s="276">
        <v>98</v>
      </c>
      <c r="I390" s="276">
        <v>16</v>
      </c>
      <c r="J390" s="276"/>
      <c r="K390" s="276">
        <v>16</v>
      </c>
      <c r="L390" s="276">
        <v>5</v>
      </c>
      <c r="M390" s="276">
        <v>5</v>
      </c>
      <c r="N390" s="276">
        <v>10</v>
      </c>
      <c r="O390" s="312">
        <v>69</v>
      </c>
      <c r="P390" s="312">
        <v>67</v>
      </c>
      <c r="Q390" s="312">
        <v>136</v>
      </c>
      <c r="R390" s="13"/>
      <c r="S390" s="13"/>
      <c r="T390" s="13"/>
      <c r="U390" s="13"/>
      <c r="V390" s="13"/>
      <c r="W390" s="13"/>
      <c r="X390" s="13"/>
    </row>
    <row r="391" spans="2:24" x14ac:dyDescent="0.25">
      <c r="B391" s="136" t="s">
        <v>318</v>
      </c>
      <c r="C391" s="276">
        <v>2</v>
      </c>
      <c r="D391" s="276">
        <v>2</v>
      </c>
      <c r="E391" s="276">
        <v>4</v>
      </c>
      <c r="F391" s="276">
        <v>11</v>
      </c>
      <c r="G391" s="276">
        <v>15</v>
      </c>
      <c r="H391" s="276">
        <v>26</v>
      </c>
      <c r="I391" s="276">
        <v>6</v>
      </c>
      <c r="J391" s="276">
        <v>8</v>
      </c>
      <c r="K391" s="276">
        <v>14</v>
      </c>
      <c r="L391" s="276">
        <v>1</v>
      </c>
      <c r="M391" s="276">
        <v>2</v>
      </c>
      <c r="N391" s="276">
        <v>3</v>
      </c>
      <c r="O391" s="312">
        <v>20</v>
      </c>
      <c r="P391" s="312">
        <v>27</v>
      </c>
      <c r="Q391" s="312">
        <v>47</v>
      </c>
      <c r="R391" s="13"/>
      <c r="S391" s="13"/>
      <c r="T391" s="13"/>
      <c r="U391" s="13"/>
      <c r="V391" s="13"/>
      <c r="W391" s="13"/>
      <c r="X391" s="13"/>
    </row>
    <row r="392" spans="2:24" x14ac:dyDescent="0.25">
      <c r="B392" s="136" t="s">
        <v>319</v>
      </c>
      <c r="C392" s="276">
        <v>1</v>
      </c>
      <c r="D392" s="276">
        <v>2</v>
      </c>
      <c r="E392" s="276">
        <v>3</v>
      </c>
      <c r="F392" s="276">
        <v>12</v>
      </c>
      <c r="G392" s="276">
        <v>16</v>
      </c>
      <c r="H392" s="276">
        <v>28</v>
      </c>
      <c r="I392" s="276">
        <v>9</v>
      </c>
      <c r="J392" s="276">
        <v>3</v>
      </c>
      <c r="K392" s="276">
        <v>12</v>
      </c>
      <c r="L392" s="276">
        <v>4</v>
      </c>
      <c r="M392" s="276"/>
      <c r="N392" s="276">
        <v>4</v>
      </c>
      <c r="O392" s="312">
        <v>26</v>
      </c>
      <c r="P392" s="312">
        <v>21</v>
      </c>
      <c r="Q392" s="312">
        <v>47</v>
      </c>
      <c r="R392" s="13"/>
      <c r="S392" s="13"/>
      <c r="T392" s="13"/>
      <c r="U392" s="13"/>
      <c r="V392" s="13"/>
      <c r="W392" s="13"/>
      <c r="X392" s="13"/>
    </row>
    <row r="393" spans="2:24" x14ac:dyDescent="0.25">
      <c r="B393" s="136" t="s">
        <v>320</v>
      </c>
      <c r="C393" s="276"/>
      <c r="D393" s="276">
        <v>2</v>
      </c>
      <c r="E393" s="276">
        <v>2</v>
      </c>
      <c r="F393" s="276">
        <v>17</v>
      </c>
      <c r="G393" s="276">
        <v>17</v>
      </c>
      <c r="H393" s="276">
        <v>34</v>
      </c>
      <c r="I393" s="276">
        <v>10</v>
      </c>
      <c r="J393" s="276">
        <v>5</v>
      </c>
      <c r="K393" s="276">
        <v>15</v>
      </c>
      <c r="L393" s="276">
        <v>1</v>
      </c>
      <c r="M393" s="276"/>
      <c r="N393" s="276">
        <v>1</v>
      </c>
      <c r="O393" s="312">
        <v>28</v>
      </c>
      <c r="P393" s="312">
        <v>24</v>
      </c>
      <c r="Q393" s="312">
        <v>52</v>
      </c>
      <c r="R393" s="13"/>
      <c r="S393" s="13"/>
      <c r="T393" s="13"/>
      <c r="U393" s="13"/>
      <c r="V393" s="13"/>
      <c r="W393" s="13"/>
      <c r="X393" s="13"/>
    </row>
    <row r="394" spans="2:24" x14ac:dyDescent="0.25">
      <c r="B394" s="136" t="s">
        <v>321</v>
      </c>
      <c r="C394" s="276">
        <v>4</v>
      </c>
      <c r="D394" s="276">
        <v>4</v>
      </c>
      <c r="E394" s="276">
        <v>8</v>
      </c>
      <c r="F394" s="276">
        <v>11</v>
      </c>
      <c r="G394" s="276">
        <v>11</v>
      </c>
      <c r="H394" s="276">
        <v>22</v>
      </c>
      <c r="I394" s="276">
        <v>2</v>
      </c>
      <c r="J394" s="276"/>
      <c r="K394" s="276">
        <v>2</v>
      </c>
      <c r="L394" s="276">
        <v>1</v>
      </c>
      <c r="M394" s="276"/>
      <c r="N394" s="276">
        <v>1</v>
      </c>
      <c r="O394" s="312">
        <v>18</v>
      </c>
      <c r="P394" s="312">
        <v>15</v>
      </c>
      <c r="Q394" s="312">
        <v>33</v>
      </c>
      <c r="R394" s="13"/>
      <c r="S394" s="13"/>
      <c r="T394" s="13"/>
      <c r="U394" s="13"/>
      <c r="V394" s="13"/>
      <c r="W394" s="13"/>
      <c r="X394" s="13"/>
    </row>
    <row r="395" spans="2:24" x14ac:dyDescent="0.25">
      <c r="B395" s="136" t="s">
        <v>322</v>
      </c>
      <c r="C395" s="276">
        <v>7</v>
      </c>
      <c r="D395" s="276">
        <v>10</v>
      </c>
      <c r="E395" s="276">
        <v>17</v>
      </c>
      <c r="F395" s="276">
        <v>47</v>
      </c>
      <c r="G395" s="276">
        <v>72</v>
      </c>
      <c r="H395" s="276">
        <v>119</v>
      </c>
      <c r="I395" s="276">
        <v>18</v>
      </c>
      <c r="J395" s="276">
        <v>12</v>
      </c>
      <c r="K395" s="276">
        <v>30</v>
      </c>
      <c r="L395" s="276">
        <v>3</v>
      </c>
      <c r="M395" s="276">
        <v>4</v>
      </c>
      <c r="N395" s="276">
        <v>7</v>
      </c>
      <c r="O395" s="312">
        <v>75</v>
      </c>
      <c r="P395" s="312">
        <v>98</v>
      </c>
      <c r="Q395" s="312">
        <v>173</v>
      </c>
      <c r="R395" s="13"/>
      <c r="S395" s="13"/>
      <c r="T395" s="13"/>
      <c r="U395" s="13"/>
      <c r="V395" s="13"/>
      <c r="W395" s="13"/>
      <c r="X395" s="13"/>
    </row>
    <row r="396" spans="2:24" x14ac:dyDescent="0.25">
      <c r="B396" s="136" t="s">
        <v>323</v>
      </c>
      <c r="C396" s="276">
        <v>16</v>
      </c>
      <c r="D396" s="276">
        <v>15</v>
      </c>
      <c r="E396" s="276">
        <v>31</v>
      </c>
      <c r="F396" s="276">
        <v>98</v>
      </c>
      <c r="G396" s="276">
        <v>93</v>
      </c>
      <c r="H396" s="276">
        <v>191</v>
      </c>
      <c r="I396" s="276">
        <v>18</v>
      </c>
      <c r="J396" s="276">
        <v>16</v>
      </c>
      <c r="K396" s="276">
        <v>34</v>
      </c>
      <c r="L396" s="276">
        <v>7</v>
      </c>
      <c r="M396" s="276">
        <v>8</v>
      </c>
      <c r="N396" s="276">
        <v>15</v>
      </c>
      <c r="O396" s="312">
        <v>139</v>
      </c>
      <c r="P396" s="312">
        <v>132</v>
      </c>
      <c r="Q396" s="312">
        <v>271</v>
      </c>
      <c r="R396" s="13"/>
      <c r="S396" s="13"/>
      <c r="T396" s="13"/>
      <c r="U396" s="13"/>
      <c r="V396" s="13"/>
      <c r="W396" s="13"/>
      <c r="X396" s="13"/>
    </row>
    <row r="397" spans="2:24" x14ac:dyDescent="0.25">
      <c r="B397" s="136" t="s">
        <v>324</v>
      </c>
      <c r="C397" s="276">
        <v>4</v>
      </c>
      <c r="D397" s="276"/>
      <c r="E397" s="276">
        <v>4</v>
      </c>
      <c r="F397" s="276">
        <v>6</v>
      </c>
      <c r="G397" s="276">
        <v>10</v>
      </c>
      <c r="H397" s="276">
        <v>16</v>
      </c>
      <c r="I397" s="276">
        <v>5</v>
      </c>
      <c r="J397" s="276">
        <v>2</v>
      </c>
      <c r="K397" s="276">
        <v>7</v>
      </c>
      <c r="L397" s="276">
        <v>1</v>
      </c>
      <c r="M397" s="276">
        <v>2</v>
      </c>
      <c r="N397" s="276">
        <v>3</v>
      </c>
      <c r="O397" s="312">
        <v>16</v>
      </c>
      <c r="P397" s="312">
        <v>14</v>
      </c>
      <c r="Q397" s="312">
        <v>30</v>
      </c>
      <c r="R397" s="13"/>
      <c r="S397" s="13"/>
      <c r="T397" s="13"/>
      <c r="U397" s="13"/>
      <c r="V397" s="13"/>
      <c r="W397" s="13"/>
      <c r="X397" s="13"/>
    </row>
    <row r="398" spans="2:24" x14ac:dyDescent="0.25">
      <c r="B398" s="136" t="s">
        <v>325</v>
      </c>
      <c r="C398" s="276">
        <v>5</v>
      </c>
      <c r="D398" s="276">
        <v>6</v>
      </c>
      <c r="E398" s="276">
        <v>11</v>
      </c>
      <c r="F398" s="276">
        <v>44</v>
      </c>
      <c r="G398" s="276">
        <v>35</v>
      </c>
      <c r="H398" s="276">
        <v>79</v>
      </c>
      <c r="I398" s="276">
        <v>5</v>
      </c>
      <c r="J398" s="276">
        <v>4</v>
      </c>
      <c r="K398" s="276">
        <v>9</v>
      </c>
      <c r="L398" s="276">
        <v>4</v>
      </c>
      <c r="M398" s="276">
        <v>1</v>
      </c>
      <c r="N398" s="276">
        <v>5</v>
      </c>
      <c r="O398" s="312">
        <v>58</v>
      </c>
      <c r="P398" s="312">
        <v>46</v>
      </c>
      <c r="Q398" s="312">
        <v>104</v>
      </c>
      <c r="R398" s="13"/>
      <c r="S398" s="13"/>
      <c r="T398" s="13"/>
      <c r="U398" s="13"/>
      <c r="V398" s="13"/>
      <c r="W398" s="13"/>
      <c r="X398" s="13"/>
    </row>
    <row r="399" spans="2:24" x14ac:dyDescent="0.25">
      <c r="B399" s="136" t="s">
        <v>326</v>
      </c>
      <c r="C399" s="276">
        <v>5</v>
      </c>
      <c r="D399" s="276">
        <v>5</v>
      </c>
      <c r="E399" s="276">
        <v>10</v>
      </c>
      <c r="F399" s="276">
        <v>47</v>
      </c>
      <c r="G399" s="276">
        <v>48</v>
      </c>
      <c r="H399" s="276">
        <v>95</v>
      </c>
      <c r="I399" s="276">
        <v>7</v>
      </c>
      <c r="J399" s="276">
        <v>2</v>
      </c>
      <c r="K399" s="276">
        <v>9</v>
      </c>
      <c r="L399" s="276"/>
      <c r="M399" s="276">
        <v>4</v>
      </c>
      <c r="N399" s="276">
        <v>4</v>
      </c>
      <c r="O399" s="312">
        <v>59</v>
      </c>
      <c r="P399" s="312">
        <v>59</v>
      </c>
      <c r="Q399" s="312">
        <v>118</v>
      </c>
      <c r="R399" s="13"/>
      <c r="S399" s="13"/>
      <c r="T399" s="13"/>
      <c r="U399" s="13"/>
      <c r="V399" s="13"/>
      <c r="W399" s="13"/>
      <c r="X399" s="13"/>
    </row>
    <row r="400" spans="2:24" x14ac:dyDescent="0.25">
      <c r="B400" s="136" t="s">
        <v>327</v>
      </c>
      <c r="C400" s="276">
        <v>3</v>
      </c>
      <c r="D400" s="276"/>
      <c r="E400" s="276">
        <v>3</v>
      </c>
      <c r="F400" s="276">
        <v>23</v>
      </c>
      <c r="G400" s="276">
        <v>29</v>
      </c>
      <c r="H400" s="276">
        <v>52</v>
      </c>
      <c r="I400" s="276">
        <v>17</v>
      </c>
      <c r="J400" s="276">
        <v>6</v>
      </c>
      <c r="K400" s="276">
        <v>23</v>
      </c>
      <c r="L400" s="276"/>
      <c r="M400" s="276">
        <v>4</v>
      </c>
      <c r="N400" s="276">
        <v>4</v>
      </c>
      <c r="O400" s="312">
        <v>43</v>
      </c>
      <c r="P400" s="312">
        <v>39</v>
      </c>
      <c r="Q400" s="312">
        <v>82</v>
      </c>
      <c r="R400" s="13"/>
      <c r="S400" s="13"/>
      <c r="T400" s="13"/>
      <c r="U400" s="13"/>
      <c r="V400" s="13"/>
      <c r="W400" s="13"/>
      <c r="X400" s="13"/>
    </row>
    <row r="401" spans="2:24" x14ac:dyDescent="0.25">
      <c r="B401" s="136" t="s">
        <v>328</v>
      </c>
      <c r="C401" s="276">
        <v>6</v>
      </c>
      <c r="D401" s="276">
        <v>2</v>
      </c>
      <c r="E401" s="276">
        <v>8</v>
      </c>
      <c r="F401" s="276">
        <v>15</v>
      </c>
      <c r="G401" s="276">
        <v>16</v>
      </c>
      <c r="H401" s="276">
        <v>31</v>
      </c>
      <c r="I401" s="276">
        <v>9</v>
      </c>
      <c r="J401" s="276">
        <v>3</v>
      </c>
      <c r="K401" s="276">
        <v>12</v>
      </c>
      <c r="L401" s="276"/>
      <c r="M401" s="276">
        <v>4</v>
      </c>
      <c r="N401" s="276">
        <v>4</v>
      </c>
      <c r="O401" s="312">
        <v>30</v>
      </c>
      <c r="P401" s="312">
        <v>25</v>
      </c>
      <c r="Q401" s="312">
        <v>55</v>
      </c>
      <c r="R401" s="13"/>
      <c r="S401" s="13"/>
      <c r="T401" s="13"/>
      <c r="U401" s="13"/>
      <c r="V401" s="13"/>
      <c r="W401" s="13"/>
      <c r="X401" s="13"/>
    </row>
    <row r="402" spans="2:24" x14ac:dyDescent="0.25">
      <c r="B402" s="136" t="s">
        <v>329</v>
      </c>
      <c r="C402" s="276">
        <v>1</v>
      </c>
      <c r="D402" s="276">
        <v>3</v>
      </c>
      <c r="E402" s="276">
        <v>4</v>
      </c>
      <c r="F402" s="276">
        <v>15</v>
      </c>
      <c r="G402" s="276">
        <v>31</v>
      </c>
      <c r="H402" s="276">
        <v>46</v>
      </c>
      <c r="I402" s="276">
        <v>7</v>
      </c>
      <c r="J402" s="276">
        <v>5</v>
      </c>
      <c r="K402" s="276">
        <v>12</v>
      </c>
      <c r="L402" s="276"/>
      <c r="M402" s="276">
        <v>1</v>
      </c>
      <c r="N402" s="276">
        <v>1</v>
      </c>
      <c r="O402" s="312">
        <v>23</v>
      </c>
      <c r="P402" s="312">
        <v>40</v>
      </c>
      <c r="Q402" s="312">
        <v>63</v>
      </c>
      <c r="R402" s="13"/>
      <c r="S402" s="13"/>
      <c r="T402" s="13"/>
      <c r="U402" s="13"/>
      <c r="V402" s="13"/>
      <c r="W402" s="13"/>
      <c r="X402" s="13"/>
    </row>
    <row r="403" spans="2:24" x14ac:dyDescent="0.25">
      <c r="B403" s="136" t="s">
        <v>330</v>
      </c>
      <c r="C403" s="276">
        <v>100</v>
      </c>
      <c r="D403" s="276">
        <v>70</v>
      </c>
      <c r="E403" s="276">
        <v>170</v>
      </c>
      <c r="F403" s="276">
        <v>473</v>
      </c>
      <c r="G403" s="276">
        <v>373</v>
      </c>
      <c r="H403" s="276">
        <v>846</v>
      </c>
      <c r="I403" s="276">
        <v>71</v>
      </c>
      <c r="J403" s="276">
        <v>39</v>
      </c>
      <c r="K403" s="276">
        <v>110</v>
      </c>
      <c r="L403" s="276">
        <v>29</v>
      </c>
      <c r="M403" s="276">
        <v>45</v>
      </c>
      <c r="N403" s="276">
        <v>74</v>
      </c>
      <c r="O403" s="312">
        <v>673</v>
      </c>
      <c r="P403" s="312">
        <v>527</v>
      </c>
      <c r="Q403" s="312">
        <v>1200</v>
      </c>
      <c r="R403" s="13"/>
      <c r="S403" s="13"/>
      <c r="T403" s="13"/>
      <c r="U403" s="13"/>
      <c r="V403" s="13"/>
      <c r="W403" s="13"/>
      <c r="X403" s="13"/>
    </row>
    <row r="404" spans="2:24" x14ac:dyDescent="0.25">
      <c r="B404" s="136" t="s">
        <v>331</v>
      </c>
      <c r="C404" s="276">
        <v>5</v>
      </c>
      <c r="D404" s="276">
        <v>6</v>
      </c>
      <c r="E404" s="276">
        <v>11</v>
      </c>
      <c r="F404" s="276">
        <v>28</v>
      </c>
      <c r="G404" s="276">
        <v>29</v>
      </c>
      <c r="H404" s="276">
        <v>57</v>
      </c>
      <c r="I404" s="276">
        <v>6</v>
      </c>
      <c r="J404" s="276">
        <v>4</v>
      </c>
      <c r="K404" s="276">
        <v>10</v>
      </c>
      <c r="L404" s="276">
        <v>2</v>
      </c>
      <c r="M404" s="276">
        <v>4</v>
      </c>
      <c r="N404" s="276">
        <v>6</v>
      </c>
      <c r="O404" s="312">
        <v>41</v>
      </c>
      <c r="P404" s="312">
        <v>43</v>
      </c>
      <c r="Q404" s="312">
        <v>84</v>
      </c>
      <c r="R404" s="13"/>
      <c r="S404" s="13"/>
      <c r="T404" s="13"/>
      <c r="U404" s="13"/>
      <c r="V404" s="13"/>
      <c r="W404" s="13"/>
      <c r="X404" s="13"/>
    </row>
    <row r="405" spans="2:24" x14ac:dyDescent="0.25">
      <c r="B405" s="136" t="s">
        <v>332</v>
      </c>
      <c r="C405" s="276">
        <v>3</v>
      </c>
      <c r="D405" s="276">
        <v>5</v>
      </c>
      <c r="E405" s="276">
        <v>8</v>
      </c>
      <c r="F405" s="276">
        <v>16</v>
      </c>
      <c r="G405" s="276">
        <v>13</v>
      </c>
      <c r="H405" s="276">
        <v>29</v>
      </c>
      <c r="I405" s="276">
        <v>2</v>
      </c>
      <c r="J405" s="276">
        <v>4</v>
      </c>
      <c r="K405" s="276">
        <v>6</v>
      </c>
      <c r="L405" s="276">
        <v>1</v>
      </c>
      <c r="M405" s="276">
        <v>1</v>
      </c>
      <c r="N405" s="276">
        <v>2</v>
      </c>
      <c r="O405" s="312">
        <v>22</v>
      </c>
      <c r="P405" s="312">
        <v>23</v>
      </c>
      <c r="Q405" s="312">
        <v>45</v>
      </c>
      <c r="R405" s="13"/>
      <c r="S405" s="13"/>
      <c r="T405" s="13"/>
      <c r="U405" s="13"/>
      <c r="V405" s="13"/>
      <c r="W405" s="13"/>
      <c r="X405" s="13"/>
    </row>
    <row r="406" spans="2:24" x14ac:dyDescent="0.25">
      <c r="B406" s="136" t="s">
        <v>333</v>
      </c>
      <c r="C406" s="276">
        <v>12</v>
      </c>
      <c r="D406" s="276">
        <v>8</v>
      </c>
      <c r="E406" s="276">
        <v>20</v>
      </c>
      <c r="F406" s="276">
        <v>35</v>
      </c>
      <c r="G406" s="276">
        <v>27</v>
      </c>
      <c r="H406" s="276">
        <v>62</v>
      </c>
      <c r="I406" s="276">
        <v>10</v>
      </c>
      <c r="J406" s="276">
        <v>2</v>
      </c>
      <c r="K406" s="276">
        <v>12</v>
      </c>
      <c r="L406" s="276">
        <v>3</v>
      </c>
      <c r="M406" s="276">
        <v>8</v>
      </c>
      <c r="N406" s="276">
        <v>11</v>
      </c>
      <c r="O406" s="312">
        <v>60</v>
      </c>
      <c r="P406" s="312">
        <v>45</v>
      </c>
      <c r="Q406" s="312">
        <v>105</v>
      </c>
      <c r="R406" s="13"/>
      <c r="S406" s="13"/>
      <c r="T406" s="13"/>
      <c r="U406" s="13"/>
      <c r="V406" s="13"/>
      <c r="W406" s="13"/>
      <c r="X406" s="13"/>
    </row>
    <row r="407" spans="2:24" x14ac:dyDescent="0.25">
      <c r="B407" s="136" t="s">
        <v>334</v>
      </c>
      <c r="C407" s="276">
        <v>8</v>
      </c>
      <c r="D407" s="276">
        <v>10</v>
      </c>
      <c r="E407" s="276">
        <v>18</v>
      </c>
      <c r="F407" s="276">
        <v>78</v>
      </c>
      <c r="G407" s="276">
        <v>51</v>
      </c>
      <c r="H407" s="276">
        <v>129</v>
      </c>
      <c r="I407" s="276">
        <v>10</v>
      </c>
      <c r="J407" s="276">
        <v>6</v>
      </c>
      <c r="K407" s="276">
        <v>16</v>
      </c>
      <c r="L407" s="276">
        <v>3</v>
      </c>
      <c r="M407" s="276">
        <v>12</v>
      </c>
      <c r="N407" s="276">
        <v>15</v>
      </c>
      <c r="O407" s="312">
        <v>99</v>
      </c>
      <c r="P407" s="312">
        <v>79</v>
      </c>
      <c r="Q407" s="312">
        <v>178</v>
      </c>
      <c r="R407" s="13"/>
      <c r="S407" s="13"/>
      <c r="T407" s="13"/>
      <c r="U407" s="13"/>
      <c r="V407" s="13"/>
      <c r="W407" s="13"/>
      <c r="X407" s="13"/>
    </row>
    <row r="408" spans="2:24" x14ac:dyDescent="0.25">
      <c r="B408" s="136" t="s">
        <v>335</v>
      </c>
      <c r="C408" s="276">
        <v>10</v>
      </c>
      <c r="D408" s="276">
        <v>6</v>
      </c>
      <c r="E408" s="276">
        <v>16</v>
      </c>
      <c r="F408" s="276">
        <v>42</v>
      </c>
      <c r="G408" s="276">
        <v>40</v>
      </c>
      <c r="H408" s="276">
        <v>82</v>
      </c>
      <c r="I408" s="276">
        <v>18</v>
      </c>
      <c r="J408" s="276">
        <v>5</v>
      </c>
      <c r="K408" s="276">
        <v>23</v>
      </c>
      <c r="L408" s="276">
        <v>2</v>
      </c>
      <c r="M408" s="276">
        <v>10</v>
      </c>
      <c r="N408" s="276">
        <v>12</v>
      </c>
      <c r="O408" s="312">
        <v>72</v>
      </c>
      <c r="P408" s="312">
        <v>61</v>
      </c>
      <c r="Q408" s="312">
        <v>133</v>
      </c>
      <c r="R408" s="13"/>
      <c r="S408" s="13"/>
      <c r="T408" s="13"/>
      <c r="U408" s="13"/>
      <c r="V408" s="13"/>
      <c r="W408" s="13"/>
      <c r="X408" s="13"/>
    </row>
    <row r="409" spans="2:24" x14ac:dyDescent="0.25">
      <c r="B409" s="136" t="s">
        <v>336</v>
      </c>
      <c r="C409" s="276">
        <v>22</v>
      </c>
      <c r="D409" s="276">
        <v>24</v>
      </c>
      <c r="E409" s="276">
        <v>46</v>
      </c>
      <c r="F409" s="276">
        <v>114</v>
      </c>
      <c r="G409" s="276">
        <v>108</v>
      </c>
      <c r="H409" s="276">
        <v>222</v>
      </c>
      <c r="I409" s="276">
        <v>21</v>
      </c>
      <c r="J409" s="276">
        <v>12</v>
      </c>
      <c r="K409" s="276">
        <v>33</v>
      </c>
      <c r="L409" s="276">
        <v>7</v>
      </c>
      <c r="M409" s="276">
        <v>11</v>
      </c>
      <c r="N409" s="276">
        <v>18</v>
      </c>
      <c r="O409" s="312">
        <v>164</v>
      </c>
      <c r="P409" s="312">
        <v>155</v>
      </c>
      <c r="Q409" s="312">
        <v>319</v>
      </c>
      <c r="R409" s="13"/>
      <c r="S409" s="13"/>
      <c r="T409" s="13"/>
      <c r="U409" s="13"/>
      <c r="V409" s="13"/>
      <c r="W409" s="13"/>
      <c r="X409" s="13"/>
    </row>
    <row r="410" spans="2:24" x14ac:dyDescent="0.25">
      <c r="B410" s="311" t="s">
        <v>28</v>
      </c>
      <c r="C410" s="271">
        <v>315</v>
      </c>
      <c r="D410" s="271">
        <v>273</v>
      </c>
      <c r="E410" s="271">
        <v>588</v>
      </c>
      <c r="F410" s="271">
        <v>1625</v>
      </c>
      <c r="G410" s="271">
        <v>1528</v>
      </c>
      <c r="H410" s="269">
        <v>3153</v>
      </c>
      <c r="I410" s="271">
        <v>400</v>
      </c>
      <c r="J410" s="269">
        <v>207</v>
      </c>
      <c r="K410" s="271">
        <v>607</v>
      </c>
      <c r="L410" s="269">
        <v>92</v>
      </c>
      <c r="M410" s="271">
        <v>170</v>
      </c>
      <c r="N410" s="269">
        <v>262</v>
      </c>
      <c r="O410" s="312">
        <v>2432</v>
      </c>
      <c r="P410" s="312">
        <v>2178</v>
      </c>
      <c r="Q410" s="312">
        <v>4610</v>
      </c>
      <c r="R410" s="13"/>
      <c r="S410" s="13"/>
      <c r="T410" s="13"/>
      <c r="U410" s="13"/>
      <c r="V410" s="13"/>
      <c r="W410" s="13"/>
      <c r="X410" s="13"/>
    </row>
    <row r="411" spans="2:24" ht="114" customHeight="1" x14ac:dyDescent="0.25">
      <c r="B411" s="442" t="s">
        <v>814</v>
      </c>
      <c r="C411" s="442"/>
      <c r="D411" s="442"/>
      <c r="E411" s="442"/>
      <c r="F411" s="442"/>
      <c r="G411" s="442"/>
      <c r="H411" s="442"/>
      <c r="I411" s="442"/>
      <c r="J411" s="442"/>
      <c r="K411" s="442"/>
      <c r="L411" s="442"/>
      <c r="M411" s="442"/>
      <c r="N411" s="442"/>
      <c r="O411" s="442"/>
      <c r="P411" s="442"/>
      <c r="Q411" s="442"/>
      <c r="R411" s="13"/>
      <c r="S411" s="13"/>
      <c r="T411" s="13"/>
      <c r="U411" s="13"/>
      <c r="V411" s="13"/>
      <c r="W411" s="13"/>
    </row>
    <row r="412" spans="2:24" x14ac:dyDescent="0.25">
      <c r="B412" s="380"/>
      <c r="C412" s="380"/>
      <c r="D412" s="380"/>
      <c r="E412" s="380"/>
      <c r="F412" s="380"/>
      <c r="G412" s="380"/>
      <c r="H412" s="380"/>
      <c r="I412" s="380"/>
      <c r="J412" s="380"/>
      <c r="K412" s="380"/>
      <c r="L412" s="380"/>
      <c r="M412" s="380"/>
      <c r="N412" s="380"/>
      <c r="O412" s="380"/>
      <c r="P412" s="380"/>
      <c r="Q412" s="380"/>
      <c r="R412" s="13"/>
      <c r="S412" s="13"/>
      <c r="T412" s="13"/>
      <c r="U412" s="13"/>
      <c r="V412" s="13"/>
      <c r="W412" s="13"/>
    </row>
    <row r="413" spans="2:24" x14ac:dyDescent="0.25">
      <c r="B413" s="380"/>
      <c r="C413" s="380"/>
      <c r="D413" s="380"/>
      <c r="E413" s="380"/>
      <c r="F413" s="380"/>
      <c r="G413" s="380"/>
      <c r="H413" s="380"/>
      <c r="I413" s="380"/>
      <c r="J413" s="380"/>
      <c r="K413" s="380"/>
      <c r="L413" s="380"/>
      <c r="M413" s="380"/>
      <c r="N413" s="380"/>
      <c r="O413" s="380"/>
      <c r="P413" s="380"/>
      <c r="Q413" s="380"/>
      <c r="R413" s="13"/>
      <c r="S413" s="13"/>
      <c r="T413" s="13"/>
      <c r="U413" s="13"/>
      <c r="V413" s="13"/>
      <c r="W413" s="13"/>
    </row>
    <row r="414" spans="2:24" x14ac:dyDescent="0.25">
      <c r="B414" s="187" t="s">
        <v>523</v>
      </c>
      <c r="C414"/>
      <c r="D414"/>
      <c r="E414"/>
      <c r="F414"/>
      <c r="G414"/>
      <c r="H414" s="13"/>
      <c r="I414" s="13"/>
      <c r="J414" s="13"/>
      <c r="K414" s="13"/>
      <c r="L414" s="13"/>
      <c r="M414" s="13"/>
      <c r="N414" s="13"/>
      <c r="O414" s="13"/>
      <c r="P414" s="13"/>
      <c r="Q414" s="13"/>
      <c r="R414" s="13"/>
      <c r="S414" s="13"/>
      <c r="T414" s="13"/>
      <c r="U414" s="13"/>
      <c r="V414" s="13"/>
      <c r="W414" s="13"/>
    </row>
    <row r="415" spans="2:24" x14ac:dyDescent="0.25">
      <c r="B415" s="187"/>
      <c r="C415"/>
      <c r="D415"/>
      <c r="E415"/>
      <c r="F415"/>
      <c r="G415"/>
      <c r="H415" s="13"/>
      <c r="I415" s="13"/>
      <c r="J415" s="13"/>
      <c r="K415" s="13"/>
      <c r="L415" s="13"/>
      <c r="M415" s="13"/>
      <c r="N415" s="13"/>
      <c r="O415" s="13"/>
      <c r="P415" s="13"/>
      <c r="Q415" s="13"/>
      <c r="R415" s="13"/>
      <c r="S415" s="13"/>
      <c r="T415" s="13"/>
      <c r="U415" s="13"/>
      <c r="V415" s="13"/>
      <c r="W415" s="13"/>
    </row>
    <row r="416" spans="2:24" ht="15" customHeight="1" x14ac:dyDescent="0.25">
      <c r="B416" s="453" t="s">
        <v>537</v>
      </c>
      <c r="C416" s="450" t="s">
        <v>481</v>
      </c>
      <c r="D416" s="451"/>
      <c r="E416" s="451"/>
      <c r="F416" s="451"/>
      <c r="G416" s="451"/>
      <c r="H416" s="451"/>
      <c r="I416" s="451"/>
      <c r="J416" s="451"/>
      <c r="K416" s="451"/>
      <c r="L416" s="451"/>
      <c r="M416" s="451"/>
      <c r="N416" s="452"/>
      <c r="O416" s="443" t="s">
        <v>697</v>
      </c>
      <c r="P416" s="444"/>
      <c r="Q416" s="445"/>
      <c r="R416" s="13"/>
      <c r="S416" s="13"/>
      <c r="T416" s="13"/>
      <c r="U416" s="13"/>
      <c r="V416" s="13"/>
      <c r="W416" s="13"/>
    </row>
    <row r="417" spans="2:24" ht="15" customHeight="1" x14ac:dyDescent="0.25">
      <c r="B417" s="454"/>
      <c r="C417" s="450" t="s">
        <v>658</v>
      </c>
      <c r="D417" s="451"/>
      <c r="E417" s="452"/>
      <c r="F417" s="450" t="s">
        <v>490</v>
      </c>
      <c r="G417" s="451"/>
      <c r="H417" s="452"/>
      <c r="I417" s="450" t="s">
        <v>4</v>
      </c>
      <c r="J417" s="451"/>
      <c r="K417" s="452"/>
      <c r="L417" s="450" t="s">
        <v>6</v>
      </c>
      <c r="M417" s="451"/>
      <c r="N417" s="452"/>
      <c r="O417" s="446"/>
      <c r="P417" s="447"/>
      <c r="Q417" s="448"/>
      <c r="R417" s="13"/>
      <c r="S417" s="13"/>
      <c r="T417" s="13"/>
      <c r="U417" s="13"/>
      <c r="V417" s="13"/>
      <c r="W417" s="13"/>
    </row>
    <row r="418" spans="2:24" x14ac:dyDescent="0.25">
      <c r="B418" s="455"/>
      <c r="C418" s="161" t="s">
        <v>76</v>
      </c>
      <c r="D418" s="161" t="s">
        <v>77</v>
      </c>
      <c r="E418" s="161" t="s">
        <v>28</v>
      </c>
      <c r="F418" s="161" t="s">
        <v>76</v>
      </c>
      <c r="G418" s="161" t="s">
        <v>77</v>
      </c>
      <c r="H418" s="161" t="s">
        <v>28</v>
      </c>
      <c r="I418" s="161" t="s">
        <v>76</v>
      </c>
      <c r="J418" s="161" t="s">
        <v>77</v>
      </c>
      <c r="K418" s="161" t="s">
        <v>28</v>
      </c>
      <c r="L418" s="161" t="s">
        <v>76</v>
      </c>
      <c r="M418" s="161" t="s">
        <v>77</v>
      </c>
      <c r="N418" s="161" t="s">
        <v>28</v>
      </c>
      <c r="O418" s="244" t="s">
        <v>76</v>
      </c>
      <c r="P418" s="244" t="s">
        <v>77</v>
      </c>
      <c r="Q418" s="244" t="s">
        <v>28</v>
      </c>
      <c r="R418" s="13"/>
      <c r="S418" s="13"/>
      <c r="T418" s="13"/>
      <c r="U418" s="13"/>
      <c r="V418" s="13"/>
      <c r="W418" s="13"/>
    </row>
    <row r="419" spans="2:24" x14ac:dyDescent="0.25">
      <c r="B419" s="157" t="s">
        <v>439</v>
      </c>
      <c r="C419" s="278">
        <v>1</v>
      </c>
      <c r="D419" s="278"/>
      <c r="E419" s="278">
        <v>1</v>
      </c>
      <c r="F419" s="278">
        <v>8</v>
      </c>
      <c r="G419" s="278">
        <v>9</v>
      </c>
      <c r="H419" s="278">
        <v>17</v>
      </c>
      <c r="I419" s="278">
        <v>4</v>
      </c>
      <c r="J419" s="278"/>
      <c r="K419" s="278">
        <v>4</v>
      </c>
      <c r="L419" s="278">
        <v>2</v>
      </c>
      <c r="M419" s="278"/>
      <c r="N419" s="278">
        <v>2</v>
      </c>
      <c r="O419" s="312">
        <v>15</v>
      </c>
      <c r="P419" s="312">
        <v>9</v>
      </c>
      <c r="Q419" s="312">
        <v>24</v>
      </c>
      <c r="R419" s="13"/>
      <c r="S419" s="13"/>
      <c r="T419" s="13"/>
      <c r="U419" s="13"/>
      <c r="V419" s="13"/>
      <c r="W419" s="13"/>
      <c r="X419" s="13"/>
    </row>
    <row r="420" spans="2:24" x14ac:dyDescent="0.25">
      <c r="B420" s="136" t="s">
        <v>440</v>
      </c>
      <c r="C420" s="278">
        <v>6</v>
      </c>
      <c r="D420" s="278">
        <v>5</v>
      </c>
      <c r="E420" s="278">
        <v>11</v>
      </c>
      <c r="F420" s="278">
        <v>21</v>
      </c>
      <c r="G420" s="278">
        <v>27</v>
      </c>
      <c r="H420" s="278">
        <v>48</v>
      </c>
      <c r="I420" s="278">
        <v>4</v>
      </c>
      <c r="J420" s="278">
        <v>5</v>
      </c>
      <c r="K420" s="278">
        <v>9</v>
      </c>
      <c r="L420" s="278">
        <v>2</v>
      </c>
      <c r="M420" s="278">
        <v>5</v>
      </c>
      <c r="N420" s="278">
        <v>7</v>
      </c>
      <c r="O420" s="312">
        <v>33</v>
      </c>
      <c r="P420" s="312">
        <v>42</v>
      </c>
      <c r="Q420" s="312">
        <v>75</v>
      </c>
      <c r="R420" s="13"/>
      <c r="S420" s="13"/>
      <c r="T420" s="13"/>
      <c r="U420" s="13"/>
      <c r="V420" s="13"/>
      <c r="W420" s="13"/>
      <c r="X420" s="13"/>
    </row>
    <row r="421" spans="2:24" x14ac:dyDescent="0.25">
      <c r="B421" s="136" t="s">
        <v>441</v>
      </c>
      <c r="C421" s="278">
        <v>14</v>
      </c>
      <c r="D421" s="278">
        <v>13</v>
      </c>
      <c r="E421" s="278">
        <v>27</v>
      </c>
      <c r="F421" s="278">
        <v>82</v>
      </c>
      <c r="G421" s="278">
        <v>52</v>
      </c>
      <c r="H421" s="278">
        <v>134</v>
      </c>
      <c r="I421" s="278">
        <v>21</v>
      </c>
      <c r="J421" s="278">
        <v>7</v>
      </c>
      <c r="K421" s="278">
        <v>28</v>
      </c>
      <c r="L421" s="278">
        <v>7</v>
      </c>
      <c r="M421" s="278">
        <v>11</v>
      </c>
      <c r="N421" s="278">
        <v>18</v>
      </c>
      <c r="O421" s="312">
        <v>124</v>
      </c>
      <c r="P421" s="312">
        <v>83</v>
      </c>
      <c r="Q421" s="312">
        <v>207</v>
      </c>
      <c r="R421" s="13"/>
      <c r="S421" s="13"/>
      <c r="T421" s="13"/>
      <c r="U421" s="13"/>
      <c r="V421" s="13"/>
      <c r="W421" s="13"/>
      <c r="X421" s="13"/>
    </row>
    <row r="422" spans="2:24" x14ac:dyDescent="0.25">
      <c r="B422" s="136" t="s">
        <v>442</v>
      </c>
      <c r="C422" s="278">
        <v>8</v>
      </c>
      <c r="D422" s="278">
        <v>4</v>
      </c>
      <c r="E422" s="278">
        <v>12</v>
      </c>
      <c r="F422" s="278">
        <v>18</v>
      </c>
      <c r="G422" s="278">
        <v>17</v>
      </c>
      <c r="H422" s="278">
        <v>35</v>
      </c>
      <c r="I422" s="278">
        <v>5</v>
      </c>
      <c r="J422" s="278">
        <v>6</v>
      </c>
      <c r="K422" s="278">
        <v>11</v>
      </c>
      <c r="L422" s="278">
        <v>1</v>
      </c>
      <c r="M422" s="278">
        <v>2</v>
      </c>
      <c r="N422" s="278">
        <v>3</v>
      </c>
      <c r="O422" s="312">
        <v>32</v>
      </c>
      <c r="P422" s="312">
        <v>29</v>
      </c>
      <c r="Q422" s="312">
        <v>61</v>
      </c>
      <c r="R422" s="13"/>
      <c r="S422" s="13"/>
      <c r="T422" s="13"/>
      <c r="U422" s="13"/>
      <c r="V422" s="13"/>
      <c r="W422" s="13"/>
      <c r="X422" s="13"/>
    </row>
    <row r="423" spans="2:24" x14ac:dyDescent="0.25">
      <c r="B423" s="136" t="s">
        <v>443</v>
      </c>
      <c r="C423" s="278">
        <v>7</v>
      </c>
      <c r="D423" s="278">
        <v>4</v>
      </c>
      <c r="E423" s="278">
        <v>11</v>
      </c>
      <c r="F423" s="278">
        <v>34</v>
      </c>
      <c r="G423" s="278">
        <v>25</v>
      </c>
      <c r="H423" s="278">
        <v>59</v>
      </c>
      <c r="I423" s="278">
        <v>9</v>
      </c>
      <c r="J423" s="278">
        <v>3</v>
      </c>
      <c r="K423" s="278">
        <v>12</v>
      </c>
      <c r="L423" s="278">
        <v>2</v>
      </c>
      <c r="M423" s="278">
        <v>3</v>
      </c>
      <c r="N423" s="278">
        <v>5</v>
      </c>
      <c r="O423" s="312">
        <v>52</v>
      </c>
      <c r="P423" s="312">
        <v>35</v>
      </c>
      <c r="Q423" s="312">
        <v>87</v>
      </c>
      <c r="R423" s="13"/>
      <c r="S423" s="13"/>
      <c r="T423" s="13"/>
      <c r="U423" s="13"/>
      <c r="V423" s="13"/>
      <c r="W423" s="13"/>
      <c r="X423" s="13"/>
    </row>
    <row r="424" spans="2:24" x14ac:dyDescent="0.25">
      <c r="B424" s="136" t="s">
        <v>444</v>
      </c>
      <c r="C424" s="278">
        <v>9</v>
      </c>
      <c r="D424" s="278">
        <v>3</v>
      </c>
      <c r="E424" s="278">
        <v>12</v>
      </c>
      <c r="F424" s="278">
        <v>32</v>
      </c>
      <c r="G424" s="278">
        <v>42</v>
      </c>
      <c r="H424" s="278">
        <v>74</v>
      </c>
      <c r="I424" s="278">
        <v>7</v>
      </c>
      <c r="J424" s="278">
        <v>4</v>
      </c>
      <c r="K424" s="278">
        <v>11</v>
      </c>
      <c r="L424" s="278">
        <v>2</v>
      </c>
      <c r="M424" s="278">
        <v>6</v>
      </c>
      <c r="N424" s="278">
        <v>8</v>
      </c>
      <c r="O424" s="312">
        <v>50</v>
      </c>
      <c r="P424" s="312">
        <v>55</v>
      </c>
      <c r="Q424" s="312">
        <v>105</v>
      </c>
      <c r="R424" s="13"/>
      <c r="S424" s="13"/>
      <c r="T424" s="13"/>
      <c r="U424" s="13"/>
      <c r="V424" s="13"/>
      <c r="W424" s="13"/>
      <c r="X424" s="13"/>
    </row>
    <row r="425" spans="2:24" x14ac:dyDescent="0.25">
      <c r="B425" s="136" t="s">
        <v>445</v>
      </c>
      <c r="C425" s="278">
        <v>2</v>
      </c>
      <c r="D425" s="278">
        <v>3</v>
      </c>
      <c r="E425" s="278">
        <v>5</v>
      </c>
      <c r="F425" s="278">
        <v>8</v>
      </c>
      <c r="G425" s="278">
        <v>14</v>
      </c>
      <c r="H425" s="278">
        <v>22</v>
      </c>
      <c r="I425" s="278">
        <v>4</v>
      </c>
      <c r="J425" s="278">
        <v>1</v>
      </c>
      <c r="K425" s="278">
        <v>5</v>
      </c>
      <c r="L425" s="278">
        <v>4</v>
      </c>
      <c r="M425" s="278"/>
      <c r="N425" s="278">
        <v>4</v>
      </c>
      <c r="O425" s="312">
        <v>18</v>
      </c>
      <c r="P425" s="312">
        <v>18</v>
      </c>
      <c r="Q425" s="312">
        <v>36</v>
      </c>
      <c r="R425" s="13"/>
      <c r="S425" s="13"/>
      <c r="T425" s="13"/>
      <c r="U425" s="13"/>
      <c r="V425" s="13"/>
      <c r="W425" s="13"/>
      <c r="X425" s="13"/>
    </row>
    <row r="426" spans="2:24" x14ac:dyDescent="0.25">
      <c r="B426" s="136" t="s">
        <v>446</v>
      </c>
      <c r="C426" s="278">
        <v>4</v>
      </c>
      <c r="D426" s="278">
        <v>4</v>
      </c>
      <c r="E426" s="278">
        <v>8</v>
      </c>
      <c r="F426" s="278">
        <v>29</v>
      </c>
      <c r="G426" s="278">
        <v>40</v>
      </c>
      <c r="H426" s="278">
        <v>69</v>
      </c>
      <c r="I426" s="278">
        <v>22</v>
      </c>
      <c r="J426" s="278">
        <v>3</v>
      </c>
      <c r="K426" s="278">
        <v>25</v>
      </c>
      <c r="L426" s="278">
        <v>4</v>
      </c>
      <c r="M426" s="278">
        <v>9</v>
      </c>
      <c r="N426" s="278">
        <v>13</v>
      </c>
      <c r="O426" s="312">
        <v>59</v>
      </c>
      <c r="P426" s="312">
        <v>56</v>
      </c>
      <c r="Q426" s="312">
        <v>115</v>
      </c>
      <c r="R426" s="13"/>
      <c r="S426" s="13"/>
      <c r="T426" s="13"/>
      <c r="U426" s="13"/>
      <c r="V426" s="13"/>
      <c r="W426" s="13"/>
      <c r="X426" s="13"/>
    </row>
    <row r="427" spans="2:24" x14ac:dyDescent="0.25">
      <c r="B427" s="136" t="s">
        <v>447</v>
      </c>
      <c r="C427" s="278">
        <v>20</v>
      </c>
      <c r="D427" s="278">
        <v>7</v>
      </c>
      <c r="E427" s="278">
        <v>27</v>
      </c>
      <c r="F427" s="278">
        <v>70</v>
      </c>
      <c r="G427" s="278">
        <v>55</v>
      </c>
      <c r="H427" s="278">
        <v>125</v>
      </c>
      <c r="I427" s="278">
        <v>19</v>
      </c>
      <c r="J427" s="278">
        <v>9</v>
      </c>
      <c r="K427" s="278">
        <v>28</v>
      </c>
      <c r="L427" s="278">
        <v>2</v>
      </c>
      <c r="M427" s="278">
        <v>10</v>
      </c>
      <c r="N427" s="278">
        <v>12</v>
      </c>
      <c r="O427" s="312">
        <v>111</v>
      </c>
      <c r="P427" s="312">
        <v>81</v>
      </c>
      <c r="Q427" s="312">
        <v>192</v>
      </c>
      <c r="R427" s="13"/>
      <c r="S427" s="13"/>
      <c r="T427" s="13"/>
      <c r="U427" s="13"/>
      <c r="V427" s="13"/>
      <c r="W427" s="13"/>
      <c r="X427" s="13"/>
    </row>
    <row r="428" spans="2:24" x14ac:dyDescent="0.25">
      <c r="B428" s="136" t="s">
        <v>448</v>
      </c>
      <c r="C428" s="278">
        <v>12</v>
      </c>
      <c r="D428" s="278">
        <v>13</v>
      </c>
      <c r="E428" s="278">
        <v>25</v>
      </c>
      <c r="F428" s="278">
        <v>59</v>
      </c>
      <c r="G428" s="278">
        <v>55</v>
      </c>
      <c r="H428" s="278">
        <v>114</v>
      </c>
      <c r="I428" s="278">
        <v>20</v>
      </c>
      <c r="J428" s="278">
        <v>7</v>
      </c>
      <c r="K428" s="278">
        <v>27</v>
      </c>
      <c r="L428" s="278">
        <v>4</v>
      </c>
      <c r="M428" s="278">
        <v>10</v>
      </c>
      <c r="N428" s="278">
        <v>14</v>
      </c>
      <c r="O428" s="312">
        <v>95</v>
      </c>
      <c r="P428" s="312">
        <v>85</v>
      </c>
      <c r="Q428" s="312">
        <v>180</v>
      </c>
      <c r="R428" s="13"/>
      <c r="S428" s="13"/>
      <c r="T428" s="13"/>
      <c r="U428" s="13"/>
      <c r="V428" s="13"/>
      <c r="W428" s="13"/>
      <c r="X428" s="13"/>
    </row>
    <row r="429" spans="2:24" x14ac:dyDescent="0.25">
      <c r="B429" s="136" t="s">
        <v>785</v>
      </c>
      <c r="C429" s="278">
        <v>11</v>
      </c>
      <c r="D429" s="278">
        <v>4</v>
      </c>
      <c r="E429" s="278">
        <v>15</v>
      </c>
      <c r="F429" s="278">
        <v>35</v>
      </c>
      <c r="G429" s="278">
        <v>38</v>
      </c>
      <c r="H429" s="278">
        <v>73</v>
      </c>
      <c r="I429" s="278">
        <v>8</v>
      </c>
      <c r="J429" s="278">
        <v>6</v>
      </c>
      <c r="K429" s="278">
        <v>14</v>
      </c>
      <c r="L429" s="278">
        <v>5</v>
      </c>
      <c r="M429" s="278">
        <v>8</v>
      </c>
      <c r="N429" s="278">
        <v>13</v>
      </c>
      <c r="O429" s="312">
        <v>59</v>
      </c>
      <c r="P429" s="312">
        <v>56</v>
      </c>
      <c r="Q429" s="312">
        <v>115</v>
      </c>
      <c r="R429" s="13"/>
      <c r="S429" s="13"/>
      <c r="T429" s="13"/>
      <c r="U429" s="13"/>
      <c r="V429" s="13"/>
      <c r="W429" s="13"/>
      <c r="X429" s="13"/>
    </row>
    <row r="430" spans="2:24" x14ac:dyDescent="0.25">
      <c r="B430" s="136" t="s">
        <v>450</v>
      </c>
      <c r="C430" s="278">
        <v>60</v>
      </c>
      <c r="D430" s="278">
        <v>39</v>
      </c>
      <c r="E430" s="278">
        <v>99</v>
      </c>
      <c r="F430" s="278">
        <v>317</v>
      </c>
      <c r="G430" s="278">
        <v>256</v>
      </c>
      <c r="H430" s="278">
        <v>573</v>
      </c>
      <c r="I430" s="278">
        <v>52</v>
      </c>
      <c r="J430" s="278">
        <v>19</v>
      </c>
      <c r="K430" s="278">
        <v>71</v>
      </c>
      <c r="L430" s="278">
        <v>24</v>
      </c>
      <c r="M430" s="278">
        <v>41</v>
      </c>
      <c r="N430" s="278">
        <v>65</v>
      </c>
      <c r="O430" s="312">
        <v>453</v>
      </c>
      <c r="P430" s="312">
        <v>355</v>
      </c>
      <c r="Q430" s="312">
        <v>808</v>
      </c>
      <c r="R430" s="13"/>
      <c r="S430" s="13"/>
      <c r="T430" s="13"/>
      <c r="U430" s="13"/>
      <c r="V430" s="13"/>
      <c r="W430" s="13"/>
      <c r="X430" s="13"/>
    </row>
    <row r="431" spans="2:24" x14ac:dyDescent="0.25">
      <c r="B431" s="311" t="s">
        <v>28</v>
      </c>
      <c r="C431" s="271">
        <v>154</v>
      </c>
      <c r="D431" s="271">
        <v>99</v>
      </c>
      <c r="E431" s="271">
        <v>253</v>
      </c>
      <c r="F431" s="271">
        <v>713</v>
      </c>
      <c r="G431" s="271">
        <v>630</v>
      </c>
      <c r="H431" s="269">
        <v>1343</v>
      </c>
      <c r="I431" s="271">
        <v>175</v>
      </c>
      <c r="J431" s="269">
        <v>70</v>
      </c>
      <c r="K431" s="271">
        <v>245</v>
      </c>
      <c r="L431" s="269">
        <v>59</v>
      </c>
      <c r="M431" s="271">
        <v>105</v>
      </c>
      <c r="N431" s="269">
        <v>164</v>
      </c>
      <c r="O431" s="312">
        <v>1101</v>
      </c>
      <c r="P431" s="312">
        <v>904</v>
      </c>
      <c r="Q431" s="312">
        <v>2005</v>
      </c>
      <c r="R431" s="13"/>
      <c r="S431" s="13"/>
      <c r="T431" s="13"/>
      <c r="U431" s="13"/>
      <c r="V431" s="13"/>
      <c r="W431" s="13"/>
      <c r="X431" s="13"/>
    </row>
    <row r="432" spans="2:24" ht="102.75" customHeight="1" x14ac:dyDescent="0.25">
      <c r="B432" s="442" t="s">
        <v>814</v>
      </c>
      <c r="C432" s="442"/>
      <c r="D432" s="442"/>
      <c r="E432" s="442"/>
      <c r="F432" s="442"/>
      <c r="G432" s="442"/>
      <c r="H432" s="442"/>
      <c r="I432" s="442"/>
      <c r="J432" s="442"/>
      <c r="K432" s="442"/>
      <c r="L432" s="442"/>
      <c r="M432" s="442"/>
      <c r="N432" s="442"/>
      <c r="O432" s="442"/>
      <c r="P432" s="442"/>
      <c r="Q432" s="442"/>
      <c r="R432" s="13"/>
      <c r="S432" s="13"/>
      <c r="T432" s="13"/>
      <c r="U432" s="13"/>
      <c r="V432" s="13"/>
      <c r="W432" s="13"/>
    </row>
    <row r="433" spans="2:24" x14ac:dyDescent="0.25">
      <c r="B433" s="380"/>
      <c r="C433" s="380"/>
      <c r="D433" s="380"/>
      <c r="E433" s="380"/>
      <c r="F433" s="380"/>
      <c r="G433" s="380"/>
      <c r="H433" s="380"/>
      <c r="I433" s="380"/>
      <c r="J433" s="380"/>
      <c r="K433" s="380"/>
      <c r="L433" s="380"/>
      <c r="M433" s="380"/>
      <c r="N433" s="380"/>
      <c r="O433" s="380"/>
      <c r="P433" s="380"/>
      <c r="Q433" s="380"/>
      <c r="R433" s="13"/>
      <c r="S433" s="13"/>
      <c r="T433" s="13"/>
      <c r="U433" s="13"/>
      <c r="V433" s="13"/>
      <c r="W433" s="13"/>
    </row>
    <row r="434" spans="2:24" x14ac:dyDescent="0.25">
      <c r="B434" s="158"/>
      <c r="C434" s="158"/>
      <c r="D434" s="158"/>
      <c r="E434"/>
      <c r="F434"/>
      <c r="G434"/>
      <c r="H434" s="13"/>
      <c r="I434" s="13"/>
      <c r="J434" s="13"/>
      <c r="K434" s="13"/>
      <c r="L434" s="13"/>
      <c r="M434" s="13"/>
      <c r="N434" s="13"/>
      <c r="O434" s="13"/>
      <c r="P434" s="13"/>
      <c r="Q434" s="13"/>
      <c r="R434" s="13"/>
      <c r="S434" s="13"/>
      <c r="T434" s="13"/>
      <c r="U434" s="13"/>
      <c r="V434" s="13"/>
      <c r="W434" s="13"/>
    </row>
    <row r="435" spans="2:24" x14ac:dyDescent="0.25">
      <c r="B435" s="187" t="s">
        <v>519</v>
      </c>
      <c r="C435"/>
      <c r="D435"/>
      <c r="E435"/>
      <c r="F435"/>
      <c r="G435"/>
      <c r="H435" s="13"/>
      <c r="I435" s="13"/>
      <c r="J435" s="13"/>
      <c r="K435" s="13"/>
      <c r="L435" s="13"/>
      <c r="M435" s="13"/>
      <c r="N435" s="13"/>
      <c r="O435" s="13"/>
      <c r="P435" s="13"/>
      <c r="Q435" s="13"/>
      <c r="R435" s="13"/>
      <c r="S435" s="13"/>
      <c r="T435" s="13"/>
      <c r="U435" s="13"/>
      <c r="V435" s="13"/>
      <c r="W435" s="13"/>
    </row>
    <row r="436" spans="2:24" x14ac:dyDescent="0.25">
      <c r="B436" s="187"/>
      <c r="C436"/>
      <c r="D436"/>
      <c r="E436"/>
      <c r="F436"/>
      <c r="G436"/>
      <c r="H436" s="13"/>
      <c r="I436" s="13"/>
      <c r="J436" s="13"/>
      <c r="K436" s="13"/>
      <c r="L436" s="13"/>
      <c r="M436" s="13"/>
      <c r="N436" s="13"/>
      <c r="O436" s="13"/>
      <c r="P436" s="13"/>
      <c r="Q436" s="13"/>
      <c r="R436" s="13"/>
      <c r="S436" s="13"/>
      <c r="T436" s="13"/>
      <c r="U436" s="13"/>
      <c r="V436" s="13"/>
      <c r="W436" s="13"/>
    </row>
    <row r="437" spans="2:24" ht="15" customHeight="1" x14ac:dyDescent="0.25">
      <c r="B437" s="441" t="s">
        <v>537</v>
      </c>
      <c r="C437" s="426" t="s">
        <v>481</v>
      </c>
      <c r="D437" s="426"/>
      <c r="E437" s="426"/>
      <c r="F437" s="426"/>
      <c r="G437" s="426"/>
      <c r="H437" s="426"/>
      <c r="I437" s="426"/>
      <c r="J437" s="426"/>
      <c r="K437" s="426"/>
      <c r="L437" s="426"/>
      <c r="M437" s="426"/>
      <c r="N437" s="426"/>
      <c r="O437" s="443" t="s">
        <v>697</v>
      </c>
      <c r="P437" s="444"/>
      <c r="Q437" s="445"/>
      <c r="R437" s="13"/>
      <c r="S437" s="13"/>
      <c r="T437" s="13"/>
      <c r="U437" s="13"/>
      <c r="V437" s="13"/>
      <c r="W437" s="13"/>
    </row>
    <row r="438" spans="2:24" ht="15" customHeight="1" x14ac:dyDescent="0.25">
      <c r="B438" s="441"/>
      <c r="C438" s="426" t="s">
        <v>658</v>
      </c>
      <c r="D438" s="426"/>
      <c r="E438" s="426"/>
      <c r="F438" s="426" t="s">
        <v>490</v>
      </c>
      <c r="G438" s="426"/>
      <c r="H438" s="426"/>
      <c r="I438" s="426" t="s">
        <v>4</v>
      </c>
      <c r="J438" s="426"/>
      <c r="K438" s="426"/>
      <c r="L438" s="426" t="s">
        <v>6</v>
      </c>
      <c r="M438" s="426"/>
      <c r="N438" s="426"/>
      <c r="O438" s="446"/>
      <c r="P438" s="447"/>
      <c r="Q438" s="448"/>
      <c r="R438" s="13"/>
      <c r="S438" s="13"/>
      <c r="T438" s="13"/>
      <c r="U438" s="13"/>
      <c r="V438" s="13"/>
      <c r="W438" s="13"/>
    </row>
    <row r="439" spans="2:24" x14ac:dyDescent="0.25">
      <c r="B439" s="441"/>
      <c r="C439" s="161" t="s">
        <v>76</v>
      </c>
      <c r="D439" s="161" t="s">
        <v>77</v>
      </c>
      <c r="E439" s="161" t="s">
        <v>28</v>
      </c>
      <c r="F439" s="161" t="s">
        <v>76</v>
      </c>
      <c r="G439" s="161" t="s">
        <v>77</v>
      </c>
      <c r="H439" s="161" t="s">
        <v>28</v>
      </c>
      <c r="I439" s="161" t="s">
        <v>76</v>
      </c>
      <c r="J439" s="161" t="s">
        <v>77</v>
      </c>
      <c r="K439" s="161" t="s">
        <v>28</v>
      </c>
      <c r="L439" s="161" t="s">
        <v>76</v>
      </c>
      <c r="M439" s="161" t="s">
        <v>77</v>
      </c>
      <c r="N439" s="161" t="s">
        <v>28</v>
      </c>
      <c r="O439" s="244" t="s">
        <v>76</v>
      </c>
      <c r="P439" s="244" t="s">
        <v>77</v>
      </c>
      <c r="Q439" s="244" t="s">
        <v>28</v>
      </c>
      <c r="R439" s="13"/>
      <c r="S439" s="13"/>
      <c r="T439" s="13"/>
      <c r="U439" s="13"/>
      <c r="V439" s="13"/>
      <c r="W439" s="13"/>
    </row>
    <row r="440" spans="2:24" x14ac:dyDescent="0.25">
      <c r="B440" s="157" t="s">
        <v>338</v>
      </c>
      <c r="C440" s="278">
        <v>14</v>
      </c>
      <c r="D440" s="278">
        <v>13</v>
      </c>
      <c r="E440" s="278">
        <v>27</v>
      </c>
      <c r="F440" s="278">
        <v>60</v>
      </c>
      <c r="G440" s="278">
        <v>48</v>
      </c>
      <c r="H440" s="278">
        <v>108</v>
      </c>
      <c r="I440" s="278">
        <v>28</v>
      </c>
      <c r="J440" s="278">
        <v>12</v>
      </c>
      <c r="K440" s="278">
        <v>40</v>
      </c>
      <c r="L440" s="278">
        <v>3</v>
      </c>
      <c r="M440" s="278">
        <v>5</v>
      </c>
      <c r="N440" s="278">
        <v>8</v>
      </c>
      <c r="O440" s="312">
        <v>105</v>
      </c>
      <c r="P440" s="312">
        <v>78</v>
      </c>
      <c r="Q440" s="312">
        <v>183</v>
      </c>
      <c r="R440" s="13"/>
      <c r="S440" s="13"/>
      <c r="T440" s="13"/>
      <c r="U440" s="13"/>
      <c r="V440" s="13"/>
      <c r="W440" s="13"/>
      <c r="X440" s="13"/>
    </row>
    <row r="441" spans="2:24" x14ac:dyDescent="0.25">
      <c r="B441" s="136" t="s">
        <v>339</v>
      </c>
      <c r="C441" s="276">
        <v>6</v>
      </c>
      <c r="D441" s="276">
        <v>11</v>
      </c>
      <c r="E441" s="276">
        <v>17</v>
      </c>
      <c r="F441" s="276">
        <v>57</v>
      </c>
      <c r="G441" s="276">
        <v>57</v>
      </c>
      <c r="H441" s="276">
        <v>114</v>
      </c>
      <c r="I441" s="276">
        <v>10</v>
      </c>
      <c r="J441" s="276">
        <v>10</v>
      </c>
      <c r="K441" s="276">
        <v>20</v>
      </c>
      <c r="L441" s="276">
        <v>4</v>
      </c>
      <c r="M441" s="276">
        <v>5</v>
      </c>
      <c r="N441" s="276">
        <v>9</v>
      </c>
      <c r="O441" s="312">
        <v>77</v>
      </c>
      <c r="P441" s="312">
        <v>83</v>
      </c>
      <c r="Q441" s="312">
        <v>160</v>
      </c>
      <c r="R441" s="13"/>
      <c r="S441" s="13"/>
      <c r="T441" s="13"/>
      <c r="U441" s="13"/>
      <c r="V441" s="13"/>
      <c r="W441" s="13"/>
      <c r="X441" s="13"/>
    </row>
    <row r="442" spans="2:24" x14ac:dyDescent="0.25">
      <c r="B442" s="136" t="s">
        <v>340</v>
      </c>
      <c r="C442" s="276">
        <v>12</v>
      </c>
      <c r="D442" s="276">
        <v>13</v>
      </c>
      <c r="E442" s="276">
        <v>25</v>
      </c>
      <c r="F442" s="276">
        <v>57</v>
      </c>
      <c r="G442" s="276">
        <v>68</v>
      </c>
      <c r="H442" s="276">
        <v>125</v>
      </c>
      <c r="I442" s="276">
        <v>20</v>
      </c>
      <c r="J442" s="276">
        <v>7</v>
      </c>
      <c r="K442" s="276">
        <v>27</v>
      </c>
      <c r="L442" s="276">
        <v>6</v>
      </c>
      <c r="M442" s="276">
        <v>21</v>
      </c>
      <c r="N442" s="276">
        <v>27</v>
      </c>
      <c r="O442" s="312">
        <v>95</v>
      </c>
      <c r="P442" s="312">
        <v>109</v>
      </c>
      <c r="Q442" s="312">
        <v>204</v>
      </c>
      <c r="R442" s="13"/>
      <c r="S442" s="13"/>
      <c r="T442" s="13"/>
      <c r="U442" s="13"/>
      <c r="V442" s="13"/>
      <c r="W442" s="13"/>
      <c r="X442" s="13"/>
    </row>
    <row r="443" spans="2:24" x14ac:dyDescent="0.25">
      <c r="B443" s="136" t="s">
        <v>341</v>
      </c>
      <c r="C443" s="276"/>
      <c r="D443" s="276">
        <v>3</v>
      </c>
      <c r="E443" s="276">
        <v>3</v>
      </c>
      <c r="F443" s="276">
        <v>9</v>
      </c>
      <c r="G443" s="276">
        <v>12</v>
      </c>
      <c r="H443" s="276">
        <v>21</v>
      </c>
      <c r="I443" s="276">
        <v>1</v>
      </c>
      <c r="J443" s="276">
        <v>1</v>
      </c>
      <c r="K443" s="276">
        <v>2</v>
      </c>
      <c r="L443" s="276"/>
      <c r="M443" s="276">
        <v>1</v>
      </c>
      <c r="N443" s="276">
        <v>1</v>
      </c>
      <c r="O443" s="312">
        <v>10</v>
      </c>
      <c r="P443" s="312">
        <v>17</v>
      </c>
      <c r="Q443" s="312">
        <v>27</v>
      </c>
      <c r="R443" s="13"/>
      <c r="S443" s="13"/>
      <c r="T443" s="13"/>
      <c r="U443" s="13"/>
      <c r="V443" s="13"/>
      <c r="W443" s="13"/>
      <c r="X443" s="13"/>
    </row>
    <row r="444" spans="2:24" x14ac:dyDescent="0.25">
      <c r="B444" s="136" t="s">
        <v>342</v>
      </c>
      <c r="C444" s="276">
        <v>2</v>
      </c>
      <c r="D444" s="276">
        <v>2</v>
      </c>
      <c r="E444" s="276">
        <v>4</v>
      </c>
      <c r="F444" s="276">
        <v>17</v>
      </c>
      <c r="G444" s="276">
        <v>16</v>
      </c>
      <c r="H444" s="276">
        <v>33</v>
      </c>
      <c r="I444" s="276">
        <v>9</v>
      </c>
      <c r="J444" s="276">
        <v>3</v>
      </c>
      <c r="K444" s="276">
        <v>12</v>
      </c>
      <c r="L444" s="276">
        <v>5</v>
      </c>
      <c r="M444" s="276">
        <v>3</v>
      </c>
      <c r="N444" s="276">
        <v>8</v>
      </c>
      <c r="O444" s="312">
        <v>33</v>
      </c>
      <c r="P444" s="312">
        <v>24</v>
      </c>
      <c r="Q444" s="312">
        <v>57</v>
      </c>
      <c r="R444" s="13"/>
      <c r="S444" s="13"/>
      <c r="T444" s="13"/>
      <c r="U444" s="13"/>
      <c r="V444" s="13"/>
      <c r="W444" s="13"/>
      <c r="X444" s="13"/>
    </row>
    <row r="445" spans="2:24" x14ac:dyDescent="0.25">
      <c r="B445" s="136" t="s">
        <v>343</v>
      </c>
      <c r="C445" s="276">
        <v>3</v>
      </c>
      <c r="D445" s="276">
        <v>6</v>
      </c>
      <c r="E445" s="276">
        <v>9</v>
      </c>
      <c r="F445" s="276">
        <v>7</v>
      </c>
      <c r="G445" s="276">
        <v>7</v>
      </c>
      <c r="H445" s="276">
        <v>14</v>
      </c>
      <c r="I445" s="276">
        <v>3</v>
      </c>
      <c r="J445" s="276"/>
      <c r="K445" s="276">
        <v>3</v>
      </c>
      <c r="L445" s="276"/>
      <c r="M445" s="276"/>
      <c r="N445" s="276"/>
      <c r="O445" s="312">
        <v>13</v>
      </c>
      <c r="P445" s="312">
        <v>13</v>
      </c>
      <c r="Q445" s="312">
        <v>26</v>
      </c>
      <c r="R445" s="13"/>
      <c r="S445" s="13"/>
      <c r="T445" s="13"/>
      <c r="U445" s="13"/>
      <c r="V445" s="13"/>
      <c r="W445" s="13"/>
      <c r="X445" s="13"/>
    </row>
    <row r="446" spans="2:24" x14ac:dyDescent="0.25">
      <c r="B446" s="136" t="s">
        <v>344</v>
      </c>
      <c r="C446" s="276"/>
      <c r="D446" s="276">
        <v>1</v>
      </c>
      <c r="E446" s="276">
        <v>1</v>
      </c>
      <c r="F446" s="276">
        <v>7</v>
      </c>
      <c r="G446" s="276">
        <v>5</v>
      </c>
      <c r="H446" s="276">
        <v>12</v>
      </c>
      <c r="I446" s="276">
        <v>3</v>
      </c>
      <c r="J446" s="276"/>
      <c r="K446" s="276">
        <v>3</v>
      </c>
      <c r="L446" s="276">
        <v>1</v>
      </c>
      <c r="M446" s="276"/>
      <c r="N446" s="276">
        <v>1</v>
      </c>
      <c r="O446" s="312">
        <v>11</v>
      </c>
      <c r="P446" s="312">
        <v>6</v>
      </c>
      <c r="Q446" s="312">
        <v>17</v>
      </c>
      <c r="R446" s="13"/>
      <c r="S446" s="13"/>
      <c r="T446" s="13"/>
      <c r="U446" s="13"/>
      <c r="V446" s="13"/>
      <c r="W446" s="13"/>
      <c r="X446" s="13"/>
    </row>
    <row r="447" spans="2:24" x14ac:dyDescent="0.25">
      <c r="B447" s="136" t="s">
        <v>345</v>
      </c>
      <c r="C447" s="276">
        <v>1</v>
      </c>
      <c r="D447" s="276">
        <v>2</v>
      </c>
      <c r="E447" s="276">
        <v>3</v>
      </c>
      <c r="F447" s="276">
        <v>15</v>
      </c>
      <c r="G447" s="276">
        <v>11</v>
      </c>
      <c r="H447" s="276">
        <v>26</v>
      </c>
      <c r="I447" s="276">
        <v>9</v>
      </c>
      <c r="J447" s="276">
        <v>6</v>
      </c>
      <c r="K447" s="276">
        <v>15</v>
      </c>
      <c r="L447" s="276">
        <v>2</v>
      </c>
      <c r="M447" s="276">
        <v>2</v>
      </c>
      <c r="N447" s="276">
        <v>4</v>
      </c>
      <c r="O447" s="312">
        <v>27</v>
      </c>
      <c r="P447" s="312">
        <v>21</v>
      </c>
      <c r="Q447" s="312">
        <v>48</v>
      </c>
      <c r="R447" s="13"/>
      <c r="S447" s="13"/>
      <c r="T447" s="13"/>
      <c r="U447" s="13"/>
      <c r="V447" s="13"/>
      <c r="W447" s="13"/>
      <c r="X447" s="13"/>
    </row>
    <row r="448" spans="2:24" x14ac:dyDescent="0.25">
      <c r="B448" s="136" t="s">
        <v>346</v>
      </c>
      <c r="C448" s="276">
        <v>8</v>
      </c>
      <c r="D448" s="276">
        <v>5</v>
      </c>
      <c r="E448" s="276">
        <v>13</v>
      </c>
      <c r="F448" s="276">
        <v>20</v>
      </c>
      <c r="G448" s="276">
        <v>20</v>
      </c>
      <c r="H448" s="276">
        <v>40</v>
      </c>
      <c r="I448" s="276">
        <v>7</v>
      </c>
      <c r="J448" s="276">
        <v>4</v>
      </c>
      <c r="K448" s="276">
        <v>11</v>
      </c>
      <c r="L448" s="276">
        <v>1</v>
      </c>
      <c r="M448" s="276"/>
      <c r="N448" s="276">
        <v>1</v>
      </c>
      <c r="O448" s="312">
        <v>36</v>
      </c>
      <c r="P448" s="312">
        <v>29</v>
      </c>
      <c r="Q448" s="312">
        <v>65</v>
      </c>
      <c r="R448" s="13"/>
      <c r="S448" s="13"/>
      <c r="T448" s="13"/>
      <c r="U448" s="13"/>
      <c r="V448" s="13"/>
      <c r="W448" s="13"/>
      <c r="X448" s="13"/>
    </row>
    <row r="449" spans="2:24" x14ac:dyDescent="0.25">
      <c r="B449" s="136" t="s">
        <v>347</v>
      </c>
      <c r="C449" s="276">
        <v>10</v>
      </c>
      <c r="D449" s="276">
        <v>14</v>
      </c>
      <c r="E449" s="276">
        <v>24</v>
      </c>
      <c r="F449" s="276">
        <v>40</v>
      </c>
      <c r="G449" s="276">
        <v>33</v>
      </c>
      <c r="H449" s="276">
        <v>73</v>
      </c>
      <c r="I449" s="276">
        <v>10</v>
      </c>
      <c r="J449" s="276">
        <v>3</v>
      </c>
      <c r="K449" s="276">
        <v>13</v>
      </c>
      <c r="L449" s="276">
        <v>3</v>
      </c>
      <c r="M449" s="276">
        <v>3</v>
      </c>
      <c r="N449" s="276">
        <v>6</v>
      </c>
      <c r="O449" s="312">
        <v>63</v>
      </c>
      <c r="P449" s="312">
        <v>53</v>
      </c>
      <c r="Q449" s="312">
        <v>116</v>
      </c>
      <c r="R449" s="13"/>
      <c r="S449" s="13"/>
      <c r="T449" s="13"/>
      <c r="U449" s="13"/>
      <c r="V449" s="13"/>
      <c r="W449" s="13"/>
      <c r="X449" s="13"/>
    </row>
    <row r="450" spans="2:24" x14ac:dyDescent="0.25">
      <c r="B450" s="136" t="s">
        <v>348</v>
      </c>
      <c r="C450" s="276">
        <v>1</v>
      </c>
      <c r="D450" s="276"/>
      <c r="E450" s="276">
        <v>1</v>
      </c>
      <c r="F450" s="276">
        <v>3</v>
      </c>
      <c r="G450" s="276">
        <v>2</v>
      </c>
      <c r="H450" s="276">
        <v>5</v>
      </c>
      <c r="I450" s="276"/>
      <c r="J450" s="276"/>
      <c r="K450" s="276"/>
      <c r="L450" s="276"/>
      <c r="M450" s="276"/>
      <c r="N450" s="276"/>
      <c r="O450" s="312">
        <v>4</v>
      </c>
      <c r="P450" s="312">
        <v>2</v>
      </c>
      <c r="Q450" s="312">
        <v>6</v>
      </c>
      <c r="R450" s="13"/>
      <c r="S450" s="13"/>
      <c r="T450" s="13"/>
      <c r="U450" s="13"/>
      <c r="V450" s="13"/>
      <c r="W450" s="13"/>
      <c r="X450" s="13"/>
    </row>
    <row r="451" spans="2:24" x14ac:dyDescent="0.25">
      <c r="B451" s="136" t="s">
        <v>349</v>
      </c>
      <c r="C451" s="276">
        <v>4</v>
      </c>
      <c r="D451" s="276">
        <v>1</v>
      </c>
      <c r="E451" s="276">
        <v>5</v>
      </c>
      <c r="F451" s="276">
        <v>8</v>
      </c>
      <c r="G451" s="276">
        <v>9</v>
      </c>
      <c r="H451" s="276">
        <v>17</v>
      </c>
      <c r="I451" s="276">
        <v>1</v>
      </c>
      <c r="J451" s="276">
        <v>3</v>
      </c>
      <c r="K451" s="276">
        <v>4</v>
      </c>
      <c r="L451" s="276">
        <v>1</v>
      </c>
      <c r="M451" s="276"/>
      <c r="N451" s="276">
        <v>1</v>
      </c>
      <c r="O451" s="312">
        <v>14</v>
      </c>
      <c r="P451" s="312">
        <v>13</v>
      </c>
      <c r="Q451" s="312">
        <v>27</v>
      </c>
      <c r="R451" s="13"/>
      <c r="S451" s="13"/>
      <c r="T451" s="13"/>
      <c r="U451" s="13"/>
      <c r="V451" s="13"/>
      <c r="W451" s="13"/>
      <c r="X451" s="13"/>
    </row>
    <row r="452" spans="2:24" x14ac:dyDescent="0.25">
      <c r="B452" s="136" t="s">
        <v>350</v>
      </c>
      <c r="C452" s="276">
        <v>11</v>
      </c>
      <c r="D452" s="276">
        <v>3</v>
      </c>
      <c r="E452" s="276">
        <v>14</v>
      </c>
      <c r="F452" s="276">
        <v>35</v>
      </c>
      <c r="G452" s="276">
        <v>24</v>
      </c>
      <c r="H452" s="276">
        <v>59</v>
      </c>
      <c r="I452" s="276">
        <v>3</v>
      </c>
      <c r="J452" s="276">
        <v>3</v>
      </c>
      <c r="K452" s="276">
        <v>6</v>
      </c>
      <c r="L452" s="276"/>
      <c r="M452" s="276"/>
      <c r="N452" s="276"/>
      <c r="O452" s="312">
        <v>49</v>
      </c>
      <c r="P452" s="312">
        <v>30</v>
      </c>
      <c r="Q452" s="312">
        <v>79</v>
      </c>
      <c r="R452" s="13"/>
      <c r="S452" s="13"/>
      <c r="T452" s="13"/>
      <c r="U452" s="13"/>
      <c r="V452" s="13"/>
      <c r="W452" s="13"/>
      <c r="X452" s="13"/>
    </row>
    <row r="453" spans="2:24" x14ac:dyDescent="0.25">
      <c r="B453" s="136" t="s">
        <v>351</v>
      </c>
      <c r="C453" s="276">
        <v>2</v>
      </c>
      <c r="D453" s="276">
        <v>9</v>
      </c>
      <c r="E453" s="276">
        <v>11</v>
      </c>
      <c r="F453" s="276">
        <v>42</v>
      </c>
      <c r="G453" s="276">
        <v>21</v>
      </c>
      <c r="H453" s="276">
        <v>63</v>
      </c>
      <c r="I453" s="276">
        <v>12</v>
      </c>
      <c r="J453" s="276">
        <v>6</v>
      </c>
      <c r="K453" s="276">
        <v>18</v>
      </c>
      <c r="L453" s="276">
        <v>1</v>
      </c>
      <c r="M453" s="276">
        <v>2</v>
      </c>
      <c r="N453" s="276">
        <v>3</v>
      </c>
      <c r="O453" s="312">
        <v>57</v>
      </c>
      <c r="P453" s="312">
        <v>38</v>
      </c>
      <c r="Q453" s="312">
        <v>95</v>
      </c>
      <c r="R453" s="13"/>
      <c r="S453" s="13"/>
      <c r="T453" s="13"/>
      <c r="U453" s="13"/>
      <c r="V453" s="13"/>
      <c r="W453" s="13"/>
      <c r="X453" s="13"/>
    </row>
    <row r="454" spans="2:24" x14ac:dyDescent="0.25">
      <c r="B454" s="136" t="s">
        <v>352</v>
      </c>
      <c r="C454" s="276">
        <v>9</v>
      </c>
      <c r="D454" s="276">
        <v>10</v>
      </c>
      <c r="E454" s="276">
        <v>19</v>
      </c>
      <c r="F454" s="276">
        <v>23</v>
      </c>
      <c r="G454" s="276">
        <v>24</v>
      </c>
      <c r="H454" s="276">
        <v>47</v>
      </c>
      <c r="I454" s="276">
        <v>11</v>
      </c>
      <c r="J454" s="276">
        <v>6</v>
      </c>
      <c r="K454" s="276">
        <v>17</v>
      </c>
      <c r="L454" s="276"/>
      <c r="M454" s="276">
        <v>1</v>
      </c>
      <c r="N454" s="276">
        <v>1</v>
      </c>
      <c r="O454" s="312">
        <v>43</v>
      </c>
      <c r="P454" s="312">
        <v>41</v>
      </c>
      <c r="Q454" s="312">
        <v>84</v>
      </c>
      <c r="R454" s="13"/>
      <c r="S454" s="13"/>
      <c r="T454" s="13"/>
      <c r="U454" s="13"/>
      <c r="V454" s="13"/>
      <c r="W454" s="13"/>
      <c r="X454" s="13"/>
    </row>
    <row r="455" spans="2:24" x14ac:dyDescent="0.25">
      <c r="B455" s="136" t="s">
        <v>353</v>
      </c>
      <c r="C455" s="276">
        <v>81</v>
      </c>
      <c r="D455" s="276">
        <v>61</v>
      </c>
      <c r="E455" s="276">
        <v>142</v>
      </c>
      <c r="F455" s="276">
        <v>333</v>
      </c>
      <c r="G455" s="276">
        <v>253</v>
      </c>
      <c r="H455" s="276">
        <v>586</v>
      </c>
      <c r="I455" s="276">
        <v>72</v>
      </c>
      <c r="J455" s="276">
        <v>24</v>
      </c>
      <c r="K455" s="276">
        <v>96</v>
      </c>
      <c r="L455" s="276">
        <v>24</v>
      </c>
      <c r="M455" s="276">
        <v>48</v>
      </c>
      <c r="N455" s="276">
        <v>72</v>
      </c>
      <c r="O455" s="312">
        <v>510</v>
      </c>
      <c r="P455" s="312">
        <v>386</v>
      </c>
      <c r="Q455" s="312">
        <v>896</v>
      </c>
      <c r="R455" s="13"/>
      <c r="S455" s="13"/>
      <c r="T455" s="13"/>
      <c r="U455" s="13"/>
      <c r="V455" s="13"/>
      <c r="W455" s="13"/>
      <c r="X455" s="13"/>
    </row>
    <row r="456" spans="2:24" x14ac:dyDescent="0.25">
      <c r="B456" s="136" t="s">
        <v>354</v>
      </c>
      <c r="C456" s="276"/>
      <c r="D456" s="276">
        <v>1</v>
      </c>
      <c r="E456" s="276">
        <v>1</v>
      </c>
      <c r="F456" s="276">
        <v>4</v>
      </c>
      <c r="G456" s="276">
        <v>2</v>
      </c>
      <c r="H456" s="276">
        <v>6</v>
      </c>
      <c r="I456" s="276"/>
      <c r="J456" s="276"/>
      <c r="K456" s="276"/>
      <c r="L456" s="276"/>
      <c r="M456" s="276">
        <v>1</v>
      </c>
      <c r="N456" s="276">
        <v>1</v>
      </c>
      <c r="O456" s="312">
        <v>4</v>
      </c>
      <c r="P456" s="312">
        <v>4</v>
      </c>
      <c r="Q456" s="312">
        <v>8</v>
      </c>
      <c r="R456" s="13"/>
      <c r="S456" s="13"/>
      <c r="T456" s="13"/>
      <c r="U456" s="13"/>
      <c r="V456" s="13"/>
      <c r="W456" s="13"/>
      <c r="X456" s="13"/>
    </row>
    <row r="457" spans="2:24" x14ac:dyDescent="0.25">
      <c r="B457" s="136" t="s">
        <v>355</v>
      </c>
      <c r="C457" s="276">
        <v>78</v>
      </c>
      <c r="D457" s="276">
        <v>51</v>
      </c>
      <c r="E457" s="276">
        <v>129</v>
      </c>
      <c r="F457" s="276">
        <v>383</v>
      </c>
      <c r="G457" s="276">
        <v>326</v>
      </c>
      <c r="H457" s="276">
        <v>709</v>
      </c>
      <c r="I457" s="276">
        <v>75</v>
      </c>
      <c r="J457" s="276">
        <v>38</v>
      </c>
      <c r="K457" s="276">
        <v>113</v>
      </c>
      <c r="L457" s="276">
        <v>27</v>
      </c>
      <c r="M457" s="276">
        <v>27</v>
      </c>
      <c r="N457" s="276">
        <v>54</v>
      </c>
      <c r="O457" s="312">
        <v>563</v>
      </c>
      <c r="P457" s="312">
        <v>442</v>
      </c>
      <c r="Q457" s="312">
        <v>1005</v>
      </c>
      <c r="R457" s="13"/>
      <c r="S457" s="13"/>
      <c r="T457" s="13"/>
      <c r="U457" s="13"/>
      <c r="V457" s="13"/>
      <c r="W457" s="13"/>
      <c r="X457" s="13"/>
    </row>
    <row r="458" spans="2:24" x14ac:dyDescent="0.25">
      <c r="B458" s="136" t="s">
        <v>356</v>
      </c>
      <c r="C458" s="276">
        <v>4</v>
      </c>
      <c r="D458" s="276">
        <v>5</v>
      </c>
      <c r="E458" s="276">
        <v>9</v>
      </c>
      <c r="F458" s="276">
        <v>16</v>
      </c>
      <c r="G458" s="276">
        <v>23</v>
      </c>
      <c r="H458" s="276">
        <v>39</v>
      </c>
      <c r="I458" s="276">
        <v>2</v>
      </c>
      <c r="J458" s="276"/>
      <c r="K458" s="276">
        <v>2</v>
      </c>
      <c r="L458" s="276">
        <v>2</v>
      </c>
      <c r="M458" s="276">
        <v>2</v>
      </c>
      <c r="N458" s="276">
        <v>4</v>
      </c>
      <c r="O458" s="312">
        <v>24</v>
      </c>
      <c r="P458" s="312">
        <v>30</v>
      </c>
      <c r="Q458" s="312">
        <v>54</v>
      </c>
      <c r="R458" s="13"/>
      <c r="S458" s="13"/>
      <c r="T458" s="13"/>
      <c r="U458" s="13"/>
      <c r="V458" s="13"/>
      <c r="W458" s="13"/>
      <c r="X458" s="13"/>
    </row>
    <row r="459" spans="2:24" x14ac:dyDescent="0.25">
      <c r="B459" s="136" t="s">
        <v>357</v>
      </c>
      <c r="C459" s="276">
        <v>15</v>
      </c>
      <c r="D459" s="276">
        <v>14</v>
      </c>
      <c r="E459" s="276">
        <v>29</v>
      </c>
      <c r="F459" s="276">
        <v>72</v>
      </c>
      <c r="G459" s="276">
        <v>55</v>
      </c>
      <c r="H459" s="276">
        <v>127</v>
      </c>
      <c r="I459" s="276">
        <v>13</v>
      </c>
      <c r="J459" s="276">
        <v>3</v>
      </c>
      <c r="K459" s="276">
        <v>16</v>
      </c>
      <c r="L459" s="276">
        <v>3</v>
      </c>
      <c r="M459" s="276">
        <v>2</v>
      </c>
      <c r="N459" s="276">
        <v>5</v>
      </c>
      <c r="O459" s="312">
        <v>103</v>
      </c>
      <c r="P459" s="312">
        <v>74</v>
      </c>
      <c r="Q459" s="312">
        <v>177</v>
      </c>
      <c r="R459" s="13"/>
      <c r="S459" s="13"/>
      <c r="T459" s="13"/>
      <c r="U459" s="13"/>
      <c r="V459" s="13"/>
      <c r="W459" s="13"/>
      <c r="X459" s="13"/>
    </row>
    <row r="460" spans="2:24" x14ac:dyDescent="0.25">
      <c r="B460" s="136" t="s">
        <v>358</v>
      </c>
      <c r="C460" s="276">
        <v>1</v>
      </c>
      <c r="D460" s="276">
        <v>3</v>
      </c>
      <c r="E460" s="276">
        <v>4</v>
      </c>
      <c r="F460" s="276">
        <v>8</v>
      </c>
      <c r="G460" s="276">
        <v>3</v>
      </c>
      <c r="H460" s="276">
        <v>11</v>
      </c>
      <c r="I460" s="276"/>
      <c r="J460" s="276">
        <v>1</v>
      </c>
      <c r="K460" s="276">
        <v>1</v>
      </c>
      <c r="L460" s="276"/>
      <c r="M460" s="276">
        <v>1</v>
      </c>
      <c r="N460" s="276">
        <v>1</v>
      </c>
      <c r="O460" s="312">
        <v>9</v>
      </c>
      <c r="P460" s="312">
        <v>8</v>
      </c>
      <c r="Q460" s="312">
        <v>17</v>
      </c>
      <c r="R460" s="13"/>
      <c r="S460" s="13"/>
      <c r="T460" s="13"/>
      <c r="U460" s="13"/>
      <c r="V460" s="13"/>
      <c r="W460" s="13"/>
      <c r="X460" s="13"/>
    </row>
    <row r="461" spans="2:24" x14ac:dyDescent="0.25">
      <c r="B461" s="136" t="s">
        <v>359</v>
      </c>
      <c r="C461" s="276">
        <v>11</v>
      </c>
      <c r="D461" s="276">
        <v>9</v>
      </c>
      <c r="E461" s="276">
        <v>20</v>
      </c>
      <c r="F461" s="276">
        <v>42</v>
      </c>
      <c r="G461" s="276">
        <v>30</v>
      </c>
      <c r="H461" s="276">
        <v>72</v>
      </c>
      <c r="I461" s="276">
        <v>7</v>
      </c>
      <c r="J461" s="276">
        <v>3</v>
      </c>
      <c r="K461" s="276">
        <v>10</v>
      </c>
      <c r="L461" s="276">
        <v>1</v>
      </c>
      <c r="M461" s="276">
        <v>6</v>
      </c>
      <c r="N461" s="276">
        <v>7</v>
      </c>
      <c r="O461" s="312">
        <v>61</v>
      </c>
      <c r="P461" s="312">
        <v>48</v>
      </c>
      <c r="Q461" s="312">
        <v>109</v>
      </c>
      <c r="R461" s="13"/>
      <c r="S461" s="13"/>
      <c r="T461" s="13"/>
      <c r="U461" s="13"/>
      <c r="V461" s="13"/>
      <c r="W461" s="13"/>
      <c r="X461" s="13"/>
    </row>
    <row r="462" spans="2:24" x14ac:dyDescent="0.25">
      <c r="B462" s="136" t="s">
        <v>360</v>
      </c>
      <c r="C462" s="276">
        <v>2</v>
      </c>
      <c r="D462" s="276">
        <v>5</v>
      </c>
      <c r="E462" s="276">
        <v>7</v>
      </c>
      <c r="F462" s="276">
        <v>21</v>
      </c>
      <c r="G462" s="276">
        <v>23</v>
      </c>
      <c r="H462" s="276">
        <v>44</v>
      </c>
      <c r="I462" s="276">
        <v>19</v>
      </c>
      <c r="J462" s="276">
        <v>3</v>
      </c>
      <c r="K462" s="276">
        <v>22</v>
      </c>
      <c r="L462" s="276">
        <v>1</v>
      </c>
      <c r="M462" s="276">
        <v>2</v>
      </c>
      <c r="N462" s="276">
        <v>3</v>
      </c>
      <c r="O462" s="312">
        <v>43</v>
      </c>
      <c r="P462" s="312">
        <v>33</v>
      </c>
      <c r="Q462" s="312">
        <v>76</v>
      </c>
      <c r="R462" s="13"/>
      <c r="S462" s="13"/>
      <c r="T462" s="13"/>
      <c r="U462" s="13"/>
      <c r="V462" s="13"/>
      <c r="W462" s="13"/>
      <c r="X462" s="13"/>
    </row>
    <row r="463" spans="2:24" x14ac:dyDescent="0.25">
      <c r="B463" s="136" t="s">
        <v>361</v>
      </c>
      <c r="C463" s="276">
        <v>2</v>
      </c>
      <c r="D463" s="276">
        <v>2</v>
      </c>
      <c r="E463" s="276">
        <v>4</v>
      </c>
      <c r="F463" s="276">
        <v>11</v>
      </c>
      <c r="G463" s="276">
        <v>9</v>
      </c>
      <c r="H463" s="276">
        <v>20</v>
      </c>
      <c r="I463" s="276">
        <v>4</v>
      </c>
      <c r="J463" s="276">
        <v>4</v>
      </c>
      <c r="K463" s="276">
        <v>8</v>
      </c>
      <c r="L463" s="276">
        <v>2</v>
      </c>
      <c r="M463" s="276">
        <v>1</v>
      </c>
      <c r="N463" s="276">
        <v>3</v>
      </c>
      <c r="O463" s="312">
        <v>19</v>
      </c>
      <c r="P463" s="312">
        <v>16</v>
      </c>
      <c r="Q463" s="312">
        <v>35</v>
      </c>
      <c r="R463" s="13"/>
      <c r="S463" s="13"/>
      <c r="T463" s="13"/>
      <c r="U463" s="13"/>
      <c r="V463" s="13"/>
      <c r="W463" s="13"/>
      <c r="X463" s="13"/>
    </row>
    <row r="464" spans="2:24" x14ac:dyDescent="0.25">
      <c r="B464" s="136" t="s">
        <v>362</v>
      </c>
      <c r="C464" s="276">
        <v>3</v>
      </c>
      <c r="D464" s="276">
        <v>7</v>
      </c>
      <c r="E464" s="276">
        <v>10</v>
      </c>
      <c r="F464" s="276">
        <v>27</v>
      </c>
      <c r="G464" s="276">
        <v>28</v>
      </c>
      <c r="H464" s="276">
        <v>55</v>
      </c>
      <c r="I464" s="276">
        <v>19</v>
      </c>
      <c r="J464" s="276">
        <v>17</v>
      </c>
      <c r="K464" s="276">
        <v>36</v>
      </c>
      <c r="L464" s="276"/>
      <c r="M464" s="276">
        <v>3</v>
      </c>
      <c r="N464" s="276">
        <v>3</v>
      </c>
      <c r="O464" s="312">
        <v>49</v>
      </c>
      <c r="P464" s="312">
        <v>55</v>
      </c>
      <c r="Q464" s="312">
        <v>104</v>
      </c>
      <c r="R464" s="13"/>
      <c r="S464" s="13"/>
      <c r="T464" s="13"/>
      <c r="U464" s="13"/>
      <c r="V464" s="13"/>
      <c r="W464" s="13"/>
      <c r="X464" s="13"/>
    </row>
    <row r="465" spans="2:24" x14ac:dyDescent="0.25">
      <c r="B465" s="136" t="s">
        <v>363</v>
      </c>
      <c r="C465" s="276">
        <v>3</v>
      </c>
      <c r="D465" s="276">
        <v>5</v>
      </c>
      <c r="E465" s="276">
        <v>8</v>
      </c>
      <c r="F465" s="276">
        <v>14</v>
      </c>
      <c r="G465" s="276">
        <v>13</v>
      </c>
      <c r="H465" s="276">
        <v>27</v>
      </c>
      <c r="I465" s="276">
        <v>2</v>
      </c>
      <c r="J465" s="276">
        <v>1</v>
      </c>
      <c r="K465" s="276">
        <v>3</v>
      </c>
      <c r="L465" s="276"/>
      <c r="M465" s="276">
        <v>2</v>
      </c>
      <c r="N465" s="276">
        <v>2</v>
      </c>
      <c r="O465" s="312">
        <v>19</v>
      </c>
      <c r="P465" s="312">
        <v>21</v>
      </c>
      <c r="Q465" s="312">
        <v>40</v>
      </c>
      <c r="R465" s="13"/>
      <c r="S465" s="13"/>
      <c r="T465" s="13"/>
      <c r="U465" s="13"/>
      <c r="V465" s="13"/>
      <c r="W465" s="13"/>
      <c r="X465" s="13"/>
    </row>
    <row r="466" spans="2:24" x14ac:dyDescent="0.25">
      <c r="B466" s="136" t="s">
        <v>364</v>
      </c>
      <c r="C466" s="276">
        <v>3</v>
      </c>
      <c r="D466" s="276">
        <v>2</v>
      </c>
      <c r="E466" s="276">
        <v>5</v>
      </c>
      <c r="F466" s="276">
        <v>7</v>
      </c>
      <c r="G466" s="276">
        <v>11</v>
      </c>
      <c r="H466" s="276">
        <v>18</v>
      </c>
      <c r="I466" s="276">
        <v>3</v>
      </c>
      <c r="J466" s="276">
        <v>3</v>
      </c>
      <c r="K466" s="276">
        <v>6</v>
      </c>
      <c r="L466" s="276">
        <v>3</v>
      </c>
      <c r="M466" s="276"/>
      <c r="N466" s="276">
        <v>3</v>
      </c>
      <c r="O466" s="312">
        <v>16</v>
      </c>
      <c r="P466" s="312">
        <v>16</v>
      </c>
      <c r="Q466" s="312">
        <v>32</v>
      </c>
      <c r="R466" s="13"/>
      <c r="S466" s="13"/>
      <c r="T466" s="13"/>
      <c r="U466" s="13"/>
      <c r="V466" s="13"/>
      <c r="W466" s="13"/>
      <c r="X466" s="13"/>
    </row>
    <row r="467" spans="2:24" x14ac:dyDescent="0.25">
      <c r="B467" s="136" t="s">
        <v>365</v>
      </c>
      <c r="C467" s="276">
        <v>16</v>
      </c>
      <c r="D467" s="276">
        <v>5</v>
      </c>
      <c r="E467" s="276">
        <v>21</v>
      </c>
      <c r="F467" s="276">
        <v>36</v>
      </c>
      <c r="G467" s="276">
        <v>27</v>
      </c>
      <c r="H467" s="276">
        <v>63</v>
      </c>
      <c r="I467" s="276">
        <v>17</v>
      </c>
      <c r="J467" s="276">
        <v>2</v>
      </c>
      <c r="K467" s="276">
        <v>19</v>
      </c>
      <c r="L467" s="276">
        <v>4</v>
      </c>
      <c r="M467" s="276">
        <v>9</v>
      </c>
      <c r="N467" s="276">
        <v>13</v>
      </c>
      <c r="O467" s="312">
        <v>73</v>
      </c>
      <c r="P467" s="312">
        <v>43</v>
      </c>
      <c r="Q467" s="312">
        <v>116</v>
      </c>
      <c r="R467" s="13"/>
      <c r="S467" s="13"/>
      <c r="T467" s="13"/>
      <c r="U467" s="13"/>
      <c r="V467" s="13"/>
      <c r="W467" s="13"/>
      <c r="X467" s="13"/>
    </row>
    <row r="468" spans="2:24" x14ac:dyDescent="0.25">
      <c r="B468" s="136" t="s">
        <v>366</v>
      </c>
      <c r="C468" s="276">
        <v>3</v>
      </c>
      <c r="D468" s="276">
        <v>2</v>
      </c>
      <c r="E468" s="276">
        <v>5</v>
      </c>
      <c r="F468" s="276">
        <v>19</v>
      </c>
      <c r="G468" s="276">
        <v>13</v>
      </c>
      <c r="H468" s="276">
        <v>32</v>
      </c>
      <c r="I468" s="276">
        <v>3</v>
      </c>
      <c r="J468" s="276">
        <v>4</v>
      </c>
      <c r="K468" s="276">
        <v>7</v>
      </c>
      <c r="L468" s="276">
        <v>2</v>
      </c>
      <c r="M468" s="276">
        <v>8</v>
      </c>
      <c r="N468" s="276">
        <v>10</v>
      </c>
      <c r="O468" s="312">
        <v>27</v>
      </c>
      <c r="P468" s="312">
        <v>27</v>
      </c>
      <c r="Q468" s="312">
        <v>54</v>
      </c>
      <c r="R468" s="13"/>
      <c r="S468" s="13"/>
      <c r="T468" s="13"/>
      <c r="U468" s="13"/>
      <c r="V468" s="13"/>
      <c r="W468" s="13"/>
      <c r="X468" s="13"/>
    </row>
    <row r="469" spans="2:24" x14ac:dyDescent="0.25">
      <c r="B469" s="136" t="s">
        <v>367</v>
      </c>
      <c r="C469" s="276">
        <v>1</v>
      </c>
      <c r="D469" s="276">
        <v>6</v>
      </c>
      <c r="E469" s="276">
        <v>7</v>
      </c>
      <c r="F469" s="276">
        <v>9</v>
      </c>
      <c r="G469" s="276">
        <v>13</v>
      </c>
      <c r="H469" s="276">
        <v>22</v>
      </c>
      <c r="I469" s="276">
        <v>10</v>
      </c>
      <c r="J469" s="276">
        <v>5</v>
      </c>
      <c r="K469" s="276">
        <v>15</v>
      </c>
      <c r="L469" s="276">
        <v>3</v>
      </c>
      <c r="M469" s="276">
        <v>2</v>
      </c>
      <c r="N469" s="276">
        <v>5</v>
      </c>
      <c r="O469" s="312">
        <v>23</v>
      </c>
      <c r="P469" s="312">
        <v>26</v>
      </c>
      <c r="Q469" s="312">
        <v>49</v>
      </c>
      <c r="R469" s="13"/>
      <c r="S469" s="13"/>
      <c r="T469" s="13"/>
      <c r="U469" s="13"/>
      <c r="V469" s="13"/>
      <c r="W469" s="13"/>
      <c r="X469" s="13"/>
    </row>
    <row r="470" spans="2:24" x14ac:dyDescent="0.25">
      <c r="B470" s="311" t="s">
        <v>28</v>
      </c>
      <c r="C470" s="271">
        <v>306</v>
      </c>
      <c r="D470" s="271">
        <v>271</v>
      </c>
      <c r="E470" s="271">
        <v>577</v>
      </c>
      <c r="F470" s="271">
        <v>1402</v>
      </c>
      <c r="G470" s="271">
        <v>1186</v>
      </c>
      <c r="H470" s="269">
        <v>2588</v>
      </c>
      <c r="I470" s="271">
        <v>373</v>
      </c>
      <c r="J470" s="269">
        <v>172</v>
      </c>
      <c r="K470" s="271">
        <v>545</v>
      </c>
      <c r="L470" s="269">
        <v>99</v>
      </c>
      <c r="M470" s="271">
        <v>157</v>
      </c>
      <c r="N470" s="269">
        <v>256</v>
      </c>
      <c r="O470" s="312">
        <v>2180</v>
      </c>
      <c r="P470" s="312">
        <v>1786</v>
      </c>
      <c r="Q470" s="312">
        <v>3966</v>
      </c>
      <c r="R470" s="13"/>
      <c r="S470" s="13"/>
      <c r="T470" s="13"/>
      <c r="U470" s="13"/>
      <c r="V470" s="13"/>
      <c r="W470" s="13"/>
      <c r="X470" s="13"/>
    </row>
    <row r="471" spans="2:24" ht="114.75" customHeight="1" x14ac:dyDescent="0.25">
      <c r="B471" s="442" t="s">
        <v>814</v>
      </c>
      <c r="C471" s="442"/>
      <c r="D471" s="442"/>
      <c r="E471" s="442"/>
      <c r="F471" s="442"/>
      <c r="G471" s="442"/>
      <c r="H471" s="442"/>
      <c r="I471" s="442"/>
      <c r="J471" s="442"/>
      <c r="K471" s="442"/>
      <c r="L471" s="442"/>
      <c r="M471" s="442"/>
      <c r="N471" s="442"/>
      <c r="O471" s="442"/>
      <c r="P471" s="442"/>
      <c r="Q471" s="442"/>
      <c r="R471" s="13"/>
      <c r="S471" s="13"/>
      <c r="T471" s="13"/>
      <c r="U471" s="13"/>
      <c r="V471" s="13"/>
      <c r="W471" s="13"/>
    </row>
    <row r="472" spans="2:24" x14ac:dyDescent="0.25">
      <c r="B472" s="158"/>
      <c r="C472" s="158"/>
      <c r="D472" s="158"/>
      <c r="E472" s="158"/>
      <c r="F472" s="158"/>
      <c r="G472"/>
      <c r="H472" s="13"/>
      <c r="I472" s="13"/>
      <c r="J472" s="13"/>
      <c r="K472" s="13"/>
      <c r="L472" s="13"/>
      <c r="M472" s="13"/>
      <c r="N472" s="13"/>
      <c r="O472" s="13"/>
      <c r="P472" s="13"/>
      <c r="Q472" s="13"/>
      <c r="R472" s="13"/>
      <c r="S472" s="13"/>
      <c r="T472" s="13"/>
      <c r="U472" s="13"/>
      <c r="V472" s="13"/>
      <c r="W472" s="13"/>
    </row>
    <row r="473" spans="2:24" x14ac:dyDescent="0.25">
      <c r="B473" s="187" t="s">
        <v>520</v>
      </c>
      <c r="C473"/>
      <c r="D473"/>
      <c r="E473"/>
      <c r="F473"/>
      <c r="G473"/>
      <c r="H473" s="13"/>
      <c r="I473" s="13"/>
      <c r="J473" s="13"/>
      <c r="K473" s="13"/>
      <c r="L473" s="13"/>
      <c r="M473" s="13"/>
      <c r="N473" s="13"/>
      <c r="O473" s="13"/>
      <c r="P473" s="13"/>
      <c r="Q473" s="13"/>
      <c r="R473" s="13"/>
      <c r="S473" s="13"/>
      <c r="T473" s="13"/>
      <c r="U473" s="13"/>
      <c r="V473" s="13"/>
      <c r="W473" s="13"/>
    </row>
    <row r="474" spans="2:24" x14ac:dyDescent="0.25">
      <c r="B474" s="187"/>
      <c r="C474"/>
      <c r="D474"/>
      <c r="E474"/>
      <c r="F474"/>
      <c r="G474"/>
      <c r="H474" s="13"/>
      <c r="I474" s="13"/>
      <c r="J474" s="13"/>
      <c r="K474" s="13"/>
      <c r="L474" s="13"/>
      <c r="M474" s="13"/>
      <c r="N474" s="13"/>
      <c r="O474" s="13"/>
      <c r="P474" s="13"/>
      <c r="Q474" s="13"/>
      <c r="R474" s="13"/>
      <c r="S474" s="13"/>
      <c r="T474" s="13"/>
      <c r="U474" s="13"/>
      <c r="V474" s="13"/>
      <c r="W474" s="13"/>
    </row>
    <row r="475" spans="2:24" ht="15" customHeight="1" x14ac:dyDescent="0.25">
      <c r="B475" s="441" t="s">
        <v>537</v>
      </c>
      <c r="C475" s="426" t="s">
        <v>481</v>
      </c>
      <c r="D475" s="426"/>
      <c r="E475" s="426"/>
      <c r="F475" s="426"/>
      <c r="G475" s="426"/>
      <c r="H475" s="426"/>
      <c r="I475" s="426"/>
      <c r="J475" s="426"/>
      <c r="K475" s="426"/>
      <c r="L475" s="426"/>
      <c r="M475" s="426"/>
      <c r="N475" s="426"/>
      <c r="O475" s="443" t="s">
        <v>697</v>
      </c>
      <c r="P475" s="444"/>
      <c r="Q475" s="445"/>
      <c r="R475" s="13"/>
      <c r="S475" s="13"/>
      <c r="T475" s="13"/>
      <c r="U475" s="13"/>
      <c r="V475" s="13"/>
      <c r="W475" s="13"/>
    </row>
    <row r="476" spans="2:24" ht="15" customHeight="1" x14ac:dyDescent="0.25">
      <c r="B476" s="441"/>
      <c r="C476" s="426" t="s">
        <v>658</v>
      </c>
      <c r="D476" s="426"/>
      <c r="E476" s="426"/>
      <c r="F476" s="426" t="s">
        <v>490</v>
      </c>
      <c r="G476" s="426"/>
      <c r="H476" s="426"/>
      <c r="I476" s="426" t="s">
        <v>4</v>
      </c>
      <c r="J476" s="426"/>
      <c r="K476" s="426"/>
      <c r="L476" s="426" t="s">
        <v>6</v>
      </c>
      <c r="M476" s="426"/>
      <c r="N476" s="426"/>
      <c r="O476" s="446"/>
      <c r="P476" s="447"/>
      <c r="Q476" s="448"/>
      <c r="R476" s="13"/>
      <c r="S476" s="13"/>
      <c r="T476" s="13"/>
      <c r="U476" s="13"/>
      <c r="V476" s="13"/>
      <c r="W476" s="13"/>
    </row>
    <row r="477" spans="2:24" x14ac:dyDescent="0.25">
      <c r="B477" s="441"/>
      <c r="C477" s="161" t="s">
        <v>76</v>
      </c>
      <c r="D477" s="161" t="s">
        <v>77</v>
      </c>
      <c r="E477" s="161" t="s">
        <v>28</v>
      </c>
      <c r="F477" s="161" t="s">
        <v>76</v>
      </c>
      <c r="G477" s="161" t="s">
        <v>77</v>
      </c>
      <c r="H477" s="161" t="s">
        <v>28</v>
      </c>
      <c r="I477" s="161" t="s">
        <v>76</v>
      </c>
      <c r="J477" s="161" t="s">
        <v>77</v>
      </c>
      <c r="K477" s="161" t="s">
        <v>28</v>
      </c>
      <c r="L477" s="161" t="s">
        <v>76</v>
      </c>
      <c r="M477" s="161" t="s">
        <v>77</v>
      </c>
      <c r="N477" s="161" t="s">
        <v>28</v>
      </c>
      <c r="O477" s="244" t="s">
        <v>76</v>
      </c>
      <c r="P477" s="244" t="s">
        <v>77</v>
      </c>
      <c r="Q477" s="244" t="s">
        <v>28</v>
      </c>
      <c r="R477" s="13"/>
      <c r="S477" s="13"/>
      <c r="T477" s="13"/>
      <c r="U477" s="13"/>
      <c r="V477" s="13"/>
      <c r="W477" s="13"/>
    </row>
    <row r="478" spans="2:24" x14ac:dyDescent="0.25">
      <c r="B478" s="157" t="s">
        <v>368</v>
      </c>
      <c r="C478" s="278">
        <v>2</v>
      </c>
      <c r="D478" s="278">
        <v>1</v>
      </c>
      <c r="E478" s="278">
        <v>3</v>
      </c>
      <c r="F478" s="278">
        <v>14</v>
      </c>
      <c r="G478" s="278">
        <v>8</v>
      </c>
      <c r="H478" s="278">
        <v>22</v>
      </c>
      <c r="I478" s="278"/>
      <c r="J478" s="278"/>
      <c r="K478" s="278"/>
      <c r="L478" s="278"/>
      <c r="M478" s="278">
        <v>3</v>
      </c>
      <c r="N478" s="278">
        <v>3</v>
      </c>
      <c r="O478" s="312">
        <v>16</v>
      </c>
      <c r="P478" s="312">
        <v>12</v>
      </c>
      <c r="Q478" s="312">
        <v>28</v>
      </c>
      <c r="R478" s="13"/>
      <c r="S478" s="13"/>
      <c r="T478" s="13"/>
      <c r="U478" s="13"/>
      <c r="V478" s="13"/>
      <c r="W478" s="13"/>
      <c r="X478" s="13"/>
    </row>
    <row r="479" spans="2:24" x14ac:dyDescent="0.25">
      <c r="B479" s="136" t="s">
        <v>369</v>
      </c>
      <c r="C479" s="276">
        <v>1</v>
      </c>
      <c r="D479" s="276">
        <v>1</v>
      </c>
      <c r="E479" s="276">
        <v>2</v>
      </c>
      <c r="F479" s="276">
        <v>7</v>
      </c>
      <c r="G479" s="276">
        <v>11</v>
      </c>
      <c r="H479" s="276">
        <v>18</v>
      </c>
      <c r="I479" s="276">
        <v>3</v>
      </c>
      <c r="J479" s="276">
        <v>1</v>
      </c>
      <c r="K479" s="276">
        <v>4</v>
      </c>
      <c r="L479" s="276"/>
      <c r="M479" s="276"/>
      <c r="N479" s="276"/>
      <c r="O479" s="312">
        <v>11</v>
      </c>
      <c r="P479" s="312">
        <v>13</v>
      </c>
      <c r="Q479" s="312">
        <v>24</v>
      </c>
      <c r="R479" s="13"/>
      <c r="S479" s="13"/>
      <c r="T479" s="13"/>
      <c r="U479" s="13"/>
      <c r="V479" s="13"/>
      <c r="W479" s="13"/>
      <c r="X479" s="13"/>
    </row>
    <row r="480" spans="2:24" x14ac:dyDescent="0.25">
      <c r="B480" s="136" t="s">
        <v>370</v>
      </c>
      <c r="C480" s="276"/>
      <c r="D480" s="276"/>
      <c r="E480" s="276"/>
      <c r="F480" s="276">
        <v>3</v>
      </c>
      <c r="G480" s="276">
        <v>4</v>
      </c>
      <c r="H480" s="276">
        <v>7</v>
      </c>
      <c r="I480" s="276"/>
      <c r="J480" s="276">
        <v>1</v>
      </c>
      <c r="K480" s="276">
        <v>1</v>
      </c>
      <c r="L480" s="276"/>
      <c r="M480" s="276"/>
      <c r="N480" s="276"/>
      <c r="O480" s="312">
        <v>3</v>
      </c>
      <c r="P480" s="312">
        <v>5</v>
      </c>
      <c r="Q480" s="312">
        <v>8</v>
      </c>
      <c r="R480" s="13"/>
      <c r="S480" s="13"/>
      <c r="T480" s="13"/>
      <c r="U480" s="13"/>
      <c r="V480" s="13"/>
      <c r="W480" s="13"/>
      <c r="X480" s="13"/>
    </row>
    <row r="481" spans="2:24" x14ac:dyDescent="0.25">
      <c r="B481" s="136" t="s">
        <v>371</v>
      </c>
      <c r="C481" s="276">
        <v>13</v>
      </c>
      <c r="D481" s="276">
        <v>17</v>
      </c>
      <c r="E481" s="276">
        <v>30</v>
      </c>
      <c r="F481" s="276">
        <v>100</v>
      </c>
      <c r="G481" s="276">
        <v>74</v>
      </c>
      <c r="H481" s="276">
        <v>174</v>
      </c>
      <c r="I481" s="276">
        <v>19</v>
      </c>
      <c r="J481" s="276">
        <v>9</v>
      </c>
      <c r="K481" s="276">
        <v>28</v>
      </c>
      <c r="L481" s="276">
        <v>9</v>
      </c>
      <c r="M481" s="276">
        <v>6</v>
      </c>
      <c r="N481" s="276">
        <v>15</v>
      </c>
      <c r="O481" s="312">
        <v>141</v>
      </c>
      <c r="P481" s="312">
        <v>106</v>
      </c>
      <c r="Q481" s="312">
        <v>247</v>
      </c>
      <c r="R481" s="13"/>
      <c r="S481" s="13"/>
      <c r="T481" s="13"/>
      <c r="U481" s="13"/>
      <c r="V481" s="13"/>
      <c r="W481" s="13"/>
      <c r="X481" s="13"/>
    </row>
    <row r="482" spans="2:24" x14ac:dyDescent="0.25">
      <c r="B482" s="136" t="s">
        <v>372</v>
      </c>
      <c r="C482" s="276"/>
      <c r="D482" s="276"/>
      <c r="E482" s="276"/>
      <c r="F482" s="276">
        <v>1</v>
      </c>
      <c r="G482" s="276"/>
      <c r="H482" s="276">
        <v>1</v>
      </c>
      <c r="I482" s="276"/>
      <c r="J482" s="276"/>
      <c r="K482" s="276"/>
      <c r="L482" s="276"/>
      <c r="M482" s="276"/>
      <c r="N482" s="276"/>
      <c r="O482" s="312">
        <v>1</v>
      </c>
      <c r="P482" s="312"/>
      <c r="Q482" s="312">
        <v>1</v>
      </c>
      <c r="R482" s="13"/>
      <c r="S482" s="13"/>
      <c r="T482" s="13"/>
      <c r="U482" s="13"/>
      <c r="V482" s="13"/>
      <c r="W482" s="13"/>
      <c r="X482" s="13"/>
    </row>
    <row r="483" spans="2:24" x14ac:dyDescent="0.25">
      <c r="B483" s="136" t="s">
        <v>373</v>
      </c>
      <c r="C483" s="276"/>
      <c r="D483" s="276">
        <v>1</v>
      </c>
      <c r="E483" s="276">
        <v>1</v>
      </c>
      <c r="F483" s="276"/>
      <c r="G483" s="276"/>
      <c r="H483" s="276"/>
      <c r="I483" s="276"/>
      <c r="J483" s="276"/>
      <c r="K483" s="276"/>
      <c r="L483" s="276"/>
      <c r="M483" s="276"/>
      <c r="N483" s="276"/>
      <c r="O483" s="312"/>
      <c r="P483" s="312">
        <v>1</v>
      </c>
      <c r="Q483" s="312">
        <v>1</v>
      </c>
      <c r="R483" s="13"/>
      <c r="S483" s="13"/>
      <c r="T483" s="13"/>
      <c r="U483" s="13"/>
      <c r="V483" s="13"/>
      <c r="W483" s="13"/>
      <c r="X483" s="13"/>
    </row>
    <row r="484" spans="2:24" x14ac:dyDescent="0.25">
      <c r="B484" s="136" t="s">
        <v>374</v>
      </c>
      <c r="C484" s="276"/>
      <c r="D484" s="276">
        <v>1</v>
      </c>
      <c r="E484" s="276">
        <v>1</v>
      </c>
      <c r="F484" s="276"/>
      <c r="G484" s="276"/>
      <c r="H484" s="276"/>
      <c r="I484" s="276"/>
      <c r="J484" s="276"/>
      <c r="K484" s="276"/>
      <c r="L484" s="276"/>
      <c r="M484" s="276"/>
      <c r="N484" s="276"/>
      <c r="O484" s="312"/>
      <c r="P484" s="312">
        <v>1</v>
      </c>
      <c r="Q484" s="312">
        <v>1</v>
      </c>
      <c r="R484" s="13"/>
      <c r="S484" s="13"/>
      <c r="T484" s="13"/>
      <c r="U484" s="13"/>
      <c r="V484" s="13"/>
      <c r="W484" s="13"/>
      <c r="X484" s="13"/>
    </row>
    <row r="485" spans="2:24" x14ac:dyDescent="0.25">
      <c r="B485" s="136" t="s">
        <v>375</v>
      </c>
      <c r="C485" s="276">
        <v>9</v>
      </c>
      <c r="D485" s="276">
        <v>4</v>
      </c>
      <c r="E485" s="276">
        <v>13</v>
      </c>
      <c r="F485" s="276">
        <v>40</v>
      </c>
      <c r="G485" s="276">
        <v>35</v>
      </c>
      <c r="H485" s="276">
        <v>75</v>
      </c>
      <c r="I485" s="276">
        <v>4</v>
      </c>
      <c r="J485" s="276">
        <v>3</v>
      </c>
      <c r="K485" s="276">
        <v>7</v>
      </c>
      <c r="L485" s="276">
        <v>3</v>
      </c>
      <c r="M485" s="276">
        <v>5</v>
      </c>
      <c r="N485" s="276">
        <v>8</v>
      </c>
      <c r="O485" s="312">
        <v>56</v>
      </c>
      <c r="P485" s="312">
        <v>47</v>
      </c>
      <c r="Q485" s="312">
        <v>103</v>
      </c>
      <c r="R485" s="13"/>
      <c r="S485" s="13"/>
      <c r="T485" s="13"/>
      <c r="U485" s="13"/>
      <c r="V485" s="13"/>
      <c r="W485" s="13"/>
      <c r="X485" s="13"/>
    </row>
    <row r="486" spans="2:24" x14ac:dyDescent="0.25">
      <c r="B486" s="136" t="s">
        <v>501</v>
      </c>
      <c r="C486" s="276">
        <v>2</v>
      </c>
      <c r="D486" s="276"/>
      <c r="E486" s="276">
        <v>2</v>
      </c>
      <c r="F486" s="276">
        <v>2</v>
      </c>
      <c r="G486" s="276">
        <v>7</v>
      </c>
      <c r="H486" s="276">
        <v>9</v>
      </c>
      <c r="I486" s="276">
        <v>2</v>
      </c>
      <c r="J486" s="276"/>
      <c r="K486" s="276">
        <v>2</v>
      </c>
      <c r="L486" s="276"/>
      <c r="M486" s="276"/>
      <c r="N486" s="276"/>
      <c r="O486" s="312">
        <v>6</v>
      </c>
      <c r="P486" s="312">
        <v>7</v>
      </c>
      <c r="Q486" s="312">
        <v>13</v>
      </c>
      <c r="R486" s="13"/>
      <c r="S486" s="13"/>
      <c r="T486" s="13"/>
      <c r="U486" s="13"/>
      <c r="V486" s="13"/>
      <c r="W486" s="13"/>
      <c r="X486" s="13"/>
    </row>
    <row r="487" spans="2:24" x14ac:dyDescent="0.25">
      <c r="B487" s="311" t="s">
        <v>28</v>
      </c>
      <c r="C487" s="271">
        <v>27</v>
      </c>
      <c r="D487" s="271">
        <v>25</v>
      </c>
      <c r="E487" s="271">
        <v>52</v>
      </c>
      <c r="F487" s="271">
        <v>167</v>
      </c>
      <c r="G487" s="271">
        <v>139</v>
      </c>
      <c r="H487" s="269">
        <v>306</v>
      </c>
      <c r="I487" s="271">
        <v>28</v>
      </c>
      <c r="J487" s="269">
        <v>14</v>
      </c>
      <c r="K487" s="271">
        <v>42</v>
      </c>
      <c r="L487" s="269">
        <v>12</v>
      </c>
      <c r="M487" s="271">
        <v>14</v>
      </c>
      <c r="N487" s="269">
        <v>26</v>
      </c>
      <c r="O487" s="312">
        <v>234</v>
      </c>
      <c r="P487" s="312">
        <v>192</v>
      </c>
      <c r="Q487" s="312">
        <v>426</v>
      </c>
      <c r="R487" s="13"/>
      <c r="S487" s="13"/>
      <c r="T487" s="13"/>
      <c r="U487" s="13"/>
      <c r="V487" s="13"/>
      <c r="W487" s="13"/>
      <c r="X487" s="13"/>
    </row>
    <row r="488" spans="2:24" ht="112.5" customHeight="1" x14ac:dyDescent="0.25">
      <c r="B488" s="442" t="s">
        <v>814</v>
      </c>
      <c r="C488" s="442"/>
      <c r="D488" s="442"/>
      <c r="E488" s="442"/>
      <c r="F488" s="442"/>
      <c r="G488" s="442"/>
      <c r="H488" s="442"/>
      <c r="I488" s="442"/>
      <c r="J488" s="442"/>
      <c r="K488" s="442"/>
      <c r="L488" s="442"/>
      <c r="M488" s="442"/>
      <c r="N488" s="442"/>
      <c r="O488" s="442"/>
      <c r="P488" s="442"/>
      <c r="Q488" s="442"/>
      <c r="R488" s="13"/>
      <c r="S488" s="13"/>
      <c r="T488" s="13"/>
      <c r="U488" s="13"/>
      <c r="V488" s="13"/>
      <c r="W488" s="13"/>
    </row>
    <row r="489" spans="2:24" x14ac:dyDescent="0.25">
      <c r="B489" s="158"/>
      <c r="C489" s="158"/>
      <c r="D489" s="158"/>
      <c r="E489"/>
      <c r="F489"/>
      <c r="G489"/>
      <c r="H489" s="13"/>
      <c r="I489" s="13"/>
      <c r="J489" s="13"/>
      <c r="K489" s="13"/>
      <c r="L489" s="13"/>
      <c r="M489" s="13"/>
      <c r="N489" s="13"/>
      <c r="O489" s="13"/>
      <c r="P489" s="13"/>
      <c r="Q489" s="13"/>
      <c r="R489" s="13"/>
      <c r="S489" s="13"/>
      <c r="T489" s="13"/>
      <c r="U489" s="13"/>
      <c r="V489" s="13"/>
      <c r="W489" s="13"/>
    </row>
    <row r="490" spans="2:24" x14ac:dyDescent="0.25">
      <c r="B490" s="187" t="s">
        <v>521</v>
      </c>
      <c r="C490"/>
      <c r="D490"/>
      <c r="E490"/>
      <c r="F490"/>
      <c r="G490"/>
      <c r="H490" s="13"/>
      <c r="I490" s="13"/>
      <c r="J490" s="13"/>
      <c r="K490" s="13"/>
      <c r="L490" s="13"/>
      <c r="M490" s="13"/>
      <c r="N490" s="13"/>
      <c r="O490" s="13"/>
      <c r="P490" s="13"/>
      <c r="Q490" s="13"/>
      <c r="R490" s="13"/>
      <c r="S490" s="13"/>
      <c r="T490" s="13"/>
      <c r="U490" s="13"/>
      <c r="V490" s="13"/>
      <c r="W490" s="13"/>
    </row>
    <row r="491" spans="2:24" x14ac:dyDescent="0.25">
      <c r="B491" s="187"/>
      <c r="C491"/>
      <c r="D491"/>
      <c r="E491"/>
      <c r="F491"/>
      <c r="G491"/>
      <c r="H491" s="13"/>
      <c r="I491" s="13"/>
      <c r="J491" s="13"/>
      <c r="K491" s="13"/>
      <c r="L491" s="13"/>
      <c r="M491" s="13"/>
      <c r="N491" s="13"/>
      <c r="O491" s="13"/>
      <c r="P491" s="13"/>
      <c r="Q491" s="13"/>
      <c r="R491" s="13"/>
      <c r="S491" s="13"/>
      <c r="T491" s="13"/>
      <c r="U491" s="13"/>
      <c r="V491" s="13"/>
      <c r="W491" s="13"/>
    </row>
    <row r="492" spans="2:24" ht="15" customHeight="1" x14ac:dyDescent="0.25">
      <c r="B492" s="441" t="s">
        <v>537</v>
      </c>
      <c r="C492" s="426" t="s">
        <v>481</v>
      </c>
      <c r="D492" s="426"/>
      <c r="E492" s="426"/>
      <c r="F492" s="426"/>
      <c r="G492" s="426"/>
      <c r="H492" s="426"/>
      <c r="I492" s="426"/>
      <c r="J492" s="426"/>
      <c r="K492" s="426"/>
      <c r="L492" s="426"/>
      <c r="M492" s="426"/>
      <c r="N492" s="426"/>
      <c r="O492" s="443" t="s">
        <v>697</v>
      </c>
      <c r="P492" s="444"/>
      <c r="Q492" s="445"/>
      <c r="R492" s="13"/>
      <c r="S492" s="13"/>
      <c r="T492" s="13"/>
      <c r="U492" s="13"/>
      <c r="V492" s="13"/>
      <c r="W492" s="13"/>
    </row>
    <row r="493" spans="2:24" ht="15" customHeight="1" x14ac:dyDescent="0.25">
      <c r="B493" s="441"/>
      <c r="C493" s="426" t="s">
        <v>658</v>
      </c>
      <c r="D493" s="426"/>
      <c r="E493" s="426"/>
      <c r="F493" s="426" t="s">
        <v>490</v>
      </c>
      <c r="G493" s="426"/>
      <c r="H493" s="426"/>
      <c r="I493" s="426" t="s">
        <v>4</v>
      </c>
      <c r="J493" s="426"/>
      <c r="K493" s="426"/>
      <c r="L493" s="426" t="s">
        <v>6</v>
      </c>
      <c r="M493" s="426"/>
      <c r="N493" s="426"/>
      <c r="O493" s="446"/>
      <c r="P493" s="447"/>
      <c r="Q493" s="448"/>
      <c r="R493" s="13"/>
      <c r="S493" s="13"/>
      <c r="T493" s="13"/>
      <c r="U493" s="13"/>
      <c r="V493" s="13"/>
      <c r="W493" s="13"/>
    </row>
    <row r="494" spans="2:24" x14ac:dyDescent="0.25">
      <c r="B494" s="441"/>
      <c r="C494" s="161" t="s">
        <v>76</v>
      </c>
      <c r="D494" s="161" t="s">
        <v>77</v>
      </c>
      <c r="E494" s="161" t="s">
        <v>28</v>
      </c>
      <c r="F494" s="161" t="s">
        <v>76</v>
      </c>
      <c r="G494" s="161" t="s">
        <v>77</v>
      </c>
      <c r="H494" s="161" t="s">
        <v>28</v>
      </c>
      <c r="I494" s="161" t="s">
        <v>76</v>
      </c>
      <c r="J494" s="161" t="s">
        <v>77</v>
      </c>
      <c r="K494" s="161" t="s">
        <v>28</v>
      </c>
      <c r="L494" s="161" t="s">
        <v>76</v>
      </c>
      <c r="M494" s="161" t="s">
        <v>77</v>
      </c>
      <c r="N494" s="161" t="s">
        <v>28</v>
      </c>
      <c r="O494" s="244" t="s">
        <v>76</v>
      </c>
      <c r="P494" s="244" t="s">
        <v>77</v>
      </c>
      <c r="Q494" s="244" t="s">
        <v>28</v>
      </c>
      <c r="R494" s="13"/>
      <c r="S494" s="13"/>
      <c r="T494" s="13"/>
      <c r="U494" s="13"/>
      <c r="V494" s="13"/>
      <c r="W494" s="13"/>
    </row>
    <row r="495" spans="2:24" x14ac:dyDescent="0.25">
      <c r="B495" s="236" t="s">
        <v>377</v>
      </c>
      <c r="C495" s="277"/>
      <c r="D495" s="277"/>
      <c r="E495" s="277"/>
      <c r="F495" s="277">
        <v>1</v>
      </c>
      <c r="G495" s="277">
        <v>3</v>
      </c>
      <c r="H495" s="277">
        <v>4</v>
      </c>
      <c r="I495" s="277"/>
      <c r="J495" s="277"/>
      <c r="K495" s="277"/>
      <c r="L495" s="277"/>
      <c r="M495" s="277"/>
      <c r="N495" s="277"/>
      <c r="O495" s="312">
        <v>1</v>
      </c>
      <c r="P495" s="312">
        <v>3</v>
      </c>
      <c r="Q495" s="312">
        <v>4</v>
      </c>
      <c r="R495" s="13"/>
      <c r="S495" s="13"/>
      <c r="T495" s="13"/>
      <c r="U495" s="13"/>
      <c r="V495" s="13"/>
      <c r="W495" s="13"/>
      <c r="X495" s="13"/>
    </row>
    <row r="496" spans="2:24" x14ac:dyDescent="0.25">
      <c r="B496" s="236" t="s">
        <v>380</v>
      </c>
      <c r="C496" s="277">
        <v>9</v>
      </c>
      <c r="D496" s="277">
        <v>9</v>
      </c>
      <c r="E496" s="277">
        <v>18</v>
      </c>
      <c r="F496" s="277">
        <v>45</v>
      </c>
      <c r="G496" s="277">
        <v>38</v>
      </c>
      <c r="H496" s="277">
        <v>83</v>
      </c>
      <c r="I496" s="277">
        <v>4</v>
      </c>
      <c r="J496" s="277">
        <v>1</v>
      </c>
      <c r="K496" s="277">
        <v>5</v>
      </c>
      <c r="L496" s="277"/>
      <c r="M496" s="277">
        <v>3</v>
      </c>
      <c r="N496" s="277">
        <v>3</v>
      </c>
      <c r="O496" s="312">
        <v>58</v>
      </c>
      <c r="P496" s="312">
        <v>51</v>
      </c>
      <c r="Q496" s="312">
        <v>109</v>
      </c>
      <c r="R496" s="13"/>
      <c r="S496" s="13"/>
      <c r="T496" s="13"/>
      <c r="U496" s="13"/>
      <c r="V496" s="13"/>
      <c r="W496" s="13"/>
      <c r="X496" s="13"/>
    </row>
    <row r="497" spans="2:24" x14ac:dyDescent="0.25">
      <c r="B497" s="237" t="s">
        <v>381</v>
      </c>
      <c r="C497" s="280">
        <v>1</v>
      </c>
      <c r="D497" s="280">
        <v>1</v>
      </c>
      <c r="E497" s="280">
        <v>2</v>
      </c>
      <c r="F497" s="280">
        <v>17</v>
      </c>
      <c r="G497" s="280">
        <v>11</v>
      </c>
      <c r="H497" s="280">
        <v>28</v>
      </c>
      <c r="I497" s="280"/>
      <c r="J497" s="280"/>
      <c r="K497" s="280"/>
      <c r="L497" s="280"/>
      <c r="M497" s="280">
        <v>2</v>
      </c>
      <c r="N497" s="280">
        <v>2</v>
      </c>
      <c r="O497" s="312">
        <v>18</v>
      </c>
      <c r="P497" s="312">
        <v>14</v>
      </c>
      <c r="Q497" s="312">
        <v>32</v>
      </c>
      <c r="R497" s="13"/>
      <c r="S497" s="13"/>
      <c r="T497" s="13"/>
      <c r="U497" s="13"/>
      <c r="V497" s="13"/>
      <c r="W497" s="13"/>
      <c r="X497" s="13"/>
    </row>
    <row r="498" spans="2:24" x14ac:dyDescent="0.25">
      <c r="B498" s="237" t="s">
        <v>382</v>
      </c>
      <c r="C498" s="277"/>
      <c r="D498" s="277"/>
      <c r="E498" s="277"/>
      <c r="F498" s="277"/>
      <c r="G498" s="277"/>
      <c r="H498" s="277"/>
      <c r="I498" s="277"/>
      <c r="J498" s="277">
        <v>1</v>
      </c>
      <c r="K498" s="277">
        <v>1</v>
      </c>
      <c r="L498" s="277"/>
      <c r="M498" s="277"/>
      <c r="N498" s="277"/>
      <c r="O498" s="312"/>
      <c r="P498" s="312">
        <v>1</v>
      </c>
      <c r="Q498" s="312">
        <v>1</v>
      </c>
      <c r="R498" s="13"/>
      <c r="S498" s="13"/>
      <c r="T498" s="13"/>
      <c r="U498" s="13"/>
      <c r="V498" s="13"/>
      <c r="W498" s="13"/>
      <c r="X498" s="13"/>
    </row>
    <row r="499" spans="2:24" x14ac:dyDescent="0.25">
      <c r="B499" s="237" t="s">
        <v>383</v>
      </c>
      <c r="C499" s="277">
        <v>46</v>
      </c>
      <c r="D499" s="277">
        <v>26</v>
      </c>
      <c r="E499" s="277">
        <v>72</v>
      </c>
      <c r="F499" s="277">
        <v>248</v>
      </c>
      <c r="G499" s="277">
        <v>192</v>
      </c>
      <c r="H499" s="277">
        <v>440</v>
      </c>
      <c r="I499" s="277">
        <v>25</v>
      </c>
      <c r="J499" s="277">
        <v>11</v>
      </c>
      <c r="K499" s="277">
        <v>36</v>
      </c>
      <c r="L499" s="277">
        <v>15</v>
      </c>
      <c r="M499" s="277">
        <v>18</v>
      </c>
      <c r="N499" s="277">
        <v>33</v>
      </c>
      <c r="O499" s="312">
        <v>334</v>
      </c>
      <c r="P499" s="312">
        <v>247</v>
      </c>
      <c r="Q499" s="312">
        <v>581</v>
      </c>
      <c r="R499" s="13"/>
      <c r="S499" s="13"/>
      <c r="T499" s="13"/>
      <c r="U499" s="13"/>
      <c r="V499" s="13"/>
      <c r="W499" s="13"/>
      <c r="X499" s="13"/>
    </row>
    <row r="500" spans="2:24" x14ac:dyDescent="0.25">
      <c r="B500" s="237" t="s">
        <v>384</v>
      </c>
      <c r="C500" s="277"/>
      <c r="D500" s="277"/>
      <c r="E500" s="277"/>
      <c r="F500" s="277"/>
      <c r="G500" s="277">
        <v>1</v>
      </c>
      <c r="H500" s="277">
        <v>1</v>
      </c>
      <c r="I500" s="277"/>
      <c r="J500" s="277"/>
      <c r="K500" s="277"/>
      <c r="L500" s="277"/>
      <c r="M500" s="277"/>
      <c r="N500" s="277"/>
      <c r="O500" s="312"/>
      <c r="P500" s="312">
        <v>1</v>
      </c>
      <c r="Q500" s="312">
        <v>1</v>
      </c>
      <c r="R500" s="13"/>
      <c r="S500" s="13"/>
      <c r="T500" s="13"/>
      <c r="U500" s="13"/>
      <c r="V500" s="13"/>
      <c r="W500" s="13"/>
      <c r="X500" s="13"/>
    </row>
    <row r="501" spans="2:24" x14ac:dyDescent="0.25">
      <c r="B501" s="237" t="s">
        <v>385</v>
      </c>
      <c r="C501" s="277"/>
      <c r="D501" s="277"/>
      <c r="E501" s="277"/>
      <c r="F501" s="277"/>
      <c r="G501" s="277">
        <v>1</v>
      </c>
      <c r="H501" s="277">
        <v>1</v>
      </c>
      <c r="I501" s="277"/>
      <c r="J501" s="277"/>
      <c r="K501" s="277"/>
      <c r="L501" s="277"/>
      <c r="M501" s="277"/>
      <c r="N501" s="277"/>
      <c r="O501" s="312"/>
      <c r="P501" s="312">
        <v>1</v>
      </c>
      <c r="Q501" s="312">
        <v>1</v>
      </c>
      <c r="R501" s="13"/>
      <c r="S501" s="13"/>
      <c r="T501" s="13"/>
      <c r="U501" s="13"/>
      <c r="V501" s="13"/>
      <c r="W501" s="13"/>
      <c r="X501" s="13"/>
    </row>
    <row r="502" spans="2:24" x14ac:dyDescent="0.25">
      <c r="B502" s="237" t="s">
        <v>386</v>
      </c>
      <c r="C502" s="277"/>
      <c r="D502" s="277"/>
      <c r="E502" s="277"/>
      <c r="F502" s="277">
        <v>1</v>
      </c>
      <c r="G502" s="277"/>
      <c r="H502" s="277">
        <v>1</v>
      </c>
      <c r="I502" s="277"/>
      <c r="J502" s="277"/>
      <c r="K502" s="277"/>
      <c r="L502" s="277"/>
      <c r="M502" s="277"/>
      <c r="N502" s="277"/>
      <c r="O502" s="312">
        <v>1</v>
      </c>
      <c r="P502" s="312"/>
      <c r="Q502" s="312">
        <v>1</v>
      </c>
      <c r="R502" s="13"/>
      <c r="S502" s="13"/>
      <c r="T502" s="13"/>
      <c r="U502" s="13"/>
      <c r="V502" s="13"/>
      <c r="W502" s="13"/>
      <c r="X502" s="13"/>
    </row>
    <row r="503" spans="2:24" x14ac:dyDescent="0.25">
      <c r="B503" s="237" t="s">
        <v>387</v>
      </c>
      <c r="C503" s="277"/>
      <c r="D503" s="277"/>
      <c r="E503" s="277"/>
      <c r="F503" s="277"/>
      <c r="G503" s="277">
        <v>1</v>
      </c>
      <c r="H503" s="277">
        <v>1</v>
      </c>
      <c r="I503" s="277"/>
      <c r="J503" s="277"/>
      <c r="K503" s="277"/>
      <c r="L503" s="277"/>
      <c r="M503" s="277"/>
      <c r="N503" s="277"/>
      <c r="O503" s="312"/>
      <c r="P503" s="312">
        <v>1</v>
      </c>
      <c r="Q503" s="312">
        <v>1</v>
      </c>
      <c r="R503" s="13"/>
      <c r="S503" s="13"/>
      <c r="T503" s="13"/>
      <c r="U503" s="13"/>
      <c r="V503" s="13"/>
      <c r="W503" s="13"/>
      <c r="X503" s="13"/>
    </row>
    <row r="504" spans="2:24" x14ac:dyDescent="0.25">
      <c r="B504" s="311" t="s">
        <v>28</v>
      </c>
      <c r="C504" s="271">
        <v>56</v>
      </c>
      <c r="D504" s="271">
        <v>36</v>
      </c>
      <c r="E504" s="271">
        <v>92</v>
      </c>
      <c r="F504" s="271">
        <v>312</v>
      </c>
      <c r="G504" s="271">
        <v>247</v>
      </c>
      <c r="H504" s="269">
        <v>559</v>
      </c>
      <c r="I504" s="271">
        <v>29</v>
      </c>
      <c r="J504" s="269">
        <v>13</v>
      </c>
      <c r="K504" s="271">
        <v>42</v>
      </c>
      <c r="L504" s="269">
        <v>15</v>
      </c>
      <c r="M504" s="271">
        <v>23</v>
      </c>
      <c r="N504" s="269">
        <v>38</v>
      </c>
      <c r="O504" s="312">
        <v>412</v>
      </c>
      <c r="P504" s="312">
        <v>319</v>
      </c>
      <c r="Q504" s="312">
        <v>731</v>
      </c>
      <c r="R504" s="13"/>
      <c r="S504" s="13"/>
      <c r="T504" s="13"/>
      <c r="U504" s="13"/>
      <c r="V504" s="13"/>
      <c r="W504" s="13"/>
      <c r="X504" s="13"/>
    </row>
    <row r="505" spans="2:24" ht="109.5" customHeight="1" x14ac:dyDescent="0.25">
      <c r="B505" s="442" t="s">
        <v>814</v>
      </c>
      <c r="C505" s="442"/>
      <c r="D505" s="442"/>
      <c r="E505" s="442"/>
      <c r="F505" s="442"/>
      <c r="G505" s="442"/>
      <c r="H505" s="442"/>
      <c r="I505" s="442"/>
      <c r="J505" s="442"/>
      <c r="K505" s="442"/>
      <c r="L505" s="442"/>
      <c r="M505" s="442"/>
      <c r="N505" s="442"/>
      <c r="O505" s="442"/>
      <c r="P505" s="442"/>
      <c r="Q505" s="442"/>
      <c r="R505" s="13"/>
      <c r="S505" s="13"/>
      <c r="T505" s="13"/>
      <c r="U505" s="13"/>
      <c r="V505" s="13"/>
      <c r="W505" s="13"/>
    </row>
    <row r="506" spans="2:24" x14ac:dyDescent="0.25">
      <c r="B506" s="158"/>
      <c r="C506" s="158"/>
      <c r="D506" s="158"/>
      <c r="E506"/>
      <c r="F506"/>
      <c r="G506"/>
      <c r="H506" s="13"/>
      <c r="I506" s="13"/>
      <c r="J506" s="13"/>
      <c r="K506" s="13"/>
      <c r="L506" s="13"/>
      <c r="M506" s="13"/>
      <c r="N506" s="13"/>
      <c r="O506" s="13"/>
      <c r="P506" s="13"/>
      <c r="Q506" s="13"/>
      <c r="R506" s="13"/>
      <c r="S506" s="13"/>
      <c r="T506" s="13"/>
      <c r="U506" s="13"/>
      <c r="V506" s="13"/>
      <c r="W506" s="13"/>
    </row>
    <row r="507" spans="2:24" x14ac:dyDescent="0.25">
      <c r="B507" s="158"/>
      <c r="C507" s="158"/>
      <c r="D507" s="158"/>
      <c r="E507" s="158"/>
      <c r="F507" s="158"/>
      <c r="G507"/>
      <c r="H507" s="13"/>
      <c r="I507" s="13"/>
      <c r="J507" s="13"/>
      <c r="K507" s="13"/>
      <c r="L507" s="13"/>
      <c r="M507" s="13"/>
      <c r="N507" s="13"/>
      <c r="O507" s="13"/>
      <c r="P507" s="13"/>
      <c r="Q507" s="13"/>
      <c r="R507" s="13"/>
      <c r="S507" s="13"/>
      <c r="T507" s="13"/>
      <c r="U507" s="13"/>
      <c r="V507" s="13"/>
      <c r="W507" s="13"/>
    </row>
    <row r="527" spans="2:23" x14ac:dyDescent="0.25">
      <c r="B527" s="158"/>
      <c r="C527" s="158"/>
      <c r="D527" s="158"/>
      <c r="E527" s="158"/>
      <c r="F527" s="158"/>
      <c r="G527"/>
      <c r="H527" s="13"/>
      <c r="I527" s="13"/>
      <c r="J527" s="13"/>
      <c r="K527" s="13"/>
      <c r="L527" s="13"/>
      <c r="M527" s="13"/>
      <c r="N527" s="13"/>
      <c r="O527" s="13"/>
      <c r="P527" s="13"/>
      <c r="Q527" s="13"/>
      <c r="R527" s="13"/>
      <c r="S527" s="13"/>
      <c r="T527" s="13"/>
      <c r="U527" s="13"/>
      <c r="V527" s="13"/>
      <c r="W527" s="13"/>
    </row>
    <row r="528" spans="2:23" x14ac:dyDescent="0.25">
      <c r="B528" s="158"/>
      <c r="C528" s="158"/>
      <c r="D528" s="158"/>
      <c r="E528" s="158"/>
      <c r="F528" s="158"/>
      <c r="G528"/>
      <c r="H528" s="13"/>
      <c r="I528" s="13"/>
      <c r="J528" s="13"/>
      <c r="K528" s="13"/>
      <c r="L528" s="13"/>
      <c r="M528" s="13"/>
      <c r="N528" s="13"/>
      <c r="O528" s="13"/>
      <c r="P528" s="13"/>
      <c r="Q528" s="13"/>
      <c r="R528" s="13"/>
      <c r="S528" s="13"/>
      <c r="T528" s="13"/>
      <c r="U528" s="13"/>
      <c r="V528" s="13"/>
      <c r="W528" s="13"/>
    </row>
    <row r="557" spans="2:23" x14ac:dyDescent="0.25">
      <c r="B557" s="158"/>
      <c r="C557" s="190"/>
      <c r="D557" s="190"/>
      <c r="E557" s="190"/>
      <c r="F557" s="190"/>
      <c r="G557"/>
      <c r="H557" s="13"/>
      <c r="I557" s="13"/>
      <c r="J557" s="13"/>
      <c r="K557" s="13"/>
      <c r="L557" s="13"/>
      <c r="M557" s="13"/>
      <c r="N557" s="13"/>
      <c r="O557" s="13"/>
      <c r="P557" s="13"/>
      <c r="Q557" s="13"/>
      <c r="R557" s="13"/>
      <c r="S557" s="13"/>
      <c r="T557" s="13"/>
      <c r="U557" s="13"/>
      <c r="V557" s="13"/>
      <c r="W557" s="13"/>
    </row>
    <row r="558" spans="2:23" x14ac:dyDescent="0.25">
      <c r="G558"/>
      <c r="H558" s="13"/>
      <c r="I558" s="13"/>
      <c r="J558" s="13"/>
      <c r="K558" s="13"/>
      <c r="L558" s="13"/>
      <c r="M558" s="13"/>
      <c r="N558" s="13"/>
      <c r="O558" s="13"/>
      <c r="P558" s="13"/>
      <c r="Q558" s="13"/>
      <c r="R558" s="13"/>
      <c r="S558" s="13"/>
      <c r="T558" s="13"/>
      <c r="U558" s="13"/>
      <c r="V558" s="13"/>
      <c r="W558" s="13"/>
    </row>
    <row r="559" spans="2:23" x14ac:dyDescent="0.25">
      <c r="G559"/>
      <c r="H559" s="13"/>
      <c r="I559" s="13"/>
      <c r="J559" s="13"/>
      <c r="K559" s="13"/>
      <c r="L559" s="13"/>
      <c r="M559" s="13"/>
      <c r="N559" s="13"/>
      <c r="O559" s="13"/>
      <c r="P559" s="13"/>
      <c r="Q559" s="13"/>
      <c r="R559" s="13"/>
      <c r="S559" s="13"/>
      <c r="T559" s="13"/>
      <c r="U559" s="13"/>
      <c r="V559" s="13"/>
      <c r="W559" s="13"/>
    </row>
    <row r="560" spans="2:23" x14ac:dyDescent="0.25">
      <c r="G560"/>
      <c r="H560" s="13"/>
      <c r="I560" s="13"/>
      <c r="J560" s="13"/>
      <c r="K560" s="13"/>
      <c r="L560" s="13"/>
      <c r="M560" s="13"/>
      <c r="N560" s="13"/>
      <c r="O560" s="13"/>
      <c r="P560" s="13"/>
      <c r="Q560" s="13"/>
      <c r="R560" s="13"/>
      <c r="S560" s="13"/>
      <c r="T560" s="13"/>
      <c r="U560" s="13"/>
      <c r="V560" s="13"/>
      <c r="W560" s="13"/>
    </row>
    <row r="561" spans="7:23" x14ac:dyDescent="0.25">
      <c r="G561"/>
      <c r="H561" s="13"/>
      <c r="I561" s="13"/>
      <c r="J561" s="13"/>
      <c r="K561" s="13"/>
      <c r="L561" s="13"/>
      <c r="M561" s="13"/>
      <c r="N561" s="13"/>
      <c r="O561" s="13"/>
      <c r="P561" s="13"/>
      <c r="Q561" s="13"/>
      <c r="R561" s="13"/>
      <c r="S561" s="13"/>
      <c r="T561" s="13"/>
      <c r="U561" s="13"/>
      <c r="V561" s="13"/>
      <c r="W561" s="13"/>
    </row>
    <row r="562" spans="7:23" x14ac:dyDescent="0.25">
      <c r="G562" s="13"/>
      <c r="H562" s="13"/>
      <c r="I562" s="13"/>
      <c r="J562" s="13"/>
      <c r="K562" s="13"/>
      <c r="L562" s="13"/>
      <c r="M562" s="13"/>
      <c r="N562" s="13"/>
      <c r="O562" s="13"/>
      <c r="P562" s="13"/>
      <c r="Q562" s="13"/>
      <c r="R562" s="13"/>
      <c r="S562" s="13"/>
      <c r="T562" s="13"/>
      <c r="U562" s="13"/>
      <c r="V562" s="13"/>
      <c r="W562" s="13"/>
    </row>
    <row r="563" spans="7:23" ht="34.5" customHeight="1" x14ac:dyDescent="0.25">
      <c r="G563" s="13"/>
      <c r="H563" s="13"/>
      <c r="I563" s="13"/>
      <c r="J563" s="13"/>
      <c r="K563" s="13"/>
      <c r="L563" s="13"/>
      <c r="M563" s="13"/>
      <c r="N563" s="13"/>
      <c r="O563" s="13"/>
      <c r="P563" s="13"/>
      <c r="Q563" s="13"/>
      <c r="R563" s="13"/>
    </row>
  </sheetData>
  <mergeCells count="137">
    <mergeCell ref="B505:Q505"/>
    <mergeCell ref="C165:E165"/>
    <mergeCell ref="F165:H165"/>
    <mergeCell ref="I165:K165"/>
    <mergeCell ref="L165:N165"/>
    <mergeCell ref="B164:B166"/>
    <mergeCell ref="B492:B494"/>
    <mergeCell ref="B432:Q432"/>
    <mergeCell ref="B34:B36"/>
    <mergeCell ref="B416:B418"/>
    <mergeCell ref="C492:N492"/>
    <mergeCell ref="O492:Q493"/>
    <mergeCell ref="C493:E493"/>
    <mergeCell ref="F493:H493"/>
    <mergeCell ref="B42:Q42"/>
    <mergeCell ref="I493:K493"/>
    <mergeCell ref="L493:N493"/>
    <mergeCell ref="C164:N164"/>
    <mergeCell ref="B220:Q220"/>
    <mergeCell ref="O164:Q165"/>
    <mergeCell ref="C417:E417"/>
    <mergeCell ref="F417:H417"/>
    <mergeCell ref="I417:K417"/>
    <mergeCell ref="L417:N417"/>
    <mergeCell ref="C34:N34"/>
    <mergeCell ref="O34:Q35"/>
    <mergeCell ref="C35:E35"/>
    <mergeCell ref="F35:H35"/>
    <mergeCell ref="I35:K35"/>
    <mergeCell ref="L35:N35"/>
    <mergeCell ref="B475:B477"/>
    <mergeCell ref="B437:B439"/>
    <mergeCell ref="B375:B377"/>
    <mergeCell ref="O437:Q438"/>
    <mergeCell ref="C438:E438"/>
    <mergeCell ref="F438:H438"/>
    <mergeCell ref="I438:K438"/>
    <mergeCell ref="L438:N438"/>
    <mergeCell ref="C475:N475"/>
    <mergeCell ref="C437:N437"/>
    <mergeCell ref="O375:Q376"/>
    <mergeCell ref="C376:E376"/>
    <mergeCell ref="F376:H376"/>
    <mergeCell ref="I376:K376"/>
    <mergeCell ref="L376:N376"/>
    <mergeCell ref="O475:Q476"/>
    <mergeCell ref="C476:E476"/>
    <mergeCell ref="F476:H476"/>
    <mergeCell ref="I476:K476"/>
    <mergeCell ref="L476:N476"/>
    <mergeCell ref="C375:N375"/>
    <mergeCell ref="B411:Q411"/>
    <mergeCell ref="C416:N416"/>
    <mergeCell ref="O416:Q417"/>
    <mergeCell ref="O265:Q266"/>
    <mergeCell ref="C266:E266"/>
    <mergeCell ref="F266:H266"/>
    <mergeCell ref="I266:K266"/>
    <mergeCell ref="L266:N266"/>
    <mergeCell ref="O334:Q335"/>
    <mergeCell ref="C335:E335"/>
    <mergeCell ref="F335:H335"/>
    <mergeCell ref="I335:K335"/>
    <mergeCell ref="L335:N335"/>
    <mergeCell ref="C265:N265"/>
    <mergeCell ref="B299:Q299"/>
    <mergeCell ref="B265:B267"/>
    <mergeCell ref="C334:N334"/>
    <mergeCell ref="B329:Q329"/>
    <mergeCell ref="C304:N304"/>
    <mergeCell ref="O304:Q305"/>
    <mergeCell ref="C305:E305"/>
    <mergeCell ref="I305:K305"/>
    <mergeCell ref="L305:N305"/>
    <mergeCell ref="B304:B306"/>
    <mergeCell ref="O118:Q119"/>
    <mergeCell ref="C119:E119"/>
    <mergeCell ref="F119:H119"/>
    <mergeCell ref="I119:K119"/>
    <mergeCell ref="L119:N119"/>
    <mergeCell ref="O224:Q225"/>
    <mergeCell ref="C225:E225"/>
    <mergeCell ref="F225:H225"/>
    <mergeCell ref="I225:K225"/>
    <mergeCell ref="L225:N225"/>
    <mergeCell ref="C118:N118"/>
    <mergeCell ref="B160:Q160"/>
    <mergeCell ref="B118:B120"/>
    <mergeCell ref="B224:B226"/>
    <mergeCell ref="O7:Q8"/>
    <mergeCell ref="C46:N46"/>
    <mergeCell ref="O46:Q47"/>
    <mergeCell ref="C47:E47"/>
    <mergeCell ref="F47:H47"/>
    <mergeCell ref="I47:K47"/>
    <mergeCell ref="L47:N47"/>
    <mergeCell ref="O61:Q62"/>
    <mergeCell ref="C62:E62"/>
    <mergeCell ref="F62:H62"/>
    <mergeCell ref="I62:K62"/>
    <mergeCell ref="L62:N62"/>
    <mergeCell ref="C61:N61"/>
    <mergeCell ref="C7:N7"/>
    <mergeCell ref="F8:H8"/>
    <mergeCell ref="I8:K8"/>
    <mergeCell ref="L8:N8"/>
    <mergeCell ref="B57:Q57"/>
    <mergeCell ref="B27:Q27"/>
    <mergeCell ref="C8:E8"/>
    <mergeCell ref="B46:B48"/>
    <mergeCell ref="B7:B9"/>
    <mergeCell ref="I29:I30"/>
    <mergeCell ref="B61:B63"/>
    <mergeCell ref="B95:B97"/>
    <mergeCell ref="B74:Q74"/>
    <mergeCell ref="B114:Q114"/>
    <mergeCell ref="B261:Q261"/>
    <mergeCell ref="B371:Q371"/>
    <mergeCell ref="B471:Q471"/>
    <mergeCell ref="B488:Q488"/>
    <mergeCell ref="C95:N95"/>
    <mergeCell ref="C224:N224"/>
    <mergeCell ref="B334:B336"/>
    <mergeCell ref="O78:Q79"/>
    <mergeCell ref="C79:E79"/>
    <mergeCell ref="F79:H79"/>
    <mergeCell ref="I79:K79"/>
    <mergeCell ref="L79:N79"/>
    <mergeCell ref="O95:Q96"/>
    <mergeCell ref="C96:E96"/>
    <mergeCell ref="F96:H96"/>
    <mergeCell ref="I96:K96"/>
    <mergeCell ref="L96:N96"/>
    <mergeCell ref="C78:N78"/>
    <mergeCell ref="B91:Q91"/>
    <mergeCell ref="B78:B80"/>
    <mergeCell ref="F305:H305"/>
  </mergeCells>
  <pageMargins left="0.7" right="0.7" top="0.75" bottom="0.75" header="0.3" footer="0.3"/>
  <pageSetup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W230"/>
  <sheetViews>
    <sheetView showGridLines="0" workbookViewId="0"/>
    <sheetView workbookViewId="1"/>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724</v>
      </c>
    </row>
    <row r="4" spans="2:17" ht="18.75" x14ac:dyDescent="0.3">
      <c r="B4" s="2" t="s">
        <v>773</v>
      </c>
      <c r="C4" s="8"/>
      <c r="D4" s="8"/>
      <c r="E4" s="8"/>
      <c r="F4" s="8"/>
      <c r="G4" s="8"/>
      <c r="H4"/>
      <c r="I4"/>
    </row>
    <row r="5" spans="2:17" x14ac:dyDescent="0.25">
      <c r="B5" s="456" t="s">
        <v>857</v>
      </c>
      <c r="C5" s="456"/>
      <c r="D5" s="456"/>
      <c r="E5" s="456"/>
      <c r="F5" s="456"/>
      <c r="G5" s="456"/>
      <c r="H5" s="456"/>
    </row>
    <row r="6" spans="2:17" x14ac:dyDescent="0.25">
      <c r="B6" s="3"/>
      <c r="C6" s="3"/>
      <c r="D6" s="3"/>
      <c r="E6" s="3"/>
      <c r="F6" s="3"/>
      <c r="G6" s="3"/>
      <c r="H6" s="3"/>
    </row>
    <row r="7" spans="2:17" x14ac:dyDescent="0.25">
      <c r="B7" s="458" t="s">
        <v>483</v>
      </c>
      <c r="C7" s="457" t="s">
        <v>482</v>
      </c>
      <c r="D7" s="457"/>
      <c r="E7" s="457"/>
      <c r="F7" s="3"/>
      <c r="G7" s="3"/>
      <c r="H7" s="3"/>
    </row>
    <row r="8" spans="2:17" x14ac:dyDescent="0.25">
      <c r="B8" s="458"/>
      <c r="C8" s="231" t="s">
        <v>76</v>
      </c>
      <c r="D8" s="231" t="s">
        <v>77</v>
      </c>
      <c r="E8" s="231" t="s">
        <v>593</v>
      </c>
      <c r="F8" s="3"/>
      <c r="G8" s="3"/>
      <c r="H8" s="3"/>
    </row>
    <row r="9" spans="2:17" x14ac:dyDescent="0.25">
      <c r="B9" s="308" t="s">
        <v>658</v>
      </c>
      <c r="C9" s="275">
        <v>4222</v>
      </c>
      <c r="D9" s="275">
        <v>1584</v>
      </c>
      <c r="E9" s="275">
        <v>5806</v>
      </c>
      <c r="F9" s="3"/>
      <c r="G9" s="3"/>
      <c r="H9" s="3"/>
    </row>
    <row r="10" spans="2:17" x14ac:dyDescent="0.25">
      <c r="B10" s="308" t="s">
        <v>490</v>
      </c>
      <c r="C10" s="275">
        <v>40670</v>
      </c>
      <c r="D10" s="275">
        <v>34698</v>
      </c>
      <c r="E10" s="275">
        <v>75368</v>
      </c>
      <c r="F10" s="3"/>
      <c r="G10" s="3"/>
      <c r="H10" s="3"/>
    </row>
    <row r="11" spans="2:17" x14ac:dyDescent="0.25">
      <c r="B11" s="308" t="s">
        <v>4</v>
      </c>
      <c r="C11" s="275">
        <v>494</v>
      </c>
      <c r="D11" s="275">
        <v>414</v>
      </c>
      <c r="E11" s="275">
        <v>908</v>
      </c>
      <c r="F11" s="3"/>
      <c r="G11" s="3"/>
      <c r="H11" s="3"/>
    </row>
    <row r="12" spans="2:17" x14ac:dyDescent="0.25">
      <c r="B12" s="308" t="s">
        <v>6</v>
      </c>
      <c r="C12" s="275">
        <v>1240</v>
      </c>
      <c r="D12" s="275">
        <v>2240</v>
      </c>
      <c r="E12" s="275">
        <v>3480</v>
      </c>
      <c r="F12" s="3"/>
      <c r="G12" s="3"/>
      <c r="H12" s="3"/>
    </row>
    <row r="13" spans="2:17" x14ac:dyDescent="0.25">
      <c r="B13" s="330" t="s">
        <v>480</v>
      </c>
      <c r="C13" s="323">
        <v>46626</v>
      </c>
      <c r="D13" s="323">
        <v>38936</v>
      </c>
      <c r="E13" s="323">
        <v>85562</v>
      </c>
    </row>
    <row r="14" spans="2:17" ht="108" customHeight="1" x14ac:dyDescent="0.25">
      <c r="B14" s="440" t="s">
        <v>866</v>
      </c>
      <c r="C14" s="440"/>
      <c r="D14" s="440"/>
      <c r="E14" s="440"/>
      <c r="F14" s="440"/>
      <c r="G14" s="440"/>
      <c r="H14" s="440"/>
      <c r="I14" s="440"/>
      <c r="J14" s="440"/>
      <c r="K14" s="440"/>
      <c r="L14" s="440"/>
      <c r="M14" s="440"/>
      <c r="N14" s="440"/>
      <c r="O14" s="440"/>
      <c r="P14" s="440"/>
      <c r="Q14" s="440"/>
    </row>
    <row r="16" spans="2:17" ht="18.75" x14ac:dyDescent="0.3">
      <c r="B16" s="2" t="s">
        <v>805</v>
      </c>
      <c r="C16" s="2"/>
      <c r="D16" s="2"/>
      <c r="E16" s="2"/>
      <c r="F16" s="2"/>
      <c r="G16" s="2"/>
      <c r="H16" s="2"/>
      <c r="I16"/>
    </row>
    <row r="17" spans="2:23" x14ac:dyDescent="0.25">
      <c r="B17" s="459" t="s">
        <v>860</v>
      </c>
      <c r="C17" s="459"/>
      <c r="D17" s="459"/>
      <c r="E17" s="459"/>
      <c r="F17" s="459"/>
      <c r="G17" s="459"/>
      <c r="H17" s="459"/>
    </row>
    <row r="18" spans="2:23" x14ac:dyDescent="0.25">
      <c r="B18" s="3"/>
      <c r="C18" s="3"/>
      <c r="D18" s="3"/>
      <c r="E18" s="3"/>
      <c r="F18" s="3"/>
      <c r="G18" s="3"/>
      <c r="H18" s="3"/>
    </row>
    <row r="19" spans="2:23" x14ac:dyDescent="0.25">
      <c r="B19" s="433" t="s">
        <v>476</v>
      </c>
      <c r="C19" s="434" t="s">
        <v>481</v>
      </c>
      <c r="D19" s="435"/>
      <c r="E19" s="435"/>
      <c r="F19" s="435"/>
      <c r="G19" s="435"/>
      <c r="H19" s="435"/>
      <c r="I19" s="435"/>
      <c r="J19" s="435"/>
      <c r="K19" s="435"/>
      <c r="L19" s="435"/>
      <c r="M19" s="435"/>
      <c r="N19" s="435"/>
      <c r="O19" s="435"/>
      <c r="P19" s="435"/>
      <c r="Q19" s="435"/>
      <c r="R19" s="435"/>
      <c r="S19" s="435"/>
      <c r="T19" s="436"/>
      <c r="U19" s="429" t="s">
        <v>480</v>
      </c>
      <c r="V19" s="429"/>
      <c r="W19" s="429"/>
    </row>
    <row r="20" spans="2:23" x14ac:dyDescent="0.25">
      <c r="B20" s="433"/>
      <c r="C20" s="422" t="s">
        <v>658</v>
      </c>
      <c r="D20" s="422"/>
      <c r="E20" s="422"/>
      <c r="F20" s="422" t="s">
        <v>490</v>
      </c>
      <c r="G20" s="422"/>
      <c r="H20" s="422"/>
      <c r="I20" s="422" t="s">
        <v>3</v>
      </c>
      <c r="J20" s="422"/>
      <c r="K20" s="422"/>
      <c r="L20" s="422" t="s">
        <v>4</v>
      </c>
      <c r="M20" s="422"/>
      <c r="N20" s="422"/>
      <c r="O20" s="422" t="s">
        <v>5</v>
      </c>
      <c r="P20" s="422"/>
      <c r="Q20" s="422"/>
      <c r="R20" s="422" t="s">
        <v>6</v>
      </c>
      <c r="S20" s="422"/>
      <c r="T20" s="422"/>
      <c r="U20" s="429"/>
      <c r="V20" s="429"/>
      <c r="W20" s="429"/>
    </row>
    <row r="21" spans="2:23" x14ac:dyDescent="0.25">
      <c r="B21" s="433"/>
      <c r="C21" s="239" t="s">
        <v>76</v>
      </c>
      <c r="D21" s="239" t="s">
        <v>77</v>
      </c>
      <c r="E21" s="239" t="s">
        <v>28</v>
      </c>
      <c r="F21" s="239" t="s">
        <v>76</v>
      </c>
      <c r="G21" s="239" t="s">
        <v>77</v>
      </c>
      <c r="H21" s="239" t="s">
        <v>28</v>
      </c>
      <c r="I21" s="239" t="s">
        <v>76</v>
      </c>
      <c r="J21" s="239" t="s">
        <v>77</v>
      </c>
      <c r="K21" s="239" t="s">
        <v>28</v>
      </c>
      <c r="L21" s="239" t="s">
        <v>76</v>
      </c>
      <c r="M21" s="239" t="s">
        <v>77</v>
      </c>
      <c r="N21" s="239" t="s">
        <v>28</v>
      </c>
      <c r="O21" s="239" t="s">
        <v>76</v>
      </c>
      <c r="P21" s="239" t="s">
        <v>77</v>
      </c>
      <c r="Q21" s="239" t="s">
        <v>28</v>
      </c>
      <c r="R21" s="239" t="s">
        <v>76</v>
      </c>
      <c r="S21" s="239" t="s">
        <v>77</v>
      </c>
      <c r="T21" s="239" t="s">
        <v>28</v>
      </c>
      <c r="U21" s="329" t="s">
        <v>76</v>
      </c>
      <c r="V21" s="329" t="s">
        <v>77</v>
      </c>
      <c r="W21" s="329" t="s">
        <v>28</v>
      </c>
    </row>
    <row r="22" spans="2:23" hidden="1" outlineLevel="1" x14ac:dyDescent="0.25">
      <c r="B22" s="362">
        <v>39630</v>
      </c>
      <c r="C22" s="365"/>
      <c r="D22" s="365"/>
      <c r="E22" s="365"/>
      <c r="F22" s="365"/>
      <c r="G22" s="365"/>
      <c r="H22" s="365"/>
      <c r="I22" s="365">
        <v>36571</v>
      </c>
      <c r="J22" s="365">
        <v>7919</v>
      </c>
      <c r="K22" s="365">
        <v>44490</v>
      </c>
      <c r="L22" s="365">
        <v>4876</v>
      </c>
      <c r="M22" s="365">
        <v>1751</v>
      </c>
      <c r="N22" s="365">
        <v>6627</v>
      </c>
      <c r="O22" s="365">
        <v>2047</v>
      </c>
      <c r="P22" s="365">
        <v>805</v>
      </c>
      <c r="Q22" s="365">
        <v>2852</v>
      </c>
      <c r="R22" s="365">
        <v>203</v>
      </c>
      <c r="S22" s="365">
        <v>171</v>
      </c>
      <c r="T22" s="365">
        <v>374</v>
      </c>
      <c r="U22" s="363">
        <v>43697</v>
      </c>
      <c r="V22" s="363">
        <v>10646</v>
      </c>
      <c r="W22" s="363">
        <v>54343</v>
      </c>
    </row>
    <row r="23" spans="2:23" hidden="1" outlineLevel="1" x14ac:dyDescent="0.25">
      <c r="B23" s="362">
        <v>39661</v>
      </c>
      <c r="C23" s="365"/>
      <c r="D23" s="365"/>
      <c r="E23" s="365"/>
      <c r="F23" s="365"/>
      <c r="G23" s="365"/>
      <c r="H23" s="365"/>
      <c r="I23" s="365">
        <v>8864</v>
      </c>
      <c r="J23" s="365">
        <v>2750</v>
      </c>
      <c r="K23" s="365">
        <v>11614</v>
      </c>
      <c r="L23" s="365">
        <v>3833</v>
      </c>
      <c r="M23" s="365">
        <v>1473</v>
      </c>
      <c r="N23" s="365">
        <v>5306</v>
      </c>
      <c r="O23" s="365">
        <v>1302</v>
      </c>
      <c r="P23" s="365">
        <v>526</v>
      </c>
      <c r="Q23" s="365">
        <v>1828</v>
      </c>
      <c r="R23" s="365">
        <v>103</v>
      </c>
      <c r="S23" s="365">
        <v>128</v>
      </c>
      <c r="T23" s="365">
        <v>231</v>
      </c>
      <c r="U23" s="363">
        <v>14102</v>
      </c>
      <c r="V23" s="363">
        <v>4877</v>
      </c>
      <c r="W23" s="363">
        <v>18979</v>
      </c>
    </row>
    <row r="24" spans="2:23" hidden="1" outlineLevel="1" x14ac:dyDescent="0.25">
      <c r="B24" s="362">
        <v>39692</v>
      </c>
      <c r="C24" s="365"/>
      <c r="D24" s="365"/>
      <c r="E24" s="365"/>
      <c r="F24" s="365"/>
      <c r="G24" s="365"/>
      <c r="H24" s="365"/>
      <c r="I24" s="365">
        <v>6899</v>
      </c>
      <c r="J24" s="365">
        <v>2045</v>
      </c>
      <c r="K24" s="365">
        <v>8944</v>
      </c>
      <c r="L24" s="365">
        <v>2050</v>
      </c>
      <c r="M24" s="365">
        <v>766</v>
      </c>
      <c r="N24" s="365">
        <v>2816</v>
      </c>
      <c r="O24" s="365">
        <v>863</v>
      </c>
      <c r="P24" s="365">
        <v>399</v>
      </c>
      <c r="Q24" s="365">
        <v>1262</v>
      </c>
      <c r="R24" s="365">
        <v>81</v>
      </c>
      <c r="S24" s="365">
        <v>98</v>
      </c>
      <c r="T24" s="365">
        <v>179</v>
      </c>
      <c r="U24" s="363">
        <v>9893</v>
      </c>
      <c r="V24" s="363">
        <v>3308</v>
      </c>
      <c r="W24" s="363">
        <v>13201</v>
      </c>
    </row>
    <row r="25" spans="2:23" hidden="1" outlineLevel="1" x14ac:dyDescent="0.25">
      <c r="B25" s="362">
        <v>39722</v>
      </c>
      <c r="C25" s="365"/>
      <c r="D25" s="365"/>
      <c r="E25" s="365"/>
      <c r="F25" s="365"/>
      <c r="G25" s="365"/>
      <c r="H25" s="365"/>
      <c r="I25" s="365">
        <v>5971</v>
      </c>
      <c r="J25" s="365">
        <v>1753</v>
      </c>
      <c r="K25" s="365">
        <v>7724</v>
      </c>
      <c r="L25" s="365">
        <v>2033</v>
      </c>
      <c r="M25" s="365">
        <v>786</v>
      </c>
      <c r="N25" s="365">
        <v>2819</v>
      </c>
      <c r="O25" s="365">
        <v>806</v>
      </c>
      <c r="P25" s="365">
        <v>425</v>
      </c>
      <c r="Q25" s="365">
        <v>1231</v>
      </c>
      <c r="R25" s="365">
        <v>90</v>
      </c>
      <c r="S25" s="365">
        <v>76</v>
      </c>
      <c r="T25" s="365">
        <v>166</v>
      </c>
      <c r="U25" s="363">
        <v>8900</v>
      </c>
      <c r="V25" s="363">
        <v>3040</v>
      </c>
      <c r="W25" s="363">
        <v>11940</v>
      </c>
    </row>
    <row r="26" spans="2:23" hidden="1" outlineLevel="1" x14ac:dyDescent="0.25">
      <c r="B26" s="362">
        <v>39753</v>
      </c>
      <c r="C26" s="365"/>
      <c r="D26" s="365"/>
      <c r="E26" s="365"/>
      <c r="F26" s="365"/>
      <c r="G26" s="365"/>
      <c r="H26" s="365"/>
      <c r="I26" s="365">
        <v>4376</v>
      </c>
      <c r="J26" s="365">
        <v>1271</v>
      </c>
      <c r="K26" s="365">
        <v>5647</v>
      </c>
      <c r="L26" s="365">
        <v>1317</v>
      </c>
      <c r="M26" s="365">
        <v>603</v>
      </c>
      <c r="N26" s="365">
        <v>1920</v>
      </c>
      <c r="O26" s="365">
        <v>685</v>
      </c>
      <c r="P26" s="365">
        <v>414</v>
      </c>
      <c r="Q26" s="365">
        <v>1099</v>
      </c>
      <c r="R26" s="365">
        <v>151</v>
      </c>
      <c r="S26" s="365">
        <v>125</v>
      </c>
      <c r="T26" s="365">
        <v>276</v>
      </c>
      <c r="U26" s="363">
        <v>6529</v>
      </c>
      <c r="V26" s="363">
        <v>2413</v>
      </c>
      <c r="W26" s="363">
        <v>8942</v>
      </c>
    </row>
    <row r="27" spans="2:23" hidden="1" outlineLevel="1" x14ac:dyDescent="0.25">
      <c r="B27" s="362">
        <v>39783</v>
      </c>
      <c r="C27" s="365"/>
      <c r="D27" s="365"/>
      <c r="E27" s="365"/>
      <c r="F27" s="365"/>
      <c r="G27" s="365"/>
      <c r="H27" s="365"/>
      <c r="I27" s="365">
        <v>4091</v>
      </c>
      <c r="J27" s="365">
        <v>1225</v>
      </c>
      <c r="K27" s="365">
        <v>5316</v>
      </c>
      <c r="L27" s="365">
        <v>1355</v>
      </c>
      <c r="M27" s="365">
        <v>597</v>
      </c>
      <c r="N27" s="365">
        <v>1952</v>
      </c>
      <c r="O27" s="365">
        <v>722</v>
      </c>
      <c r="P27" s="365">
        <v>488</v>
      </c>
      <c r="Q27" s="365">
        <v>1210</v>
      </c>
      <c r="R27" s="365">
        <v>188</v>
      </c>
      <c r="S27" s="365">
        <v>127</v>
      </c>
      <c r="T27" s="365">
        <v>315</v>
      </c>
      <c r="U27" s="363">
        <v>6356</v>
      </c>
      <c r="V27" s="363">
        <v>2437</v>
      </c>
      <c r="W27" s="363">
        <v>8793</v>
      </c>
    </row>
    <row r="28" spans="2:23" collapsed="1" x14ac:dyDescent="0.25">
      <c r="B28" s="364" t="s">
        <v>699</v>
      </c>
      <c r="C28" s="363" t="s">
        <v>804</v>
      </c>
      <c r="D28" s="363" t="s">
        <v>804</v>
      </c>
      <c r="E28" s="363" t="s">
        <v>804</v>
      </c>
      <c r="F28" s="363" t="s">
        <v>804</v>
      </c>
      <c r="G28" s="363" t="s">
        <v>804</v>
      </c>
      <c r="H28" s="363" t="s">
        <v>804</v>
      </c>
      <c r="I28" s="363">
        <v>11129</v>
      </c>
      <c r="J28" s="363">
        <v>2827</v>
      </c>
      <c r="K28" s="363">
        <v>13956</v>
      </c>
      <c r="L28" s="363">
        <v>2577</v>
      </c>
      <c r="M28" s="363">
        <v>996</v>
      </c>
      <c r="N28" s="363">
        <v>3573</v>
      </c>
      <c r="O28" s="363">
        <v>1071</v>
      </c>
      <c r="P28" s="363">
        <v>510</v>
      </c>
      <c r="Q28" s="363">
        <v>1580</v>
      </c>
      <c r="R28" s="363">
        <v>136</v>
      </c>
      <c r="S28" s="363">
        <v>121</v>
      </c>
      <c r="T28" s="363">
        <v>257</v>
      </c>
      <c r="U28" s="363">
        <v>14913</v>
      </c>
      <c r="V28" s="363">
        <v>4454</v>
      </c>
      <c r="W28" s="363">
        <v>19366</v>
      </c>
    </row>
    <row r="29" spans="2:23" hidden="1" outlineLevel="1" x14ac:dyDescent="0.25">
      <c r="B29" s="362">
        <v>39814</v>
      </c>
      <c r="C29" s="365"/>
      <c r="D29" s="365"/>
      <c r="E29" s="365"/>
      <c r="F29" s="365"/>
      <c r="G29" s="365"/>
      <c r="H29" s="365"/>
      <c r="I29" s="365">
        <v>3284</v>
      </c>
      <c r="J29" s="365">
        <v>1182</v>
      </c>
      <c r="K29" s="365">
        <v>4466</v>
      </c>
      <c r="L29" s="365">
        <v>1263</v>
      </c>
      <c r="M29" s="365">
        <v>503</v>
      </c>
      <c r="N29" s="365">
        <v>1766</v>
      </c>
      <c r="O29" s="365">
        <v>689</v>
      </c>
      <c r="P29" s="365">
        <v>544</v>
      </c>
      <c r="Q29" s="365">
        <v>1233</v>
      </c>
      <c r="R29" s="365">
        <v>258</v>
      </c>
      <c r="S29" s="365">
        <v>166</v>
      </c>
      <c r="T29" s="365">
        <v>424</v>
      </c>
      <c r="U29" s="363">
        <v>5494</v>
      </c>
      <c r="V29" s="363">
        <v>2395</v>
      </c>
      <c r="W29" s="363">
        <v>7889</v>
      </c>
    </row>
    <row r="30" spans="2:23" hidden="1" outlineLevel="1" x14ac:dyDescent="0.25">
      <c r="B30" s="362">
        <v>39845</v>
      </c>
      <c r="C30" s="365"/>
      <c r="D30" s="365"/>
      <c r="E30" s="365"/>
      <c r="F30" s="365"/>
      <c r="G30" s="365"/>
      <c r="H30" s="365"/>
      <c r="I30" s="365">
        <v>2477</v>
      </c>
      <c r="J30" s="365">
        <v>875</v>
      </c>
      <c r="K30" s="365">
        <v>3352</v>
      </c>
      <c r="L30" s="365">
        <v>943</v>
      </c>
      <c r="M30" s="365">
        <v>493</v>
      </c>
      <c r="N30" s="365">
        <v>1436</v>
      </c>
      <c r="O30" s="365">
        <v>603</v>
      </c>
      <c r="P30" s="365">
        <v>502</v>
      </c>
      <c r="Q30" s="365">
        <v>1105</v>
      </c>
      <c r="R30" s="365">
        <v>269</v>
      </c>
      <c r="S30" s="365">
        <v>192</v>
      </c>
      <c r="T30" s="365">
        <v>461</v>
      </c>
      <c r="U30" s="363">
        <v>4292</v>
      </c>
      <c r="V30" s="363">
        <v>2062</v>
      </c>
      <c r="W30" s="363">
        <v>6354</v>
      </c>
    </row>
    <row r="31" spans="2:23" hidden="1" outlineLevel="1" x14ac:dyDescent="0.25">
      <c r="B31" s="362">
        <v>39873</v>
      </c>
      <c r="C31" s="365"/>
      <c r="D31" s="365"/>
      <c r="E31" s="365"/>
      <c r="F31" s="365"/>
      <c r="G31" s="365"/>
      <c r="H31" s="365"/>
      <c r="I31" s="365">
        <v>3202</v>
      </c>
      <c r="J31" s="365">
        <v>1062</v>
      </c>
      <c r="K31" s="365">
        <v>4264</v>
      </c>
      <c r="L31" s="365">
        <v>1333</v>
      </c>
      <c r="M31" s="365">
        <v>560</v>
      </c>
      <c r="N31" s="365">
        <v>1893</v>
      </c>
      <c r="O31" s="365">
        <v>704</v>
      </c>
      <c r="P31" s="365">
        <v>640</v>
      </c>
      <c r="Q31" s="365">
        <v>1344</v>
      </c>
      <c r="R31" s="365">
        <v>308</v>
      </c>
      <c r="S31" s="365">
        <v>255</v>
      </c>
      <c r="T31" s="365">
        <v>563</v>
      </c>
      <c r="U31" s="363">
        <v>5547</v>
      </c>
      <c r="V31" s="363">
        <v>2517</v>
      </c>
      <c r="W31" s="363">
        <v>8064</v>
      </c>
    </row>
    <row r="32" spans="2:23" hidden="1" outlineLevel="1" x14ac:dyDescent="0.25">
      <c r="B32" s="362">
        <v>39904</v>
      </c>
      <c r="C32" s="365"/>
      <c r="D32" s="365"/>
      <c r="E32" s="365"/>
      <c r="F32" s="365"/>
      <c r="G32" s="365"/>
      <c r="H32" s="365"/>
      <c r="I32" s="365">
        <v>2863</v>
      </c>
      <c r="J32" s="365">
        <v>937</v>
      </c>
      <c r="K32" s="365">
        <v>3800</v>
      </c>
      <c r="L32" s="365">
        <v>1239</v>
      </c>
      <c r="M32" s="365">
        <v>525</v>
      </c>
      <c r="N32" s="365">
        <v>1764</v>
      </c>
      <c r="O32" s="365">
        <v>673</v>
      </c>
      <c r="P32" s="365">
        <v>572</v>
      </c>
      <c r="Q32" s="365">
        <v>1245</v>
      </c>
      <c r="R32" s="365">
        <v>338</v>
      </c>
      <c r="S32" s="365">
        <v>244</v>
      </c>
      <c r="T32" s="365">
        <v>582</v>
      </c>
      <c r="U32" s="363">
        <v>5113</v>
      </c>
      <c r="V32" s="363">
        <v>2278</v>
      </c>
      <c r="W32" s="363">
        <v>7391</v>
      </c>
    </row>
    <row r="33" spans="2:23" hidden="1" outlineLevel="1" x14ac:dyDescent="0.25">
      <c r="B33" s="362">
        <v>39934</v>
      </c>
      <c r="C33" s="365"/>
      <c r="D33" s="365"/>
      <c r="E33" s="365"/>
      <c r="F33" s="365"/>
      <c r="G33" s="365"/>
      <c r="H33" s="365"/>
      <c r="I33" s="365">
        <v>2602</v>
      </c>
      <c r="J33" s="365">
        <v>877</v>
      </c>
      <c r="K33" s="365">
        <v>3479</v>
      </c>
      <c r="L33" s="365">
        <v>1042</v>
      </c>
      <c r="M33" s="365">
        <v>442</v>
      </c>
      <c r="N33" s="365">
        <v>1484</v>
      </c>
      <c r="O33" s="365">
        <v>554</v>
      </c>
      <c r="P33" s="365">
        <v>547</v>
      </c>
      <c r="Q33" s="365">
        <v>1101</v>
      </c>
      <c r="R33" s="365">
        <v>388</v>
      </c>
      <c r="S33" s="365">
        <v>259</v>
      </c>
      <c r="T33" s="365">
        <v>647</v>
      </c>
      <c r="U33" s="363">
        <v>4586</v>
      </c>
      <c r="V33" s="363">
        <v>2125</v>
      </c>
      <c r="W33" s="363">
        <v>6711</v>
      </c>
    </row>
    <row r="34" spans="2:23" hidden="1" outlineLevel="1" x14ac:dyDescent="0.25">
      <c r="B34" s="362">
        <v>39965</v>
      </c>
      <c r="C34" s="365"/>
      <c r="D34" s="365"/>
      <c r="E34" s="365"/>
      <c r="F34" s="365"/>
      <c r="G34" s="365"/>
      <c r="H34" s="365"/>
      <c r="I34" s="365">
        <v>1851</v>
      </c>
      <c r="J34" s="365">
        <v>973</v>
      </c>
      <c r="K34" s="365">
        <v>2824</v>
      </c>
      <c r="L34" s="365">
        <v>1212</v>
      </c>
      <c r="M34" s="365">
        <v>560</v>
      </c>
      <c r="N34" s="365">
        <v>1772</v>
      </c>
      <c r="O34" s="365">
        <v>25293</v>
      </c>
      <c r="P34" s="365">
        <v>17563</v>
      </c>
      <c r="Q34" s="365">
        <v>42856</v>
      </c>
      <c r="R34" s="365">
        <v>357</v>
      </c>
      <c r="S34" s="365">
        <v>319</v>
      </c>
      <c r="T34" s="365">
        <v>676</v>
      </c>
      <c r="U34" s="363">
        <v>28713</v>
      </c>
      <c r="V34" s="363">
        <v>19415</v>
      </c>
      <c r="W34" s="363">
        <v>48128</v>
      </c>
    </row>
    <row r="35" spans="2:23" hidden="1" outlineLevel="1" x14ac:dyDescent="0.25">
      <c r="B35" s="362">
        <v>39995</v>
      </c>
      <c r="C35" s="365"/>
      <c r="D35" s="365"/>
      <c r="E35" s="365"/>
      <c r="F35" s="365"/>
      <c r="G35" s="365"/>
      <c r="H35" s="365"/>
      <c r="I35" s="365">
        <v>7907</v>
      </c>
      <c r="J35" s="365">
        <v>1100</v>
      </c>
      <c r="K35" s="365">
        <v>9007</v>
      </c>
      <c r="L35" s="365">
        <v>1562</v>
      </c>
      <c r="M35" s="365">
        <v>564</v>
      </c>
      <c r="N35" s="365">
        <v>2126</v>
      </c>
      <c r="O35" s="365">
        <v>17318</v>
      </c>
      <c r="P35" s="365">
        <v>15867</v>
      </c>
      <c r="Q35" s="365">
        <v>33185</v>
      </c>
      <c r="R35" s="365">
        <v>370</v>
      </c>
      <c r="S35" s="365">
        <v>300</v>
      </c>
      <c r="T35" s="365">
        <v>670</v>
      </c>
      <c r="U35" s="363">
        <v>27157</v>
      </c>
      <c r="V35" s="363">
        <v>17831</v>
      </c>
      <c r="W35" s="363">
        <v>44988</v>
      </c>
    </row>
    <row r="36" spans="2:23" hidden="1" outlineLevel="1" x14ac:dyDescent="0.25">
      <c r="B36" s="362">
        <v>40026</v>
      </c>
      <c r="C36" s="365"/>
      <c r="D36" s="365"/>
      <c r="E36" s="365"/>
      <c r="F36" s="365"/>
      <c r="G36" s="365"/>
      <c r="H36" s="365"/>
      <c r="I36" s="365">
        <v>5309</v>
      </c>
      <c r="J36" s="365">
        <v>1411</v>
      </c>
      <c r="K36" s="365">
        <v>6720</v>
      </c>
      <c r="L36" s="365">
        <v>1604</v>
      </c>
      <c r="M36" s="365">
        <v>628</v>
      </c>
      <c r="N36" s="365">
        <v>2232</v>
      </c>
      <c r="O36" s="365">
        <v>31821</v>
      </c>
      <c r="P36" s="365">
        <v>22265</v>
      </c>
      <c r="Q36" s="365">
        <v>54086</v>
      </c>
      <c r="R36" s="365">
        <v>682</v>
      </c>
      <c r="S36" s="365">
        <v>510</v>
      </c>
      <c r="T36" s="365">
        <v>1192</v>
      </c>
      <c r="U36" s="363">
        <v>39416</v>
      </c>
      <c r="V36" s="363">
        <v>24814</v>
      </c>
      <c r="W36" s="363">
        <v>64230</v>
      </c>
    </row>
    <row r="37" spans="2:23" hidden="1" outlineLevel="1" x14ac:dyDescent="0.25">
      <c r="B37" s="362">
        <v>40057</v>
      </c>
      <c r="C37" s="365"/>
      <c r="D37" s="365"/>
      <c r="E37" s="365"/>
      <c r="F37" s="365"/>
      <c r="G37" s="365"/>
      <c r="H37" s="365"/>
      <c r="I37" s="365">
        <v>4866</v>
      </c>
      <c r="J37" s="365">
        <v>1389</v>
      </c>
      <c r="K37" s="365">
        <v>6255</v>
      </c>
      <c r="L37" s="365">
        <v>1384</v>
      </c>
      <c r="M37" s="365">
        <v>644</v>
      </c>
      <c r="N37" s="365">
        <v>2028</v>
      </c>
      <c r="O37" s="365">
        <v>41703</v>
      </c>
      <c r="P37" s="365">
        <v>30290</v>
      </c>
      <c r="Q37" s="365">
        <v>71993</v>
      </c>
      <c r="R37" s="365">
        <v>833</v>
      </c>
      <c r="S37" s="365">
        <v>686</v>
      </c>
      <c r="T37" s="365">
        <v>1519</v>
      </c>
      <c r="U37" s="363">
        <v>48786</v>
      </c>
      <c r="V37" s="363">
        <v>33009</v>
      </c>
      <c r="W37" s="363">
        <v>81795</v>
      </c>
    </row>
    <row r="38" spans="2:23" hidden="1" outlineLevel="1" x14ac:dyDescent="0.25">
      <c r="B38" s="362">
        <v>40087</v>
      </c>
      <c r="C38" s="365"/>
      <c r="D38" s="365"/>
      <c r="E38" s="365"/>
      <c r="F38" s="365"/>
      <c r="G38" s="365"/>
      <c r="H38" s="365"/>
      <c r="I38" s="365">
        <v>3987</v>
      </c>
      <c r="J38" s="365">
        <v>1299</v>
      </c>
      <c r="K38" s="365">
        <v>5286</v>
      </c>
      <c r="L38" s="365">
        <v>1315</v>
      </c>
      <c r="M38" s="365">
        <v>594</v>
      </c>
      <c r="N38" s="365">
        <v>1909</v>
      </c>
      <c r="O38" s="365">
        <v>18779</v>
      </c>
      <c r="P38" s="365">
        <v>14683</v>
      </c>
      <c r="Q38" s="365">
        <v>33462</v>
      </c>
      <c r="R38" s="365">
        <v>587</v>
      </c>
      <c r="S38" s="365">
        <v>468</v>
      </c>
      <c r="T38" s="365">
        <v>1055</v>
      </c>
      <c r="U38" s="363">
        <v>24668</v>
      </c>
      <c r="V38" s="363">
        <v>17044</v>
      </c>
      <c r="W38" s="363">
        <v>41712</v>
      </c>
    </row>
    <row r="39" spans="2:23" hidden="1" outlineLevel="1" x14ac:dyDescent="0.25">
      <c r="B39" s="362">
        <v>40118</v>
      </c>
      <c r="C39" s="365"/>
      <c r="D39" s="365"/>
      <c r="E39" s="365"/>
      <c r="F39" s="365"/>
      <c r="G39" s="365"/>
      <c r="H39" s="365"/>
      <c r="I39" s="365">
        <v>3353</v>
      </c>
      <c r="J39" s="365">
        <v>1111</v>
      </c>
      <c r="K39" s="365">
        <v>4464</v>
      </c>
      <c r="L39" s="365">
        <v>1006</v>
      </c>
      <c r="M39" s="365">
        <v>463</v>
      </c>
      <c r="N39" s="365">
        <v>1469</v>
      </c>
      <c r="O39" s="365">
        <v>12202</v>
      </c>
      <c r="P39" s="365">
        <v>8014</v>
      </c>
      <c r="Q39" s="365">
        <v>20216</v>
      </c>
      <c r="R39" s="365">
        <v>575</v>
      </c>
      <c r="S39" s="365">
        <v>427</v>
      </c>
      <c r="T39" s="365">
        <v>1002</v>
      </c>
      <c r="U39" s="363">
        <v>17136</v>
      </c>
      <c r="V39" s="363">
        <v>10015</v>
      </c>
      <c r="W39" s="363">
        <v>27151</v>
      </c>
    </row>
    <row r="40" spans="2:23" hidden="1" outlineLevel="1" x14ac:dyDescent="0.25">
      <c r="B40" s="362">
        <v>40148</v>
      </c>
      <c r="C40" s="365"/>
      <c r="D40" s="365"/>
      <c r="E40" s="365"/>
      <c r="F40" s="365"/>
      <c r="G40" s="365"/>
      <c r="H40" s="365"/>
      <c r="I40" s="365">
        <v>3114</v>
      </c>
      <c r="J40" s="365">
        <v>944</v>
      </c>
      <c r="K40" s="365">
        <v>4058</v>
      </c>
      <c r="L40" s="365">
        <v>937</v>
      </c>
      <c r="M40" s="365">
        <v>455</v>
      </c>
      <c r="N40" s="365">
        <v>1392</v>
      </c>
      <c r="O40" s="365">
        <v>9838</v>
      </c>
      <c r="P40" s="365">
        <v>5480</v>
      </c>
      <c r="Q40" s="365">
        <v>15318</v>
      </c>
      <c r="R40" s="365">
        <v>580</v>
      </c>
      <c r="S40" s="365">
        <v>502</v>
      </c>
      <c r="T40" s="365">
        <v>1082</v>
      </c>
      <c r="U40" s="363">
        <v>14469</v>
      </c>
      <c r="V40" s="363">
        <v>7381</v>
      </c>
      <c r="W40" s="363">
        <v>21850</v>
      </c>
    </row>
    <row r="41" spans="2:23" collapsed="1" x14ac:dyDescent="0.25">
      <c r="B41" s="364" t="s">
        <v>700</v>
      </c>
      <c r="C41" s="363" t="s">
        <v>804</v>
      </c>
      <c r="D41" s="363" t="s">
        <v>804</v>
      </c>
      <c r="E41" s="363" t="s">
        <v>804</v>
      </c>
      <c r="F41" s="363" t="s">
        <v>804</v>
      </c>
      <c r="G41" s="363" t="s">
        <v>804</v>
      </c>
      <c r="H41" s="363" t="s">
        <v>804</v>
      </c>
      <c r="I41" s="363">
        <v>3735</v>
      </c>
      <c r="J41" s="363">
        <v>1097</v>
      </c>
      <c r="K41" s="363">
        <v>4831</v>
      </c>
      <c r="L41" s="363">
        <v>1237</v>
      </c>
      <c r="M41" s="363">
        <v>536</v>
      </c>
      <c r="N41" s="363">
        <v>1773</v>
      </c>
      <c r="O41" s="363">
        <v>13348</v>
      </c>
      <c r="P41" s="363">
        <v>9747</v>
      </c>
      <c r="Q41" s="363">
        <v>23095</v>
      </c>
      <c r="R41" s="363">
        <v>462</v>
      </c>
      <c r="S41" s="363">
        <v>361</v>
      </c>
      <c r="T41" s="363">
        <v>823</v>
      </c>
      <c r="U41" s="363">
        <v>18781</v>
      </c>
      <c r="V41" s="363">
        <v>11741</v>
      </c>
      <c r="W41" s="363">
        <v>30522</v>
      </c>
    </row>
    <row r="42" spans="2:23" hidden="1" outlineLevel="1" x14ac:dyDescent="0.25">
      <c r="B42" s="362">
        <v>40179</v>
      </c>
      <c r="C42" s="365"/>
      <c r="D42" s="365"/>
      <c r="E42" s="365"/>
      <c r="F42" s="365"/>
      <c r="G42" s="365"/>
      <c r="H42" s="365"/>
      <c r="I42" s="365">
        <v>2797</v>
      </c>
      <c r="J42" s="365">
        <v>900</v>
      </c>
      <c r="K42" s="365">
        <v>3697</v>
      </c>
      <c r="L42" s="365">
        <v>924</v>
      </c>
      <c r="M42" s="365">
        <v>458</v>
      </c>
      <c r="N42" s="365">
        <v>1382</v>
      </c>
      <c r="O42" s="365">
        <v>8083</v>
      </c>
      <c r="P42" s="365">
        <v>4617</v>
      </c>
      <c r="Q42" s="365">
        <v>12700</v>
      </c>
      <c r="R42" s="365">
        <v>544</v>
      </c>
      <c r="S42" s="365">
        <v>351</v>
      </c>
      <c r="T42" s="365">
        <v>895</v>
      </c>
      <c r="U42" s="363">
        <v>12348</v>
      </c>
      <c r="V42" s="363">
        <v>6326</v>
      </c>
      <c r="W42" s="363">
        <v>18674</v>
      </c>
    </row>
    <row r="43" spans="2:23" hidden="1" outlineLevel="1" x14ac:dyDescent="0.25">
      <c r="B43" s="362">
        <v>40210</v>
      </c>
      <c r="C43" s="365"/>
      <c r="D43" s="365"/>
      <c r="E43" s="365"/>
      <c r="F43" s="365"/>
      <c r="G43" s="365"/>
      <c r="H43" s="365"/>
      <c r="I43" s="365">
        <v>2157</v>
      </c>
      <c r="J43" s="365">
        <v>789</v>
      </c>
      <c r="K43" s="365">
        <v>2946</v>
      </c>
      <c r="L43" s="365">
        <v>796</v>
      </c>
      <c r="M43" s="365">
        <v>370</v>
      </c>
      <c r="N43" s="365">
        <v>1166</v>
      </c>
      <c r="O43" s="365">
        <v>6075</v>
      </c>
      <c r="P43" s="365">
        <v>3599</v>
      </c>
      <c r="Q43" s="365">
        <v>9674</v>
      </c>
      <c r="R43" s="365">
        <v>521</v>
      </c>
      <c r="S43" s="365">
        <v>352</v>
      </c>
      <c r="T43" s="365">
        <v>873</v>
      </c>
      <c r="U43" s="363">
        <v>9549</v>
      </c>
      <c r="V43" s="363">
        <v>5110</v>
      </c>
      <c r="W43" s="363">
        <v>14659</v>
      </c>
    </row>
    <row r="44" spans="2:23" hidden="1" outlineLevel="1" x14ac:dyDescent="0.25">
      <c r="B44" s="362">
        <v>40238</v>
      </c>
      <c r="C44" s="365"/>
      <c r="D44" s="365"/>
      <c r="E44" s="365"/>
      <c r="F44" s="365"/>
      <c r="G44" s="365"/>
      <c r="H44" s="365"/>
      <c r="I44" s="365">
        <v>2334</v>
      </c>
      <c r="J44" s="365">
        <v>836</v>
      </c>
      <c r="K44" s="365">
        <v>3170</v>
      </c>
      <c r="L44" s="365">
        <v>772</v>
      </c>
      <c r="M44" s="365">
        <v>373</v>
      </c>
      <c r="N44" s="365">
        <v>1145</v>
      </c>
      <c r="O44" s="365">
        <v>4788</v>
      </c>
      <c r="P44" s="365">
        <v>3255</v>
      </c>
      <c r="Q44" s="365">
        <v>8043</v>
      </c>
      <c r="R44" s="365">
        <v>607</v>
      </c>
      <c r="S44" s="365">
        <v>429</v>
      </c>
      <c r="T44" s="365">
        <v>1036</v>
      </c>
      <c r="U44" s="363">
        <v>8501</v>
      </c>
      <c r="V44" s="363">
        <v>4893</v>
      </c>
      <c r="W44" s="363">
        <v>13394</v>
      </c>
    </row>
    <row r="45" spans="2:23" hidden="1" outlineLevel="1" x14ac:dyDescent="0.25">
      <c r="B45" s="362">
        <v>40269</v>
      </c>
      <c r="C45" s="365"/>
      <c r="D45" s="365"/>
      <c r="E45" s="365"/>
      <c r="F45" s="365"/>
      <c r="G45" s="365"/>
      <c r="H45" s="365"/>
      <c r="I45" s="365">
        <v>2367</v>
      </c>
      <c r="J45" s="365">
        <v>771</v>
      </c>
      <c r="K45" s="365">
        <v>3138</v>
      </c>
      <c r="L45" s="365">
        <v>815</v>
      </c>
      <c r="M45" s="365">
        <v>436</v>
      </c>
      <c r="N45" s="365">
        <v>1251</v>
      </c>
      <c r="O45" s="365">
        <v>5583</v>
      </c>
      <c r="P45" s="365">
        <v>4887</v>
      </c>
      <c r="Q45" s="365">
        <v>10470</v>
      </c>
      <c r="R45" s="365">
        <v>578</v>
      </c>
      <c r="S45" s="365">
        <v>482</v>
      </c>
      <c r="T45" s="365">
        <v>1060</v>
      </c>
      <c r="U45" s="363">
        <v>9343</v>
      </c>
      <c r="V45" s="363">
        <v>6576</v>
      </c>
      <c r="W45" s="363">
        <v>15919</v>
      </c>
    </row>
    <row r="46" spans="2:23" hidden="1" outlineLevel="1" x14ac:dyDescent="0.25">
      <c r="B46" s="362">
        <v>40299</v>
      </c>
      <c r="C46" s="365"/>
      <c r="D46" s="365"/>
      <c r="E46" s="365"/>
      <c r="F46" s="365"/>
      <c r="G46" s="365"/>
      <c r="H46" s="365"/>
      <c r="I46" s="365">
        <v>2149</v>
      </c>
      <c r="J46" s="365">
        <v>790</v>
      </c>
      <c r="K46" s="365">
        <v>2939</v>
      </c>
      <c r="L46" s="365">
        <v>803</v>
      </c>
      <c r="M46" s="365">
        <v>394</v>
      </c>
      <c r="N46" s="365">
        <v>1197</v>
      </c>
      <c r="O46" s="365">
        <v>4670</v>
      </c>
      <c r="P46" s="365">
        <v>4644</v>
      </c>
      <c r="Q46" s="365">
        <v>9314</v>
      </c>
      <c r="R46" s="365">
        <v>539</v>
      </c>
      <c r="S46" s="365">
        <v>414</v>
      </c>
      <c r="T46" s="365">
        <v>953</v>
      </c>
      <c r="U46" s="363">
        <v>8161</v>
      </c>
      <c r="V46" s="363">
        <v>6242</v>
      </c>
      <c r="W46" s="363">
        <v>14403</v>
      </c>
    </row>
    <row r="47" spans="2:23" hidden="1" outlineLevel="1" x14ac:dyDescent="0.25">
      <c r="B47" s="362">
        <v>40330</v>
      </c>
      <c r="C47" s="365"/>
      <c r="D47" s="365"/>
      <c r="E47" s="365"/>
      <c r="F47" s="365"/>
      <c r="G47" s="365"/>
      <c r="H47" s="365"/>
      <c r="I47" s="365">
        <v>2217</v>
      </c>
      <c r="J47" s="365">
        <v>833</v>
      </c>
      <c r="K47" s="365">
        <v>3050</v>
      </c>
      <c r="L47" s="365">
        <v>804</v>
      </c>
      <c r="M47" s="365">
        <v>376</v>
      </c>
      <c r="N47" s="365">
        <v>1180</v>
      </c>
      <c r="O47" s="365">
        <v>8772</v>
      </c>
      <c r="P47" s="365">
        <v>6826</v>
      </c>
      <c r="Q47" s="365">
        <v>15598</v>
      </c>
      <c r="R47" s="365">
        <v>467</v>
      </c>
      <c r="S47" s="365">
        <v>361</v>
      </c>
      <c r="T47" s="365">
        <v>828</v>
      </c>
      <c r="U47" s="363">
        <v>12260</v>
      </c>
      <c r="V47" s="363">
        <v>8396</v>
      </c>
      <c r="W47" s="363">
        <v>20656</v>
      </c>
    </row>
    <row r="48" spans="2:23" hidden="1" outlineLevel="1" x14ac:dyDescent="0.25">
      <c r="B48" s="362">
        <v>40360</v>
      </c>
      <c r="C48" s="365"/>
      <c r="D48" s="365"/>
      <c r="E48" s="365"/>
      <c r="F48" s="365"/>
      <c r="G48" s="365"/>
      <c r="H48" s="365"/>
      <c r="I48" s="365">
        <v>2313</v>
      </c>
      <c r="J48" s="365">
        <v>848</v>
      </c>
      <c r="K48" s="365">
        <v>3161</v>
      </c>
      <c r="L48" s="365">
        <v>765</v>
      </c>
      <c r="M48" s="365">
        <v>318</v>
      </c>
      <c r="N48" s="365">
        <v>1083</v>
      </c>
      <c r="O48" s="365">
        <v>11683</v>
      </c>
      <c r="P48" s="365">
        <v>10170</v>
      </c>
      <c r="Q48" s="365">
        <v>21853</v>
      </c>
      <c r="R48" s="365">
        <v>415</v>
      </c>
      <c r="S48" s="365">
        <v>289</v>
      </c>
      <c r="T48" s="365">
        <v>704</v>
      </c>
      <c r="U48" s="363">
        <v>15176</v>
      </c>
      <c r="V48" s="363">
        <v>11625</v>
      </c>
      <c r="W48" s="363">
        <v>26801</v>
      </c>
    </row>
    <row r="49" spans="2:23" hidden="1" outlineLevel="1" x14ac:dyDescent="0.25">
      <c r="B49" s="362">
        <v>40391</v>
      </c>
      <c r="C49" s="365"/>
      <c r="D49" s="365"/>
      <c r="E49" s="365"/>
      <c r="F49" s="365"/>
      <c r="G49" s="365"/>
      <c r="H49" s="365"/>
      <c r="I49" s="365">
        <v>2365</v>
      </c>
      <c r="J49" s="365">
        <v>899</v>
      </c>
      <c r="K49" s="365">
        <v>3264</v>
      </c>
      <c r="L49" s="365">
        <v>810</v>
      </c>
      <c r="M49" s="365">
        <v>398</v>
      </c>
      <c r="N49" s="365">
        <v>1208</v>
      </c>
      <c r="O49" s="365">
        <v>9759</v>
      </c>
      <c r="P49" s="365">
        <v>8132</v>
      </c>
      <c r="Q49" s="365">
        <v>17891</v>
      </c>
      <c r="R49" s="365">
        <v>462</v>
      </c>
      <c r="S49" s="365">
        <v>325</v>
      </c>
      <c r="T49" s="365">
        <v>787</v>
      </c>
      <c r="U49" s="363">
        <v>13396</v>
      </c>
      <c r="V49" s="363">
        <v>9754</v>
      </c>
      <c r="W49" s="363">
        <v>23150</v>
      </c>
    </row>
    <row r="50" spans="2:23" hidden="1" outlineLevel="1" x14ac:dyDescent="0.25">
      <c r="B50" s="362">
        <v>40422</v>
      </c>
      <c r="C50" s="365"/>
      <c r="D50" s="365"/>
      <c r="E50" s="365"/>
      <c r="F50" s="365"/>
      <c r="G50" s="365"/>
      <c r="H50" s="365"/>
      <c r="I50" s="365">
        <v>2158</v>
      </c>
      <c r="J50" s="365">
        <v>751</v>
      </c>
      <c r="K50" s="365">
        <v>2909</v>
      </c>
      <c r="L50" s="365">
        <v>681</v>
      </c>
      <c r="M50" s="365">
        <v>336</v>
      </c>
      <c r="N50" s="365">
        <v>1017</v>
      </c>
      <c r="O50" s="365">
        <v>5901</v>
      </c>
      <c r="P50" s="365">
        <v>4226</v>
      </c>
      <c r="Q50" s="365">
        <v>10127</v>
      </c>
      <c r="R50" s="365">
        <v>383</v>
      </c>
      <c r="S50" s="365">
        <v>260</v>
      </c>
      <c r="T50" s="365">
        <v>643</v>
      </c>
      <c r="U50" s="363">
        <v>9123</v>
      </c>
      <c r="V50" s="363">
        <v>5573</v>
      </c>
      <c r="W50" s="363">
        <v>14696</v>
      </c>
    </row>
    <row r="51" spans="2:23" hidden="1" outlineLevel="1" x14ac:dyDescent="0.25">
      <c r="B51" s="362">
        <v>40452</v>
      </c>
      <c r="C51" s="365"/>
      <c r="D51" s="365"/>
      <c r="E51" s="365"/>
      <c r="F51" s="365"/>
      <c r="G51" s="365"/>
      <c r="H51" s="365"/>
      <c r="I51" s="365">
        <v>2218</v>
      </c>
      <c r="J51" s="365">
        <v>787</v>
      </c>
      <c r="K51" s="365">
        <v>3005</v>
      </c>
      <c r="L51" s="365">
        <v>707</v>
      </c>
      <c r="M51" s="365">
        <v>273</v>
      </c>
      <c r="N51" s="365">
        <v>980</v>
      </c>
      <c r="O51" s="365">
        <v>5513</v>
      </c>
      <c r="P51" s="365">
        <v>3910</v>
      </c>
      <c r="Q51" s="365">
        <v>9423</v>
      </c>
      <c r="R51" s="365">
        <v>423</v>
      </c>
      <c r="S51" s="365">
        <v>346</v>
      </c>
      <c r="T51" s="365">
        <v>769</v>
      </c>
      <c r="U51" s="363">
        <v>8861</v>
      </c>
      <c r="V51" s="363">
        <v>5316</v>
      </c>
      <c r="W51" s="363">
        <v>14177</v>
      </c>
    </row>
    <row r="52" spans="2:23" hidden="1" outlineLevel="1" x14ac:dyDescent="0.25">
      <c r="B52" s="362">
        <v>40483</v>
      </c>
      <c r="C52" s="365"/>
      <c r="D52" s="365"/>
      <c r="E52" s="365"/>
      <c r="F52" s="365"/>
      <c r="G52" s="365"/>
      <c r="H52" s="365"/>
      <c r="I52" s="365">
        <v>2005</v>
      </c>
      <c r="J52" s="365">
        <v>720</v>
      </c>
      <c r="K52" s="365">
        <v>2725</v>
      </c>
      <c r="L52" s="365">
        <v>620</v>
      </c>
      <c r="M52" s="365">
        <v>302</v>
      </c>
      <c r="N52" s="365">
        <v>922</v>
      </c>
      <c r="O52" s="365">
        <v>4587</v>
      </c>
      <c r="P52" s="365">
        <v>3066</v>
      </c>
      <c r="Q52" s="365">
        <v>7653</v>
      </c>
      <c r="R52" s="365">
        <v>358</v>
      </c>
      <c r="S52" s="365">
        <v>250</v>
      </c>
      <c r="T52" s="365">
        <v>608</v>
      </c>
      <c r="U52" s="363">
        <v>7570</v>
      </c>
      <c r="V52" s="363">
        <v>4338</v>
      </c>
      <c r="W52" s="363">
        <v>11908</v>
      </c>
    </row>
    <row r="53" spans="2:23" hidden="1" outlineLevel="1" x14ac:dyDescent="0.25">
      <c r="B53" s="362">
        <v>40513</v>
      </c>
      <c r="C53" s="365"/>
      <c r="D53" s="365"/>
      <c r="E53" s="365"/>
      <c r="F53" s="365"/>
      <c r="G53" s="365"/>
      <c r="H53" s="365"/>
      <c r="I53" s="365">
        <v>1541</v>
      </c>
      <c r="J53" s="365">
        <v>580</v>
      </c>
      <c r="K53" s="365">
        <v>2121</v>
      </c>
      <c r="L53" s="365">
        <v>456</v>
      </c>
      <c r="M53" s="365">
        <v>258</v>
      </c>
      <c r="N53" s="365">
        <v>714</v>
      </c>
      <c r="O53" s="365">
        <v>2985</v>
      </c>
      <c r="P53" s="365">
        <v>2173</v>
      </c>
      <c r="Q53" s="365">
        <v>5158</v>
      </c>
      <c r="R53" s="365">
        <v>407</v>
      </c>
      <c r="S53" s="365">
        <v>352</v>
      </c>
      <c r="T53" s="365">
        <v>759</v>
      </c>
      <c r="U53" s="363">
        <v>5389</v>
      </c>
      <c r="V53" s="363">
        <v>3363</v>
      </c>
      <c r="W53" s="363">
        <v>8752</v>
      </c>
    </row>
    <row r="54" spans="2:23" collapsed="1" x14ac:dyDescent="0.25">
      <c r="B54" s="364" t="s">
        <v>701</v>
      </c>
      <c r="C54" s="363" t="s">
        <v>804</v>
      </c>
      <c r="D54" s="363" t="s">
        <v>804</v>
      </c>
      <c r="E54" s="363" t="s">
        <v>804</v>
      </c>
      <c r="F54" s="363" t="s">
        <v>804</v>
      </c>
      <c r="G54" s="363" t="s">
        <v>804</v>
      </c>
      <c r="H54" s="363" t="s">
        <v>804</v>
      </c>
      <c r="I54" s="363">
        <v>2218</v>
      </c>
      <c r="J54" s="363">
        <v>792</v>
      </c>
      <c r="K54" s="363">
        <v>3010</v>
      </c>
      <c r="L54" s="363">
        <v>746</v>
      </c>
      <c r="M54" s="363">
        <v>358</v>
      </c>
      <c r="N54" s="363">
        <v>1104</v>
      </c>
      <c r="O54" s="363">
        <v>6533</v>
      </c>
      <c r="P54" s="363">
        <v>4959</v>
      </c>
      <c r="Q54" s="363">
        <v>11492</v>
      </c>
      <c r="R54" s="363">
        <v>475</v>
      </c>
      <c r="S54" s="363">
        <v>351</v>
      </c>
      <c r="T54" s="363">
        <v>826</v>
      </c>
      <c r="U54" s="363">
        <v>9973</v>
      </c>
      <c r="V54" s="363">
        <v>6459</v>
      </c>
      <c r="W54" s="363">
        <v>16432</v>
      </c>
    </row>
    <row r="55" spans="2:23" hidden="1" outlineLevel="1" x14ac:dyDescent="0.25">
      <c r="B55" s="362">
        <v>40544</v>
      </c>
      <c r="C55" s="365"/>
      <c r="D55" s="365"/>
      <c r="E55" s="365"/>
      <c r="F55" s="365"/>
      <c r="G55" s="365"/>
      <c r="H55" s="365"/>
      <c r="I55" s="365">
        <v>1750</v>
      </c>
      <c r="J55" s="365">
        <v>770</v>
      </c>
      <c r="K55" s="365">
        <v>2520</v>
      </c>
      <c r="L55" s="365">
        <v>607</v>
      </c>
      <c r="M55" s="365">
        <v>327</v>
      </c>
      <c r="N55" s="365">
        <v>934</v>
      </c>
      <c r="O55" s="365">
        <v>4444</v>
      </c>
      <c r="P55" s="365">
        <v>3405</v>
      </c>
      <c r="Q55" s="365">
        <v>7849</v>
      </c>
      <c r="R55" s="365">
        <v>472</v>
      </c>
      <c r="S55" s="365">
        <v>385</v>
      </c>
      <c r="T55" s="365">
        <v>857</v>
      </c>
      <c r="U55" s="363">
        <v>7273</v>
      </c>
      <c r="V55" s="363">
        <v>4887</v>
      </c>
      <c r="W55" s="363">
        <v>12160</v>
      </c>
    </row>
    <row r="56" spans="2:23" hidden="1" outlineLevel="1" x14ac:dyDescent="0.25">
      <c r="B56" s="362">
        <v>40575</v>
      </c>
      <c r="C56" s="365"/>
      <c r="D56" s="365"/>
      <c r="E56" s="365"/>
      <c r="F56" s="365"/>
      <c r="G56" s="365"/>
      <c r="H56" s="365"/>
      <c r="I56" s="365">
        <v>1639</v>
      </c>
      <c r="J56" s="365">
        <v>645</v>
      </c>
      <c r="K56" s="365">
        <v>2284</v>
      </c>
      <c r="L56" s="365">
        <v>456</v>
      </c>
      <c r="M56" s="365">
        <v>290</v>
      </c>
      <c r="N56" s="365">
        <v>746</v>
      </c>
      <c r="O56" s="365">
        <v>3610</v>
      </c>
      <c r="P56" s="365">
        <v>2654</v>
      </c>
      <c r="Q56" s="365">
        <v>6264</v>
      </c>
      <c r="R56" s="365">
        <v>379</v>
      </c>
      <c r="S56" s="365">
        <v>331</v>
      </c>
      <c r="T56" s="365">
        <v>710</v>
      </c>
      <c r="U56" s="363">
        <v>6084</v>
      </c>
      <c r="V56" s="363">
        <v>3920</v>
      </c>
      <c r="W56" s="363">
        <v>10004</v>
      </c>
    </row>
    <row r="57" spans="2:23" hidden="1" outlineLevel="1" x14ac:dyDescent="0.25">
      <c r="B57" s="362">
        <v>40603</v>
      </c>
      <c r="C57" s="365"/>
      <c r="D57" s="365"/>
      <c r="E57" s="365"/>
      <c r="F57" s="365"/>
      <c r="G57" s="365"/>
      <c r="H57" s="365"/>
      <c r="I57" s="365">
        <v>1907</v>
      </c>
      <c r="J57" s="365">
        <v>705</v>
      </c>
      <c r="K57" s="365">
        <v>2612</v>
      </c>
      <c r="L57" s="365">
        <v>677</v>
      </c>
      <c r="M57" s="365">
        <v>376</v>
      </c>
      <c r="N57" s="365">
        <v>1053</v>
      </c>
      <c r="O57" s="365">
        <v>4242</v>
      </c>
      <c r="P57" s="365">
        <v>2789</v>
      </c>
      <c r="Q57" s="365">
        <v>7031</v>
      </c>
      <c r="R57" s="365">
        <v>524</v>
      </c>
      <c r="S57" s="365">
        <v>390</v>
      </c>
      <c r="T57" s="365">
        <v>914</v>
      </c>
      <c r="U57" s="363">
        <v>7350</v>
      </c>
      <c r="V57" s="363">
        <v>4260</v>
      </c>
      <c r="W57" s="363">
        <v>11610</v>
      </c>
    </row>
    <row r="58" spans="2:23" hidden="1" outlineLevel="1" x14ac:dyDescent="0.25">
      <c r="B58" s="362">
        <v>40634</v>
      </c>
      <c r="C58" s="365"/>
      <c r="D58" s="365"/>
      <c r="E58" s="365"/>
      <c r="F58" s="365"/>
      <c r="G58" s="365"/>
      <c r="H58" s="365"/>
      <c r="I58" s="365">
        <v>1367</v>
      </c>
      <c r="J58" s="365">
        <v>558</v>
      </c>
      <c r="K58" s="365">
        <v>1925</v>
      </c>
      <c r="L58" s="365">
        <v>556</v>
      </c>
      <c r="M58" s="365">
        <v>304</v>
      </c>
      <c r="N58" s="365">
        <v>860</v>
      </c>
      <c r="O58" s="365">
        <v>3162</v>
      </c>
      <c r="P58" s="365">
        <v>1969</v>
      </c>
      <c r="Q58" s="365">
        <v>5131</v>
      </c>
      <c r="R58" s="365">
        <v>332</v>
      </c>
      <c r="S58" s="365">
        <v>292</v>
      </c>
      <c r="T58" s="365">
        <v>624</v>
      </c>
      <c r="U58" s="363">
        <v>5417</v>
      </c>
      <c r="V58" s="363">
        <v>3123</v>
      </c>
      <c r="W58" s="363">
        <v>8540</v>
      </c>
    </row>
    <row r="59" spans="2:23" hidden="1" outlineLevel="1" x14ac:dyDescent="0.25">
      <c r="B59" s="362">
        <v>40664</v>
      </c>
      <c r="C59" s="365"/>
      <c r="D59" s="365"/>
      <c r="E59" s="365"/>
      <c r="F59" s="365"/>
      <c r="G59" s="365"/>
      <c r="H59" s="365"/>
      <c r="I59" s="365">
        <v>1645</v>
      </c>
      <c r="J59" s="365">
        <v>670</v>
      </c>
      <c r="K59" s="365">
        <v>2315</v>
      </c>
      <c r="L59" s="365">
        <v>608</v>
      </c>
      <c r="M59" s="365">
        <v>323</v>
      </c>
      <c r="N59" s="365">
        <v>931</v>
      </c>
      <c r="O59" s="365">
        <v>3770</v>
      </c>
      <c r="P59" s="365">
        <v>2512</v>
      </c>
      <c r="Q59" s="365">
        <v>6282</v>
      </c>
      <c r="R59" s="365">
        <v>376</v>
      </c>
      <c r="S59" s="365">
        <v>292</v>
      </c>
      <c r="T59" s="365">
        <v>668</v>
      </c>
      <c r="U59" s="363">
        <v>6399</v>
      </c>
      <c r="V59" s="363">
        <v>3797</v>
      </c>
      <c r="W59" s="363">
        <v>10196</v>
      </c>
    </row>
    <row r="60" spans="2:23" hidden="1" outlineLevel="1" x14ac:dyDescent="0.25">
      <c r="B60" s="362">
        <v>40695</v>
      </c>
      <c r="C60" s="365"/>
      <c r="D60" s="365"/>
      <c r="E60" s="365"/>
      <c r="F60" s="365"/>
      <c r="G60" s="365"/>
      <c r="H60" s="365"/>
      <c r="I60" s="365">
        <v>1541</v>
      </c>
      <c r="J60" s="365">
        <v>610</v>
      </c>
      <c r="K60" s="365">
        <v>2151</v>
      </c>
      <c r="L60" s="365">
        <v>522</v>
      </c>
      <c r="M60" s="365">
        <v>288</v>
      </c>
      <c r="N60" s="365">
        <v>810</v>
      </c>
      <c r="O60" s="365">
        <v>3223</v>
      </c>
      <c r="P60" s="365">
        <v>2318</v>
      </c>
      <c r="Q60" s="365">
        <v>5541</v>
      </c>
      <c r="R60" s="365">
        <v>328</v>
      </c>
      <c r="S60" s="365">
        <v>270</v>
      </c>
      <c r="T60" s="365">
        <v>598</v>
      </c>
      <c r="U60" s="363">
        <v>5614</v>
      </c>
      <c r="V60" s="363">
        <v>3486</v>
      </c>
      <c r="W60" s="363">
        <v>9100</v>
      </c>
    </row>
    <row r="61" spans="2:23" hidden="1" outlineLevel="1" x14ac:dyDescent="0.25">
      <c r="B61" s="362">
        <v>40725</v>
      </c>
      <c r="C61" s="365"/>
      <c r="D61" s="365"/>
      <c r="E61" s="365"/>
      <c r="F61" s="365"/>
      <c r="G61" s="365"/>
      <c r="H61" s="365"/>
      <c r="I61" s="365">
        <v>1883</v>
      </c>
      <c r="J61" s="365">
        <v>670</v>
      </c>
      <c r="K61" s="365">
        <v>2553</v>
      </c>
      <c r="L61" s="365">
        <v>539</v>
      </c>
      <c r="M61" s="365">
        <v>327</v>
      </c>
      <c r="N61" s="365">
        <v>866</v>
      </c>
      <c r="O61" s="365">
        <v>5198</v>
      </c>
      <c r="P61" s="365">
        <v>4905</v>
      </c>
      <c r="Q61" s="365">
        <v>10103</v>
      </c>
      <c r="R61" s="365">
        <v>420</v>
      </c>
      <c r="S61" s="365">
        <v>336</v>
      </c>
      <c r="T61" s="365">
        <v>756</v>
      </c>
      <c r="U61" s="363">
        <v>8040</v>
      </c>
      <c r="V61" s="363">
        <v>6238</v>
      </c>
      <c r="W61" s="363">
        <v>14278</v>
      </c>
    </row>
    <row r="62" spans="2:23" hidden="1" outlineLevel="1" x14ac:dyDescent="0.25">
      <c r="B62" s="362">
        <v>40756</v>
      </c>
      <c r="C62" s="365"/>
      <c r="D62" s="365"/>
      <c r="E62" s="365"/>
      <c r="F62" s="365"/>
      <c r="G62" s="365"/>
      <c r="H62" s="365"/>
      <c r="I62" s="365">
        <v>2034</v>
      </c>
      <c r="J62" s="365">
        <v>691</v>
      </c>
      <c r="K62" s="365">
        <v>2725</v>
      </c>
      <c r="L62" s="365">
        <v>573</v>
      </c>
      <c r="M62" s="365">
        <v>318</v>
      </c>
      <c r="N62" s="365">
        <v>891</v>
      </c>
      <c r="O62" s="365">
        <v>5030</v>
      </c>
      <c r="P62" s="365">
        <v>4099</v>
      </c>
      <c r="Q62" s="365">
        <v>9129</v>
      </c>
      <c r="R62" s="365">
        <v>421</v>
      </c>
      <c r="S62" s="365">
        <v>295</v>
      </c>
      <c r="T62" s="365">
        <v>716</v>
      </c>
      <c r="U62" s="363">
        <v>8058</v>
      </c>
      <c r="V62" s="363">
        <v>5403</v>
      </c>
      <c r="W62" s="363">
        <v>13461</v>
      </c>
    </row>
    <row r="63" spans="2:23" hidden="1" outlineLevel="1" x14ac:dyDescent="0.25">
      <c r="B63" s="362">
        <v>40787</v>
      </c>
      <c r="C63" s="365"/>
      <c r="D63" s="365"/>
      <c r="E63" s="365"/>
      <c r="F63" s="365"/>
      <c r="G63" s="365"/>
      <c r="H63" s="365"/>
      <c r="I63" s="365">
        <v>2199</v>
      </c>
      <c r="J63" s="365">
        <v>779</v>
      </c>
      <c r="K63" s="365">
        <v>2978</v>
      </c>
      <c r="L63" s="365">
        <v>494</v>
      </c>
      <c r="M63" s="365">
        <v>294</v>
      </c>
      <c r="N63" s="365">
        <v>788</v>
      </c>
      <c r="O63" s="365">
        <v>4057</v>
      </c>
      <c r="P63" s="365">
        <v>2913</v>
      </c>
      <c r="Q63" s="365">
        <v>6970</v>
      </c>
      <c r="R63" s="365">
        <v>329</v>
      </c>
      <c r="S63" s="365">
        <v>249</v>
      </c>
      <c r="T63" s="365">
        <v>578</v>
      </c>
      <c r="U63" s="363">
        <v>7079</v>
      </c>
      <c r="V63" s="363">
        <v>4235</v>
      </c>
      <c r="W63" s="363">
        <v>11314</v>
      </c>
    </row>
    <row r="64" spans="2:23" hidden="1" outlineLevel="1" x14ac:dyDescent="0.25">
      <c r="B64" s="362">
        <v>40817</v>
      </c>
      <c r="C64" s="365"/>
      <c r="D64" s="365"/>
      <c r="E64" s="365"/>
      <c r="F64" s="365"/>
      <c r="G64" s="365"/>
      <c r="H64" s="365"/>
      <c r="I64" s="365">
        <v>1749</v>
      </c>
      <c r="J64" s="365">
        <v>631</v>
      </c>
      <c r="K64" s="365">
        <v>2380</v>
      </c>
      <c r="L64" s="365">
        <v>544</v>
      </c>
      <c r="M64" s="365">
        <v>293</v>
      </c>
      <c r="N64" s="365">
        <v>837</v>
      </c>
      <c r="O64" s="365">
        <v>4305</v>
      </c>
      <c r="P64" s="365">
        <v>2830</v>
      </c>
      <c r="Q64" s="365">
        <v>7135</v>
      </c>
      <c r="R64" s="365">
        <v>416</v>
      </c>
      <c r="S64" s="365">
        <v>296</v>
      </c>
      <c r="T64" s="365">
        <v>712</v>
      </c>
      <c r="U64" s="363">
        <v>7014</v>
      </c>
      <c r="V64" s="363">
        <v>4050</v>
      </c>
      <c r="W64" s="363">
        <v>11064</v>
      </c>
    </row>
    <row r="65" spans="2:23" hidden="1" outlineLevel="1" x14ac:dyDescent="0.25">
      <c r="B65" s="362">
        <v>40848</v>
      </c>
      <c r="C65" s="365"/>
      <c r="D65" s="365"/>
      <c r="E65" s="365"/>
      <c r="F65" s="365"/>
      <c r="G65" s="365"/>
      <c r="H65" s="365"/>
      <c r="I65" s="365">
        <v>2318</v>
      </c>
      <c r="J65" s="365">
        <v>824</v>
      </c>
      <c r="K65" s="365">
        <v>3142</v>
      </c>
      <c r="L65" s="365">
        <v>633</v>
      </c>
      <c r="M65" s="365">
        <v>289</v>
      </c>
      <c r="N65" s="365">
        <v>922</v>
      </c>
      <c r="O65" s="365">
        <v>5748</v>
      </c>
      <c r="P65" s="365">
        <v>4581</v>
      </c>
      <c r="Q65" s="365">
        <v>10329</v>
      </c>
      <c r="R65" s="365">
        <v>483</v>
      </c>
      <c r="S65" s="365">
        <v>410</v>
      </c>
      <c r="T65" s="365">
        <v>893</v>
      </c>
      <c r="U65" s="363">
        <v>9182</v>
      </c>
      <c r="V65" s="363">
        <v>6104</v>
      </c>
      <c r="W65" s="363">
        <v>15286</v>
      </c>
    </row>
    <row r="66" spans="2:23" hidden="1" outlineLevel="1" x14ac:dyDescent="0.25">
      <c r="B66" s="362">
        <v>40878</v>
      </c>
      <c r="C66" s="365"/>
      <c r="D66" s="365"/>
      <c r="E66" s="365"/>
      <c r="F66" s="365"/>
      <c r="G66" s="365"/>
      <c r="H66" s="365"/>
      <c r="I66" s="365">
        <v>1756</v>
      </c>
      <c r="J66" s="365">
        <v>635</v>
      </c>
      <c r="K66" s="365">
        <v>2391</v>
      </c>
      <c r="L66" s="365">
        <v>452</v>
      </c>
      <c r="M66" s="365">
        <v>274</v>
      </c>
      <c r="N66" s="365">
        <v>726</v>
      </c>
      <c r="O66" s="365">
        <v>4752</v>
      </c>
      <c r="P66" s="365">
        <v>3756</v>
      </c>
      <c r="Q66" s="365">
        <v>8508</v>
      </c>
      <c r="R66" s="365">
        <v>369</v>
      </c>
      <c r="S66" s="365">
        <v>302</v>
      </c>
      <c r="T66" s="365">
        <v>671</v>
      </c>
      <c r="U66" s="363">
        <v>7329</v>
      </c>
      <c r="V66" s="363">
        <v>4967</v>
      </c>
      <c r="W66" s="363">
        <v>12296</v>
      </c>
    </row>
    <row r="67" spans="2:23" collapsed="1" x14ac:dyDescent="0.25">
      <c r="B67" s="364" t="s">
        <v>702</v>
      </c>
      <c r="C67" s="363" t="s">
        <v>804</v>
      </c>
      <c r="D67" s="363" t="s">
        <v>804</v>
      </c>
      <c r="E67" s="363" t="s">
        <v>804</v>
      </c>
      <c r="F67" s="363" t="s">
        <v>804</v>
      </c>
      <c r="G67" s="363" t="s">
        <v>804</v>
      </c>
      <c r="H67" s="363" t="s">
        <v>804</v>
      </c>
      <c r="I67" s="363">
        <v>1816</v>
      </c>
      <c r="J67" s="363">
        <v>682</v>
      </c>
      <c r="K67" s="363">
        <v>2498</v>
      </c>
      <c r="L67" s="363">
        <v>555</v>
      </c>
      <c r="M67" s="363">
        <v>309</v>
      </c>
      <c r="N67" s="363">
        <v>864</v>
      </c>
      <c r="O67" s="363">
        <v>4295</v>
      </c>
      <c r="P67" s="363">
        <v>3228</v>
      </c>
      <c r="Q67" s="363">
        <v>7523</v>
      </c>
      <c r="R67" s="363">
        <v>404</v>
      </c>
      <c r="S67" s="363">
        <v>321</v>
      </c>
      <c r="T67" s="363">
        <v>725</v>
      </c>
      <c r="U67" s="363">
        <v>7070</v>
      </c>
      <c r="V67" s="363">
        <v>4539</v>
      </c>
      <c r="W67" s="363">
        <v>11609</v>
      </c>
    </row>
    <row r="68" spans="2:23" hidden="1" outlineLevel="1" x14ac:dyDescent="0.25">
      <c r="B68" s="362">
        <v>40909</v>
      </c>
      <c r="C68" s="365"/>
      <c r="D68" s="365"/>
      <c r="E68" s="365"/>
      <c r="F68" s="365"/>
      <c r="G68" s="365"/>
      <c r="H68" s="365"/>
      <c r="I68" s="365">
        <v>1922</v>
      </c>
      <c r="J68" s="365">
        <v>715</v>
      </c>
      <c r="K68" s="365">
        <v>2637</v>
      </c>
      <c r="L68" s="365">
        <v>532</v>
      </c>
      <c r="M68" s="365">
        <v>285</v>
      </c>
      <c r="N68" s="365">
        <v>817</v>
      </c>
      <c r="O68" s="365">
        <v>5060</v>
      </c>
      <c r="P68" s="365">
        <v>3875</v>
      </c>
      <c r="Q68" s="365">
        <v>8935</v>
      </c>
      <c r="R68" s="365">
        <v>394</v>
      </c>
      <c r="S68" s="365">
        <v>294</v>
      </c>
      <c r="T68" s="365">
        <v>688</v>
      </c>
      <c r="U68" s="363">
        <v>7908</v>
      </c>
      <c r="V68" s="363">
        <v>5169</v>
      </c>
      <c r="W68" s="363">
        <v>13077</v>
      </c>
    </row>
    <row r="69" spans="2:23" hidden="1" outlineLevel="1" x14ac:dyDescent="0.25">
      <c r="B69" s="362">
        <v>40940</v>
      </c>
      <c r="C69" s="365"/>
      <c r="D69" s="365"/>
      <c r="E69" s="365"/>
      <c r="F69" s="365"/>
      <c r="G69" s="365"/>
      <c r="H69" s="365"/>
      <c r="I69" s="365">
        <v>1555</v>
      </c>
      <c r="J69" s="365">
        <v>583</v>
      </c>
      <c r="K69" s="365">
        <v>2138</v>
      </c>
      <c r="L69" s="365">
        <v>427</v>
      </c>
      <c r="M69" s="365">
        <v>251</v>
      </c>
      <c r="N69" s="365">
        <v>678</v>
      </c>
      <c r="O69" s="365">
        <v>4530</v>
      </c>
      <c r="P69" s="365">
        <v>2984</v>
      </c>
      <c r="Q69" s="365">
        <v>7514</v>
      </c>
      <c r="R69" s="365">
        <v>381</v>
      </c>
      <c r="S69" s="365">
        <v>310</v>
      </c>
      <c r="T69" s="365">
        <v>691</v>
      </c>
      <c r="U69" s="363">
        <v>6893</v>
      </c>
      <c r="V69" s="363">
        <v>4128</v>
      </c>
      <c r="W69" s="363">
        <v>11021</v>
      </c>
    </row>
    <row r="70" spans="2:23" hidden="1" outlineLevel="1" x14ac:dyDescent="0.25">
      <c r="B70" s="362">
        <v>40969</v>
      </c>
      <c r="C70" s="365"/>
      <c r="D70" s="365"/>
      <c r="E70" s="365"/>
      <c r="F70" s="365"/>
      <c r="G70" s="365"/>
      <c r="H70" s="365"/>
      <c r="I70" s="365">
        <v>1779</v>
      </c>
      <c r="J70" s="365">
        <v>635</v>
      </c>
      <c r="K70" s="365">
        <v>2414</v>
      </c>
      <c r="L70" s="365">
        <v>535</v>
      </c>
      <c r="M70" s="365">
        <v>279</v>
      </c>
      <c r="N70" s="365">
        <v>814</v>
      </c>
      <c r="O70" s="365">
        <v>4788</v>
      </c>
      <c r="P70" s="365">
        <v>3353</v>
      </c>
      <c r="Q70" s="365">
        <v>8141</v>
      </c>
      <c r="R70" s="365">
        <v>373</v>
      </c>
      <c r="S70" s="365">
        <v>316</v>
      </c>
      <c r="T70" s="365">
        <v>689</v>
      </c>
      <c r="U70" s="363">
        <v>7475</v>
      </c>
      <c r="V70" s="363">
        <v>4583</v>
      </c>
      <c r="W70" s="363">
        <v>12058</v>
      </c>
    </row>
    <row r="71" spans="2:23" hidden="1" outlineLevel="1" x14ac:dyDescent="0.25">
      <c r="B71" s="362">
        <v>41000</v>
      </c>
      <c r="C71" s="365"/>
      <c r="D71" s="365"/>
      <c r="E71" s="365"/>
      <c r="F71" s="365"/>
      <c r="G71" s="365"/>
      <c r="H71" s="365"/>
      <c r="I71" s="365">
        <v>1468</v>
      </c>
      <c r="J71" s="365">
        <v>586</v>
      </c>
      <c r="K71" s="365">
        <v>2054</v>
      </c>
      <c r="L71" s="365">
        <v>554</v>
      </c>
      <c r="M71" s="365">
        <v>275</v>
      </c>
      <c r="N71" s="365">
        <v>829</v>
      </c>
      <c r="O71" s="365">
        <v>3891</v>
      </c>
      <c r="P71" s="365">
        <v>2702</v>
      </c>
      <c r="Q71" s="365">
        <v>6593</v>
      </c>
      <c r="R71" s="365">
        <v>314</v>
      </c>
      <c r="S71" s="365">
        <v>259</v>
      </c>
      <c r="T71" s="365">
        <v>573</v>
      </c>
      <c r="U71" s="363">
        <v>6227</v>
      </c>
      <c r="V71" s="363">
        <v>3822</v>
      </c>
      <c r="W71" s="363">
        <v>10049</v>
      </c>
    </row>
    <row r="72" spans="2:23" hidden="1" outlineLevel="1" x14ac:dyDescent="0.25">
      <c r="B72" s="362">
        <v>41030</v>
      </c>
      <c r="C72" s="365"/>
      <c r="D72" s="365"/>
      <c r="E72" s="365"/>
      <c r="F72" s="365"/>
      <c r="G72" s="365"/>
      <c r="H72" s="365"/>
      <c r="I72" s="365">
        <v>1806</v>
      </c>
      <c r="J72" s="365">
        <v>642</v>
      </c>
      <c r="K72" s="365">
        <v>2448</v>
      </c>
      <c r="L72" s="365">
        <v>664</v>
      </c>
      <c r="M72" s="365">
        <v>381</v>
      </c>
      <c r="N72" s="365">
        <v>1045</v>
      </c>
      <c r="O72" s="365">
        <v>4149</v>
      </c>
      <c r="P72" s="365">
        <v>3154</v>
      </c>
      <c r="Q72" s="365">
        <v>7303</v>
      </c>
      <c r="R72" s="365">
        <v>316</v>
      </c>
      <c r="S72" s="365">
        <v>258</v>
      </c>
      <c r="T72" s="365">
        <v>574</v>
      </c>
      <c r="U72" s="363">
        <v>6935</v>
      </c>
      <c r="V72" s="363">
        <v>4435</v>
      </c>
      <c r="W72" s="363">
        <v>11370</v>
      </c>
    </row>
    <row r="73" spans="2:23" hidden="1" outlineLevel="1" x14ac:dyDescent="0.25">
      <c r="B73" s="362">
        <v>41061</v>
      </c>
      <c r="C73" s="365"/>
      <c r="D73" s="365"/>
      <c r="E73" s="365"/>
      <c r="F73" s="365"/>
      <c r="G73" s="365"/>
      <c r="H73" s="365"/>
      <c r="I73" s="365">
        <v>1631</v>
      </c>
      <c r="J73" s="365">
        <v>608</v>
      </c>
      <c r="K73" s="365">
        <v>2239</v>
      </c>
      <c r="L73" s="365">
        <v>624</v>
      </c>
      <c r="M73" s="365">
        <v>380</v>
      </c>
      <c r="N73" s="365">
        <v>1004</v>
      </c>
      <c r="O73" s="365">
        <v>3789</v>
      </c>
      <c r="P73" s="365">
        <v>3089</v>
      </c>
      <c r="Q73" s="365">
        <v>6878</v>
      </c>
      <c r="R73" s="365">
        <v>246</v>
      </c>
      <c r="S73" s="365">
        <v>228</v>
      </c>
      <c r="T73" s="365">
        <v>474</v>
      </c>
      <c r="U73" s="363">
        <v>6290</v>
      </c>
      <c r="V73" s="363">
        <v>4305</v>
      </c>
      <c r="W73" s="363">
        <v>10595</v>
      </c>
    </row>
    <row r="74" spans="2:23" hidden="1" outlineLevel="1" x14ac:dyDescent="0.25">
      <c r="B74" s="362">
        <v>41091</v>
      </c>
      <c r="C74" s="365"/>
      <c r="D74" s="365"/>
      <c r="E74" s="365"/>
      <c r="F74" s="365"/>
      <c r="G74" s="365"/>
      <c r="H74" s="365"/>
      <c r="I74" s="365">
        <v>1930</v>
      </c>
      <c r="J74" s="365">
        <v>640</v>
      </c>
      <c r="K74" s="365">
        <v>2570</v>
      </c>
      <c r="L74" s="365">
        <v>589</v>
      </c>
      <c r="M74" s="365">
        <v>360</v>
      </c>
      <c r="N74" s="365">
        <v>949</v>
      </c>
      <c r="O74" s="365">
        <v>4865</v>
      </c>
      <c r="P74" s="365">
        <v>3765</v>
      </c>
      <c r="Q74" s="365">
        <v>8630</v>
      </c>
      <c r="R74" s="365">
        <v>353</v>
      </c>
      <c r="S74" s="365">
        <v>257</v>
      </c>
      <c r="T74" s="365">
        <v>610</v>
      </c>
      <c r="U74" s="363">
        <v>7737</v>
      </c>
      <c r="V74" s="363">
        <v>5022</v>
      </c>
      <c r="W74" s="363">
        <v>12759</v>
      </c>
    </row>
    <row r="75" spans="2:23" hidden="1" outlineLevel="1" x14ac:dyDescent="0.25">
      <c r="B75" s="362">
        <v>41122</v>
      </c>
      <c r="C75" s="365"/>
      <c r="D75" s="365"/>
      <c r="E75" s="365"/>
      <c r="F75" s="365"/>
      <c r="G75" s="365"/>
      <c r="H75" s="365"/>
      <c r="I75" s="365">
        <v>1948</v>
      </c>
      <c r="J75" s="365">
        <v>700</v>
      </c>
      <c r="K75" s="365">
        <v>2648</v>
      </c>
      <c r="L75" s="365">
        <v>677</v>
      </c>
      <c r="M75" s="365">
        <v>388</v>
      </c>
      <c r="N75" s="365">
        <v>1065</v>
      </c>
      <c r="O75" s="365">
        <v>8973</v>
      </c>
      <c r="P75" s="365">
        <v>7408</v>
      </c>
      <c r="Q75" s="365">
        <v>16381</v>
      </c>
      <c r="R75" s="365">
        <v>355</v>
      </c>
      <c r="S75" s="365">
        <v>270</v>
      </c>
      <c r="T75" s="365">
        <v>625</v>
      </c>
      <c r="U75" s="363">
        <v>11953</v>
      </c>
      <c r="V75" s="363">
        <v>8766</v>
      </c>
      <c r="W75" s="363">
        <v>20719</v>
      </c>
    </row>
    <row r="76" spans="2:23" hidden="1" outlineLevel="1" x14ac:dyDescent="0.25">
      <c r="B76" s="362">
        <v>41153</v>
      </c>
      <c r="C76" s="365"/>
      <c r="D76" s="365"/>
      <c r="E76" s="365"/>
      <c r="F76" s="365"/>
      <c r="G76" s="365"/>
      <c r="H76" s="365"/>
      <c r="I76" s="365">
        <v>1634</v>
      </c>
      <c r="J76" s="365">
        <v>597</v>
      </c>
      <c r="K76" s="365">
        <v>2231</v>
      </c>
      <c r="L76" s="365">
        <v>421</v>
      </c>
      <c r="M76" s="365">
        <v>264</v>
      </c>
      <c r="N76" s="365">
        <v>685</v>
      </c>
      <c r="O76" s="365">
        <v>10421</v>
      </c>
      <c r="P76" s="365">
        <v>7599</v>
      </c>
      <c r="Q76" s="365">
        <v>18020</v>
      </c>
      <c r="R76" s="365">
        <v>251</v>
      </c>
      <c r="S76" s="365">
        <v>203</v>
      </c>
      <c r="T76" s="365">
        <v>454</v>
      </c>
      <c r="U76" s="363">
        <v>12727</v>
      </c>
      <c r="V76" s="363">
        <v>8663</v>
      </c>
      <c r="W76" s="363">
        <v>21390</v>
      </c>
    </row>
    <row r="77" spans="2:23" hidden="1" outlineLevel="1" x14ac:dyDescent="0.25">
      <c r="B77" s="362">
        <v>41183</v>
      </c>
      <c r="C77" s="365"/>
      <c r="D77" s="365"/>
      <c r="E77" s="365"/>
      <c r="F77" s="365"/>
      <c r="G77" s="365"/>
      <c r="H77" s="365"/>
      <c r="I77" s="365">
        <v>2284</v>
      </c>
      <c r="J77" s="365">
        <v>745</v>
      </c>
      <c r="K77" s="365">
        <v>3029</v>
      </c>
      <c r="L77" s="365">
        <v>602</v>
      </c>
      <c r="M77" s="365">
        <v>364</v>
      </c>
      <c r="N77" s="365">
        <v>966</v>
      </c>
      <c r="O77" s="365">
        <v>6173</v>
      </c>
      <c r="P77" s="365">
        <v>4643</v>
      </c>
      <c r="Q77" s="365">
        <v>10816</v>
      </c>
      <c r="R77" s="365">
        <v>342</v>
      </c>
      <c r="S77" s="365">
        <v>282</v>
      </c>
      <c r="T77" s="365">
        <v>624</v>
      </c>
      <c r="U77" s="363">
        <v>9401</v>
      </c>
      <c r="V77" s="363">
        <v>6034</v>
      </c>
      <c r="W77" s="363">
        <v>15435</v>
      </c>
    </row>
    <row r="78" spans="2:23" hidden="1" outlineLevel="1" x14ac:dyDescent="0.25">
      <c r="B78" s="362">
        <v>41214</v>
      </c>
      <c r="C78" s="365"/>
      <c r="D78" s="365"/>
      <c r="E78" s="365"/>
      <c r="F78" s="365"/>
      <c r="G78" s="365"/>
      <c r="H78" s="365"/>
      <c r="I78" s="365">
        <v>2021</v>
      </c>
      <c r="J78" s="365">
        <v>667</v>
      </c>
      <c r="K78" s="365">
        <v>2688</v>
      </c>
      <c r="L78" s="365">
        <v>514</v>
      </c>
      <c r="M78" s="365">
        <v>273</v>
      </c>
      <c r="N78" s="365">
        <v>787</v>
      </c>
      <c r="O78" s="365">
        <v>3890</v>
      </c>
      <c r="P78" s="365">
        <v>3976</v>
      </c>
      <c r="Q78" s="365">
        <v>7866</v>
      </c>
      <c r="R78" s="365">
        <v>287</v>
      </c>
      <c r="S78" s="365">
        <v>230</v>
      </c>
      <c r="T78" s="365">
        <v>517</v>
      </c>
      <c r="U78" s="363">
        <v>6712</v>
      </c>
      <c r="V78" s="363">
        <v>5146</v>
      </c>
      <c r="W78" s="363">
        <v>11858</v>
      </c>
    </row>
    <row r="79" spans="2:23" hidden="1" outlineLevel="1" x14ac:dyDescent="0.25">
      <c r="B79" s="362">
        <v>41244</v>
      </c>
      <c r="C79" s="365"/>
      <c r="D79" s="365"/>
      <c r="E79" s="365"/>
      <c r="F79" s="365"/>
      <c r="G79" s="365"/>
      <c r="H79" s="365"/>
      <c r="I79" s="365">
        <v>1730</v>
      </c>
      <c r="J79" s="365">
        <v>543</v>
      </c>
      <c r="K79" s="365">
        <v>2273</v>
      </c>
      <c r="L79" s="365">
        <v>452</v>
      </c>
      <c r="M79" s="365">
        <v>289</v>
      </c>
      <c r="N79" s="365">
        <v>741</v>
      </c>
      <c r="O79" s="365">
        <v>3040</v>
      </c>
      <c r="P79" s="365">
        <v>3252</v>
      </c>
      <c r="Q79" s="365">
        <v>6292</v>
      </c>
      <c r="R79" s="365">
        <v>274</v>
      </c>
      <c r="S79" s="365">
        <v>221</v>
      </c>
      <c r="T79" s="365">
        <v>495</v>
      </c>
      <c r="U79" s="363">
        <v>5496</v>
      </c>
      <c r="V79" s="363">
        <v>4305</v>
      </c>
      <c r="W79" s="363">
        <v>9801</v>
      </c>
    </row>
    <row r="80" spans="2:23" collapsed="1" x14ac:dyDescent="0.25">
      <c r="B80" s="364" t="s">
        <v>703</v>
      </c>
      <c r="C80" s="363" t="s">
        <v>804</v>
      </c>
      <c r="D80" s="363" t="s">
        <v>804</v>
      </c>
      <c r="E80" s="363" t="s">
        <v>804</v>
      </c>
      <c r="F80" s="363" t="s">
        <v>804</v>
      </c>
      <c r="G80" s="363" t="s">
        <v>804</v>
      </c>
      <c r="H80" s="363" t="s">
        <v>804</v>
      </c>
      <c r="I80" s="363">
        <v>1809</v>
      </c>
      <c r="J80" s="363">
        <v>638</v>
      </c>
      <c r="K80" s="363">
        <v>2447</v>
      </c>
      <c r="L80" s="363">
        <v>549</v>
      </c>
      <c r="M80" s="363">
        <v>316</v>
      </c>
      <c r="N80" s="363">
        <v>865</v>
      </c>
      <c r="O80" s="363">
        <v>5297</v>
      </c>
      <c r="P80" s="363">
        <v>4150</v>
      </c>
      <c r="Q80" s="363">
        <v>9447</v>
      </c>
      <c r="R80" s="363">
        <v>324</v>
      </c>
      <c r="S80" s="363">
        <v>261</v>
      </c>
      <c r="T80" s="363">
        <v>585</v>
      </c>
      <c r="U80" s="363">
        <v>7980</v>
      </c>
      <c r="V80" s="363">
        <v>5365</v>
      </c>
      <c r="W80" s="363">
        <v>13344</v>
      </c>
    </row>
    <row r="81" spans="2:23" hidden="1" outlineLevel="1" x14ac:dyDescent="0.25">
      <c r="B81" s="362">
        <v>41275</v>
      </c>
      <c r="C81" s="365"/>
      <c r="D81" s="365"/>
      <c r="E81" s="365"/>
      <c r="F81" s="365"/>
      <c r="G81" s="365"/>
      <c r="H81" s="365"/>
      <c r="I81" s="365">
        <v>2059</v>
      </c>
      <c r="J81" s="365">
        <v>694</v>
      </c>
      <c r="K81" s="365">
        <v>2753</v>
      </c>
      <c r="L81" s="365">
        <v>554</v>
      </c>
      <c r="M81" s="365">
        <v>313</v>
      </c>
      <c r="N81" s="365">
        <v>867</v>
      </c>
      <c r="O81" s="365">
        <v>3488</v>
      </c>
      <c r="P81" s="365">
        <v>2876</v>
      </c>
      <c r="Q81" s="365">
        <v>6364</v>
      </c>
      <c r="R81" s="365">
        <v>290</v>
      </c>
      <c r="S81" s="365">
        <v>232</v>
      </c>
      <c r="T81" s="365">
        <v>522</v>
      </c>
      <c r="U81" s="363">
        <v>6391</v>
      </c>
      <c r="V81" s="363">
        <v>4115</v>
      </c>
      <c r="W81" s="363">
        <v>10506</v>
      </c>
    </row>
    <row r="82" spans="2:23" hidden="1" outlineLevel="1" x14ac:dyDescent="0.25">
      <c r="B82" s="362">
        <v>41306</v>
      </c>
      <c r="C82" s="365"/>
      <c r="D82" s="365"/>
      <c r="E82" s="365"/>
      <c r="F82" s="365"/>
      <c r="G82" s="365"/>
      <c r="H82" s="365"/>
      <c r="I82" s="365">
        <v>1485</v>
      </c>
      <c r="J82" s="365">
        <v>535</v>
      </c>
      <c r="K82" s="365">
        <v>2020</v>
      </c>
      <c r="L82" s="365">
        <v>459</v>
      </c>
      <c r="M82" s="365">
        <v>245</v>
      </c>
      <c r="N82" s="365">
        <v>704</v>
      </c>
      <c r="O82" s="365">
        <v>2527</v>
      </c>
      <c r="P82" s="365">
        <v>2274</v>
      </c>
      <c r="Q82" s="365">
        <v>4801</v>
      </c>
      <c r="R82" s="365">
        <v>217</v>
      </c>
      <c r="S82" s="365">
        <v>209</v>
      </c>
      <c r="T82" s="365">
        <v>426</v>
      </c>
      <c r="U82" s="363">
        <v>4688</v>
      </c>
      <c r="V82" s="363">
        <v>3263</v>
      </c>
      <c r="W82" s="363">
        <v>7951</v>
      </c>
    </row>
    <row r="83" spans="2:23" hidden="1" outlineLevel="1" x14ac:dyDescent="0.25">
      <c r="B83" s="362">
        <v>41334</v>
      </c>
      <c r="C83" s="365"/>
      <c r="D83" s="365"/>
      <c r="E83" s="365"/>
      <c r="F83" s="365"/>
      <c r="G83" s="365"/>
      <c r="H83" s="365"/>
      <c r="I83" s="365">
        <v>1726</v>
      </c>
      <c r="J83" s="365">
        <v>522</v>
      </c>
      <c r="K83" s="365">
        <v>2248</v>
      </c>
      <c r="L83" s="365">
        <v>512</v>
      </c>
      <c r="M83" s="365">
        <v>297</v>
      </c>
      <c r="N83" s="365">
        <v>809</v>
      </c>
      <c r="O83" s="365">
        <v>2713</v>
      </c>
      <c r="P83" s="365">
        <v>2211</v>
      </c>
      <c r="Q83" s="365">
        <v>4924</v>
      </c>
      <c r="R83" s="365">
        <v>278</v>
      </c>
      <c r="S83" s="365">
        <v>228</v>
      </c>
      <c r="T83" s="365">
        <v>506</v>
      </c>
      <c r="U83" s="363">
        <v>5229</v>
      </c>
      <c r="V83" s="363">
        <v>3258</v>
      </c>
      <c r="W83" s="363">
        <v>8487</v>
      </c>
    </row>
    <row r="84" spans="2:23" hidden="1" outlineLevel="1" x14ac:dyDescent="0.25">
      <c r="B84" s="362">
        <v>41365</v>
      </c>
      <c r="C84" s="365"/>
      <c r="D84" s="365"/>
      <c r="E84" s="365"/>
      <c r="F84" s="365"/>
      <c r="G84" s="365"/>
      <c r="H84" s="365"/>
      <c r="I84" s="365">
        <v>1696</v>
      </c>
      <c r="J84" s="365">
        <v>572</v>
      </c>
      <c r="K84" s="365">
        <v>2268</v>
      </c>
      <c r="L84" s="365">
        <v>542</v>
      </c>
      <c r="M84" s="365">
        <v>269</v>
      </c>
      <c r="N84" s="365">
        <v>811</v>
      </c>
      <c r="O84" s="365">
        <v>2708</v>
      </c>
      <c r="P84" s="365">
        <v>2634</v>
      </c>
      <c r="Q84" s="365">
        <v>5342</v>
      </c>
      <c r="R84" s="365">
        <v>300</v>
      </c>
      <c r="S84" s="365">
        <v>214</v>
      </c>
      <c r="T84" s="365">
        <v>514</v>
      </c>
      <c r="U84" s="363">
        <v>5246</v>
      </c>
      <c r="V84" s="363">
        <v>3689</v>
      </c>
      <c r="W84" s="363">
        <v>8935</v>
      </c>
    </row>
    <row r="85" spans="2:23" hidden="1" outlineLevel="1" x14ac:dyDescent="0.25">
      <c r="B85" s="362">
        <v>41395</v>
      </c>
      <c r="C85" s="365"/>
      <c r="D85" s="365"/>
      <c r="E85" s="365"/>
      <c r="F85" s="365"/>
      <c r="G85" s="365"/>
      <c r="H85" s="365"/>
      <c r="I85" s="365">
        <v>1595</v>
      </c>
      <c r="J85" s="365">
        <v>550</v>
      </c>
      <c r="K85" s="365">
        <v>2145</v>
      </c>
      <c r="L85" s="365">
        <v>471</v>
      </c>
      <c r="M85" s="365">
        <v>277</v>
      </c>
      <c r="N85" s="365">
        <v>748</v>
      </c>
      <c r="O85" s="365">
        <v>2545</v>
      </c>
      <c r="P85" s="365">
        <v>2948</v>
      </c>
      <c r="Q85" s="365">
        <v>5493</v>
      </c>
      <c r="R85" s="365">
        <v>268</v>
      </c>
      <c r="S85" s="365">
        <v>227</v>
      </c>
      <c r="T85" s="365">
        <v>495</v>
      </c>
      <c r="U85" s="363">
        <v>4879</v>
      </c>
      <c r="V85" s="363">
        <v>4002</v>
      </c>
      <c r="W85" s="363">
        <v>8881</v>
      </c>
    </row>
    <row r="86" spans="2:23" hidden="1" outlineLevel="1" x14ac:dyDescent="0.25">
      <c r="B86" s="362">
        <v>41426</v>
      </c>
      <c r="C86" s="365"/>
      <c r="D86" s="365"/>
      <c r="E86" s="365"/>
      <c r="F86" s="365"/>
      <c r="G86" s="365"/>
      <c r="H86" s="365"/>
      <c r="I86" s="365">
        <v>1552</v>
      </c>
      <c r="J86" s="365">
        <v>503</v>
      </c>
      <c r="K86" s="365">
        <v>2055</v>
      </c>
      <c r="L86" s="365">
        <v>488</v>
      </c>
      <c r="M86" s="365">
        <v>261</v>
      </c>
      <c r="N86" s="365">
        <v>749</v>
      </c>
      <c r="O86" s="365">
        <v>2446</v>
      </c>
      <c r="P86" s="365">
        <v>2553</v>
      </c>
      <c r="Q86" s="365">
        <v>4999</v>
      </c>
      <c r="R86" s="365">
        <v>266</v>
      </c>
      <c r="S86" s="365">
        <v>221</v>
      </c>
      <c r="T86" s="365">
        <v>487</v>
      </c>
      <c r="U86" s="363">
        <v>4752</v>
      </c>
      <c r="V86" s="363">
        <v>3538</v>
      </c>
      <c r="W86" s="363">
        <v>8290</v>
      </c>
    </row>
    <row r="87" spans="2:23" hidden="1" outlineLevel="1" x14ac:dyDescent="0.25">
      <c r="B87" s="362">
        <v>41456</v>
      </c>
      <c r="C87" s="365"/>
      <c r="D87" s="365"/>
      <c r="E87" s="365"/>
      <c r="F87" s="365"/>
      <c r="G87" s="365"/>
      <c r="H87" s="365"/>
      <c r="I87" s="365">
        <v>1978</v>
      </c>
      <c r="J87" s="365">
        <v>592</v>
      </c>
      <c r="K87" s="365">
        <v>2570</v>
      </c>
      <c r="L87" s="365">
        <v>484</v>
      </c>
      <c r="M87" s="365">
        <v>273</v>
      </c>
      <c r="N87" s="365">
        <v>757</v>
      </c>
      <c r="O87" s="365">
        <v>2734</v>
      </c>
      <c r="P87" s="365">
        <v>2580</v>
      </c>
      <c r="Q87" s="365">
        <v>5314</v>
      </c>
      <c r="R87" s="365">
        <v>288</v>
      </c>
      <c r="S87" s="365">
        <v>228</v>
      </c>
      <c r="T87" s="365">
        <v>516</v>
      </c>
      <c r="U87" s="363">
        <v>5484</v>
      </c>
      <c r="V87" s="363">
        <v>3673</v>
      </c>
      <c r="W87" s="363">
        <v>9157</v>
      </c>
    </row>
    <row r="88" spans="2:23" hidden="1" outlineLevel="1" x14ac:dyDescent="0.25">
      <c r="B88" s="362">
        <v>41487</v>
      </c>
      <c r="C88" s="365"/>
      <c r="D88" s="365"/>
      <c r="E88" s="365"/>
      <c r="F88" s="365"/>
      <c r="G88" s="365"/>
      <c r="H88" s="365"/>
      <c r="I88" s="365">
        <v>2083</v>
      </c>
      <c r="J88" s="365">
        <v>695</v>
      </c>
      <c r="K88" s="365">
        <v>2778</v>
      </c>
      <c r="L88" s="365">
        <v>508</v>
      </c>
      <c r="M88" s="365">
        <v>246</v>
      </c>
      <c r="N88" s="365">
        <v>754</v>
      </c>
      <c r="O88" s="365">
        <v>3057</v>
      </c>
      <c r="P88" s="365">
        <v>2657</v>
      </c>
      <c r="Q88" s="365">
        <v>5714</v>
      </c>
      <c r="R88" s="365">
        <v>329</v>
      </c>
      <c r="S88" s="365">
        <v>273</v>
      </c>
      <c r="T88" s="365">
        <v>602</v>
      </c>
      <c r="U88" s="363">
        <v>5977</v>
      </c>
      <c r="V88" s="363">
        <v>3871</v>
      </c>
      <c r="W88" s="363">
        <v>9848</v>
      </c>
    </row>
    <row r="89" spans="2:23" hidden="1" outlineLevel="1" x14ac:dyDescent="0.25">
      <c r="B89" s="362">
        <v>41518</v>
      </c>
      <c r="C89" s="365"/>
      <c r="D89" s="365"/>
      <c r="E89" s="365"/>
      <c r="F89" s="365"/>
      <c r="G89" s="365"/>
      <c r="H89" s="365"/>
      <c r="I89" s="365">
        <v>1961</v>
      </c>
      <c r="J89" s="365">
        <v>604</v>
      </c>
      <c r="K89" s="365">
        <v>2565</v>
      </c>
      <c r="L89" s="365">
        <v>436</v>
      </c>
      <c r="M89" s="365">
        <v>217</v>
      </c>
      <c r="N89" s="365">
        <v>653</v>
      </c>
      <c r="O89" s="365">
        <v>2703</v>
      </c>
      <c r="P89" s="365">
        <v>2501</v>
      </c>
      <c r="Q89" s="365">
        <v>5204</v>
      </c>
      <c r="R89" s="365">
        <v>214</v>
      </c>
      <c r="S89" s="365">
        <v>224</v>
      </c>
      <c r="T89" s="365">
        <v>438</v>
      </c>
      <c r="U89" s="363">
        <v>5314</v>
      </c>
      <c r="V89" s="363">
        <v>3546</v>
      </c>
      <c r="W89" s="363">
        <v>8860</v>
      </c>
    </row>
    <row r="90" spans="2:23" hidden="1" outlineLevel="1" x14ac:dyDescent="0.25">
      <c r="B90" s="362">
        <v>41548</v>
      </c>
      <c r="C90" s="365"/>
      <c r="D90" s="365"/>
      <c r="E90" s="365"/>
      <c r="F90" s="365"/>
      <c r="G90" s="365"/>
      <c r="H90" s="365"/>
      <c r="I90" s="365">
        <v>2200</v>
      </c>
      <c r="J90" s="365">
        <v>630</v>
      </c>
      <c r="K90" s="365">
        <v>2830</v>
      </c>
      <c r="L90" s="365">
        <v>476</v>
      </c>
      <c r="M90" s="365">
        <v>290</v>
      </c>
      <c r="N90" s="365">
        <v>766</v>
      </c>
      <c r="O90" s="365">
        <v>3609</v>
      </c>
      <c r="P90" s="365">
        <v>3178</v>
      </c>
      <c r="Q90" s="365">
        <v>6787</v>
      </c>
      <c r="R90" s="365">
        <v>305</v>
      </c>
      <c r="S90" s="365">
        <v>252</v>
      </c>
      <c r="T90" s="365">
        <v>557</v>
      </c>
      <c r="U90" s="363">
        <v>6590</v>
      </c>
      <c r="V90" s="363">
        <v>4350</v>
      </c>
      <c r="W90" s="363">
        <v>10940</v>
      </c>
    </row>
    <row r="91" spans="2:23" hidden="1" outlineLevel="1" x14ac:dyDescent="0.25">
      <c r="B91" s="362">
        <v>41579</v>
      </c>
      <c r="C91" s="365"/>
      <c r="D91" s="365"/>
      <c r="E91" s="365"/>
      <c r="F91" s="365"/>
      <c r="G91" s="365"/>
      <c r="H91" s="365"/>
      <c r="I91" s="365">
        <v>1534</v>
      </c>
      <c r="J91" s="365">
        <v>407</v>
      </c>
      <c r="K91" s="365">
        <v>1941</v>
      </c>
      <c r="L91" s="365">
        <v>318</v>
      </c>
      <c r="M91" s="365">
        <v>183</v>
      </c>
      <c r="N91" s="365">
        <v>501</v>
      </c>
      <c r="O91" s="365">
        <v>2269</v>
      </c>
      <c r="P91" s="365">
        <v>1993</v>
      </c>
      <c r="Q91" s="365">
        <v>4262</v>
      </c>
      <c r="R91" s="365">
        <v>237</v>
      </c>
      <c r="S91" s="365">
        <v>194</v>
      </c>
      <c r="T91" s="365">
        <v>431</v>
      </c>
      <c r="U91" s="363">
        <v>4358</v>
      </c>
      <c r="V91" s="363">
        <v>2777</v>
      </c>
      <c r="W91" s="363">
        <v>7135</v>
      </c>
    </row>
    <row r="92" spans="2:23" hidden="1" outlineLevel="1" x14ac:dyDescent="0.25">
      <c r="B92" s="362">
        <v>41609</v>
      </c>
      <c r="C92" s="365"/>
      <c r="D92" s="365"/>
      <c r="E92" s="365"/>
      <c r="F92" s="365"/>
      <c r="G92" s="365"/>
      <c r="H92" s="365"/>
      <c r="I92" s="365">
        <v>2568</v>
      </c>
      <c r="J92" s="365">
        <v>738</v>
      </c>
      <c r="K92" s="365">
        <v>3306</v>
      </c>
      <c r="L92" s="365">
        <v>552</v>
      </c>
      <c r="M92" s="365">
        <v>343</v>
      </c>
      <c r="N92" s="365">
        <v>895</v>
      </c>
      <c r="O92" s="365">
        <v>3426</v>
      </c>
      <c r="P92" s="365">
        <v>2937</v>
      </c>
      <c r="Q92" s="365">
        <v>6363</v>
      </c>
      <c r="R92" s="365">
        <v>294</v>
      </c>
      <c r="S92" s="365">
        <v>260</v>
      </c>
      <c r="T92" s="365">
        <v>554</v>
      </c>
      <c r="U92" s="363">
        <v>6840</v>
      </c>
      <c r="V92" s="363">
        <v>4278</v>
      </c>
      <c r="W92" s="363">
        <v>11118</v>
      </c>
    </row>
    <row r="93" spans="2:23" collapsed="1" x14ac:dyDescent="0.25">
      <c r="B93" s="364" t="s">
        <v>704</v>
      </c>
      <c r="C93" s="363" t="s">
        <v>804</v>
      </c>
      <c r="D93" s="363" t="s">
        <v>804</v>
      </c>
      <c r="E93" s="363" t="s">
        <v>804</v>
      </c>
      <c r="F93" s="363" t="s">
        <v>804</v>
      </c>
      <c r="G93" s="363" t="s">
        <v>804</v>
      </c>
      <c r="H93" s="363" t="s">
        <v>804</v>
      </c>
      <c r="I93" s="363">
        <v>1870</v>
      </c>
      <c r="J93" s="363">
        <v>587</v>
      </c>
      <c r="K93" s="363">
        <v>2457</v>
      </c>
      <c r="L93" s="363">
        <v>483</v>
      </c>
      <c r="M93" s="363">
        <v>268</v>
      </c>
      <c r="N93" s="363">
        <v>751</v>
      </c>
      <c r="O93" s="363">
        <v>2852</v>
      </c>
      <c r="P93" s="363">
        <v>2612</v>
      </c>
      <c r="Q93" s="363">
        <v>5464</v>
      </c>
      <c r="R93" s="363">
        <v>274</v>
      </c>
      <c r="S93" s="363">
        <v>230</v>
      </c>
      <c r="T93" s="363">
        <v>504</v>
      </c>
      <c r="U93" s="363">
        <v>5479</v>
      </c>
      <c r="V93" s="363">
        <v>3697</v>
      </c>
      <c r="W93" s="363">
        <v>9176</v>
      </c>
    </row>
    <row r="94" spans="2:23" hidden="1" outlineLevel="1" x14ac:dyDescent="0.25">
      <c r="B94" s="362">
        <v>41640</v>
      </c>
      <c r="C94" s="365"/>
      <c r="D94" s="365"/>
      <c r="E94" s="365"/>
      <c r="F94" s="365"/>
      <c r="G94" s="365"/>
      <c r="H94" s="365"/>
      <c r="I94" s="365">
        <v>2156</v>
      </c>
      <c r="J94" s="365">
        <v>697</v>
      </c>
      <c r="K94" s="365">
        <v>2853</v>
      </c>
      <c r="L94" s="365">
        <v>499</v>
      </c>
      <c r="M94" s="365">
        <v>271</v>
      </c>
      <c r="N94" s="365">
        <v>770</v>
      </c>
      <c r="O94" s="365">
        <v>3023</v>
      </c>
      <c r="P94" s="365">
        <v>2752</v>
      </c>
      <c r="Q94" s="365">
        <v>5775</v>
      </c>
      <c r="R94" s="365">
        <v>326</v>
      </c>
      <c r="S94" s="365">
        <v>256</v>
      </c>
      <c r="T94" s="365">
        <v>582</v>
      </c>
      <c r="U94" s="363">
        <v>6004</v>
      </c>
      <c r="V94" s="363">
        <v>3976</v>
      </c>
      <c r="W94" s="363">
        <v>9980</v>
      </c>
    </row>
    <row r="95" spans="2:23" hidden="1" outlineLevel="1" x14ac:dyDescent="0.25">
      <c r="B95" s="362">
        <v>41671</v>
      </c>
      <c r="C95" s="365"/>
      <c r="D95" s="365"/>
      <c r="E95" s="365"/>
      <c r="F95" s="365"/>
      <c r="G95" s="365"/>
      <c r="H95" s="365"/>
      <c r="I95" s="365">
        <v>1795</v>
      </c>
      <c r="J95" s="365">
        <v>577</v>
      </c>
      <c r="K95" s="365">
        <v>2372</v>
      </c>
      <c r="L95" s="365">
        <v>453</v>
      </c>
      <c r="M95" s="365">
        <v>238</v>
      </c>
      <c r="N95" s="365">
        <v>691</v>
      </c>
      <c r="O95" s="365">
        <v>2452</v>
      </c>
      <c r="P95" s="365">
        <v>2289</v>
      </c>
      <c r="Q95" s="365">
        <v>4741</v>
      </c>
      <c r="R95" s="365">
        <v>229</v>
      </c>
      <c r="S95" s="365">
        <v>192</v>
      </c>
      <c r="T95" s="365">
        <v>421</v>
      </c>
      <c r="U95" s="363">
        <v>4929</v>
      </c>
      <c r="V95" s="363">
        <v>3296</v>
      </c>
      <c r="W95" s="363">
        <v>8225</v>
      </c>
    </row>
    <row r="96" spans="2:23" hidden="1" outlineLevel="1" x14ac:dyDescent="0.25">
      <c r="B96" s="362">
        <v>41699</v>
      </c>
      <c r="C96" s="365"/>
      <c r="D96" s="365"/>
      <c r="E96" s="365"/>
      <c r="F96" s="365"/>
      <c r="G96" s="365"/>
      <c r="H96" s="365"/>
      <c r="I96" s="365">
        <v>2273</v>
      </c>
      <c r="J96" s="365">
        <v>694</v>
      </c>
      <c r="K96" s="365">
        <v>2967</v>
      </c>
      <c r="L96" s="365">
        <v>578</v>
      </c>
      <c r="M96" s="365">
        <v>322</v>
      </c>
      <c r="N96" s="365">
        <v>900</v>
      </c>
      <c r="O96" s="365">
        <v>2708</v>
      </c>
      <c r="P96" s="365">
        <v>2645</v>
      </c>
      <c r="Q96" s="365">
        <v>5353</v>
      </c>
      <c r="R96" s="365">
        <v>325</v>
      </c>
      <c r="S96" s="365">
        <v>228</v>
      </c>
      <c r="T96" s="365">
        <v>553</v>
      </c>
      <c r="U96" s="363">
        <v>5884</v>
      </c>
      <c r="V96" s="363">
        <v>3889</v>
      </c>
      <c r="W96" s="363">
        <v>9773</v>
      </c>
    </row>
    <row r="97" spans="2:23" hidden="1" outlineLevel="1" x14ac:dyDescent="0.25">
      <c r="B97" s="362">
        <v>41730</v>
      </c>
      <c r="C97" s="365"/>
      <c r="D97" s="365"/>
      <c r="E97" s="365"/>
      <c r="F97" s="365"/>
      <c r="G97" s="365"/>
      <c r="H97" s="365"/>
      <c r="I97" s="365">
        <v>1889</v>
      </c>
      <c r="J97" s="365">
        <v>623</v>
      </c>
      <c r="K97" s="365">
        <v>2512</v>
      </c>
      <c r="L97" s="365">
        <v>527</v>
      </c>
      <c r="M97" s="365">
        <v>269</v>
      </c>
      <c r="N97" s="365">
        <v>796</v>
      </c>
      <c r="O97" s="365">
        <v>2487</v>
      </c>
      <c r="P97" s="365">
        <v>2472</v>
      </c>
      <c r="Q97" s="365">
        <v>4959</v>
      </c>
      <c r="R97" s="365">
        <v>319</v>
      </c>
      <c r="S97" s="365">
        <v>258</v>
      </c>
      <c r="T97" s="365">
        <v>577</v>
      </c>
      <c r="U97" s="363">
        <v>5222</v>
      </c>
      <c r="V97" s="363">
        <v>3622</v>
      </c>
      <c r="W97" s="363">
        <v>8844</v>
      </c>
    </row>
    <row r="98" spans="2:23" hidden="1" outlineLevel="1" x14ac:dyDescent="0.25">
      <c r="B98" s="362">
        <v>41760</v>
      </c>
      <c r="C98" s="365"/>
      <c r="D98" s="365"/>
      <c r="E98" s="365"/>
      <c r="F98" s="365"/>
      <c r="G98" s="365"/>
      <c r="H98" s="365"/>
      <c r="I98" s="365">
        <v>2328</v>
      </c>
      <c r="J98" s="365">
        <v>687</v>
      </c>
      <c r="K98" s="365">
        <v>3015</v>
      </c>
      <c r="L98" s="365">
        <v>526</v>
      </c>
      <c r="M98" s="365">
        <v>292</v>
      </c>
      <c r="N98" s="365">
        <v>818</v>
      </c>
      <c r="O98" s="365">
        <v>3027</v>
      </c>
      <c r="P98" s="365">
        <v>3865</v>
      </c>
      <c r="Q98" s="365">
        <v>6892</v>
      </c>
      <c r="R98" s="365">
        <v>255</v>
      </c>
      <c r="S98" s="365">
        <v>228</v>
      </c>
      <c r="T98" s="365">
        <v>483</v>
      </c>
      <c r="U98" s="363">
        <v>6136</v>
      </c>
      <c r="V98" s="363">
        <v>5072</v>
      </c>
      <c r="W98" s="363">
        <v>11208</v>
      </c>
    </row>
    <row r="99" spans="2:23" hidden="1" outlineLevel="1" x14ac:dyDescent="0.25">
      <c r="B99" s="362">
        <v>41791</v>
      </c>
      <c r="C99" s="365"/>
      <c r="D99" s="365"/>
      <c r="E99" s="365"/>
      <c r="F99" s="365"/>
      <c r="G99" s="365"/>
      <c r="H99" s="365"/>
      <c r="I99" s="365">
        <v>1952</v>
      </c>
      <c r="J99" s="365">
        <v>621</v>
      </c>
      <c r="K99" s="365">
        <v>2573</v>
      </c>
      <c r="L99" s="365">
        <v>491</v>
      </c>
      <c r="M99" s="365">
        <v>308</v>
      </c>
      <c r="N99" s="365">
        <v>799</v>
      </c>
      <c r="O99" s="365">
        <v>2836</v>
      </c>
      <c r="P99" s="365">
        <v>3047</v>
      </c>
      <c r="Q99" s="365">
        <v>5883</v>
      </c>
      <c r="R99" s="365">
        <v>216</v>
      </c>
      <c r="S99" s="365">
        <v>190</v>
      </c>
      <c r="T99" s="365">
        <v>406</v>
      </c>
      <c r="U99" s="363">
        <v>5495</v>
      </c>
      <c r="V99" s="363">
        <v>4166</v>
      </c>
      <c r="W99" s="363">
        <v>9661</v>
      </c>
    </row>
    <row r="100" spans="2:23" hidden="1" outlineLevel="1" x14ac:dyDescent="0.25">
      <c r="B100" s="362">
        <v>41821</v>
      </c>
      <c r="C100" s="365"/>
      <c r="D100" s="365"/>
      <c r="E100" s="365"/>
      <c r="F100" s="365"/>
      <c r="G100" s="365"/>
      <c r="H100" s="365"/>
      <c r="I100" s="365">
        <v>1965</v>
      </c>
      <c r="J100" s="365">
        <v>610</v>
      </c>
      <c r="K100" s="365">
        <v>2575</v>
      </c>
      <c r="L100" s="365">
        <v>565</v>
      </c>
      <c r="M100" s="365">
        <v>328</v>
      </c>
      <c r="N100" s="365">
        <v>893</v>
      </c>
      <c r="O100" s="365">
        <v>3164</v>
      </c>
      <c r="P100" s="365">
        <v>2761</v>
      </c>
      <c r="Q100" s="365">
        <v>5925</v>
      </c>
      <c r="R100" s="365">
        <v>212</v>
      </c>
      <c r="S100" s="365">
        <v>191</v>
      </c>
      <c r="T100" s="365">
        <v>403</v>
      </c>
      <c r="U100" s="363">
        <v>5906</v>
      </c>
      <c r="V100" s="363">
        <v>3890</v>
      </c>
      <c r="W100" s="363">
        <v>9796</v>
      </c>
    </row>
    <row r="101" spans="2:23" hidden="1" outlineLevel="1" x14ac:dyDescent="0.25">
      <c r="B101" s="362">
        <v>41852</v>
      </c>
      <c r="C101" s="365"/>
      <c r="D101" s="365"/>
      <c r="E101" s="365"/>
      <c r="F101" s="365"/>
      <c r="G101" s="365"/>
      <c r="H101" s="365"/>
      <c r="I101" s="365">
        <v>2211</v>
      </c>
      <c r="J101" s="365">
        <v>729</v>
      </c>
      <c r="K101" s="365">
        <v>2940</v>
      </c>
      <c r="L101" s="365">
        <v>559</v>
      </c>
      <c r="M101" s="365">
        <v>353</v>
      </c>
      <c r="N101" s="365">
        <v>912</v>
      </c>
      <c r="O101" s="365">
        <v>3364</v>
      </c>
      <c r="P101" s="365">
        <v>2904</v>
      </c>
      <c r="Q101" s="365">
        <v>6268</v>
      </c>
      <c r="R101" s="365">
        <v>215</v>
      </c>
      <c r="S101" s="365">
        <v>216</v>
      </c>
      <c r="T101" s="365">
        <v>431</v>
      </c>
      <c r="U101" s="363">
        <v>6349</v>
      </c>
      <c r="V101" s="363">
        <v>4202</v>
      </c>
      <c r="W101" s="363">
        <v>10551</v>
      </c>
    </row>
    <row r="102" spans="2:23" hidden="1" outlineLevel="1" x14ac:dyDescent="0.25">
      <c r="B102" s="362">
        <v>41883</v>
      </c>
      <c r="C102" s="365"/>
      <c r="D102" s="365"/>
      <c r="E102" s="365"/>
      <c r="F102" s="365"/>
      <c r="G102" s="365"/>
      <c r="H102" s="365"/>
      <c r="I102" s="365">
        <v>2074</v>
      </c>
      <c r="J102" s="365">
        <v>662</v>
      </c>
      <c r="K102" s="365">
        <v>2736</v>
      </c>
      <c r="L102" s="365">
        <v>461</v>
      </c>
      <c r="M102" s="365">
        <v>341</v>
      </c>
      <c r="N102" s="365">
        <v>802</v>
      </c>
      <c r="O102" s="365">
        <v>3296</v>
      </c>
      <c r="P102" s="365">
        <v>2831</v>
      </c>
      <c r="Q102" s="365">
        <v>6127</v>
      </c>
      <c r="R102" s="365">
        <v>182</v>
      </c>
      <c r="S102" s="365">
        <v>174</v>
      </c>
      <c r="T102" s="365">
        <v>356</v>
      </c>
      <c r="U102" s="363">
        <v>6013</v>
      </c>
      <c r="V102" s="363">
        <v>4008</v>
      </c>
      <c r="W102" s="363">
        <v>10021</v>
      </c>
    </row>
    <row r="103" spans="2:23" hidden="1" outlineLevel="1" x14ac:dyDescent="0.25">
      <c r="B103" s="362">
        <v>41913</v>
      </c>
      <c r="C103" s="365"/>
      <c r="D103" s="365"/>
      <c r="E103" s="365"/>
      <c r="F103" s="365"/>
      <c r="G103" s="365"/>
      <c r="H103" s="365"/>
      <c r="I103" s="365">
        <v>2227</v>
      </c>
      <c r="J103" s="365">
        <v>707</v>
      </c>
      <c r="K103" s="365">
        <v>2934</v>
      </c>
      <c r="L103" s="365">
        <v>623</v>
      </c>
      <c r="M103" s="365">
        <v>348</v>
      </c>
      <c r="N103" s="365">
        <v>971</v>
      </c>
      <c r="O103" s="365">
        <v>3729</v>
      </c>
      <c r="P103" s="365">
        <v>3307</v>
      </c>
      <c r="Q103" s="365">
        <v>7036</v>
      </c>
      <c r="R103" s="365">
        <v>202</v>
      </c>
      <c r="S103" s="365">
        <v>172</v>
      </c>
      <c r="T103" s="365">
        <v>374</v>
      </c>
      <c r="U103" s="363">
        <v>6781</v>
      </c>
      <c r="V103" s="363">
        <v>4534</v>
      </c>
      <c r="W103" s="363">
        <v>11315</v>
      </c>
    </row>
    <row r="104" spans="2:23" hidden="1" outlineLevel="1" x14ac:dyDescent="0.25">
      <c r="B104" s="362">
        <v>41944</v>
      </c>
      <c r="C104" s="365"/>
      <c r="D104" s="365"/>
      <c r="E104" s="365"/>
      <c r="F104" s="365"/>
      <c r="G104" s="365"/>
      <c r="H104" s="365"/>
      <c r="I104" s="365">
        <v>1985</v>
      </c>
      <c r="J104" s="365">
        <v>631</v>
      </c>
      <c r="K104" s="365">
        <v>2616</v>
      </c>
      <c r="L104" s="365">
        <v>519</v>
      </c>
      <c r="M104" s="365">
        <v>323</v>
      </c>
      <c r="N104" s="365">
        <v>842</v>
      </c>
      <c r="O104" s="365">
        <v>3340</v>
      </c>
      <c r="P104" s="365">
        <v>2748</v>
      </c>
      <c r="Q104" s="365">
        <v>6088</v>
      </c>
      <c r="R104" s="365">
        <v>202</v>
      </c>
      <c r="S104" s="365">
        <v>153</v>
      </c>
      <c r="T104" s="365">
        <v>355</v>
      </c>
      <c r="U104" s="363">
        <v>6046</v>
      </c>
      <c r="V104" s="363">
        <v>3855</v>
      </c>
      <c r="W104" s="363">
        <v>9901</v>
      </c>
    </row>
    <row r="105" spans="2:23" hidden="1" outlineLevel="1" x14ac:dyDescent="0.25">
      <c r="B105" s="362">
        <v>41974</v>
      </c>
      <c r="C105" s="365"/>
      <c r="D105" s="365"/>
      <c r="E105" s="365"/>
      <c r="F105" s="365"/>
      <c r="G105" s="365"/>
      <c r="H105" s="365"/>
      <c r="I105" s="365">
        <v>1910</v>
      </c>
      <c r="J105" s="365">
        <v>564</v>
      </c>
      <c r="K105" s="365">
        <v>2474</v>
      </c>
      <c r="L105" s="365">
        <v>486</v>
      </c>
      <c r="M105" s="365">
        <v>308</v>
      </c>
      <c r="N105" s="365">
        <v>794</v>
      </c>
      <c r="O105" s="365">
        <v>2672</v>
      </c>
      <c r="P105" s="365">
        <v>2341</v>
      </c>
      <c r="Q105" s="365">
        <v>5013</v>
      </c>
      <c r="R105" s="365">
        <v>171</v>
      </c>
      <c r="S105" s="365">
        <v>158</v>
      </c>
      <c r="T105" s="365">
        <v>329</v>
      </c>
      <c r="U105" s="363">
        <v>5239</v>
      </c>
      <c r="V105" s="363">
        <v>3371</v>
      </c>
      <c r="W105" s="363">
        <v>8610</v>
      </c>
    </row>
    <row r="106" spans="2:23" collapsed="1" x14ac:dyDescent="0.25">
      <c r="B106" s="364" t="s">
        <v>705</v>
      </c>
      <c r="C106" s="363" t="s">
        <v>804</v>
      </c>
      <c r="D106" s="363" t="s">
        <v>804</v>
      </c>
      <c r="E106" s="363" t="s">
        <v>804</v>
      </c>
      <c r="F106" s="363" t="s">
        <v>804</v>
      </c>
      <c r="G106" s="363" t="s">
        <v>804</v>
      </c>
      <c r="H106" s="363" t="s">
        <v>804</v>
      </c>
      <c r="I106" s="363">
        <v>2064</v>
      </c>
      <c r="J106" s="363">
        <v>650</v>
      </c>
      <c r="K106" s="363">
        <v>2714</v>
      </c>
      <c r="L106" s="363">
        <v>524</v>
      </c>
      <c r="M106" s="363">
        <v>308</v>
      </c>
      <c r="N106" s="363">
        <v>832</v>
      </c>
      <c r="O106" s="363">
        <v>3008</v>
      </c>
      <c r="P106" s="363">
        <v>2830</v>
      </c>
      <c r="Q106" s="363">
        <v>5838</v>
      </c>
      <c r="R106" s="363">
        <v>238</v>
      </c>
      <c r="S106" s="363">
        <v>201</v>
      </c>
      <c r="T106" s="363">
        <v>439</v>
      </c>
      <c r="U106" s="363">
        <v>5834</v>
      </c>
      <c r="V106" s="363">
        <v>3990</v>
      </c>
      <c r="W106" s="363">
        <v>9824</v>
      </c>
    </row>
    <row r="107" spans="2:23" hidden="1" outlineLevel="1" x14ac:dyDescent="0.25">
      <c r="B107" s="362">
        <v>42005</v>
      </c>
      <c r="C107" s="365"/>
      <c r="D107" s="365"/>
      <c r="E107" s="365"/>
      <c r="F107" s="365"/>
      <c r="G107" s="365"/>
      <c r="H107" s="365"/>
      <c r="I107" s="365">
        <v>1869</v>
      </c>
      <c r="J107" s="365">
        <v>570</v>
      </c>
      <c r="K107" s="365">
        <v>2439</v>
      </c>
      <c r="L107" s="365">
        <v>591</v>
      </c>
      <c r="M107" s="365">
        <v>397</v>
      </c>
      <c r="N107" s="365">
        <v>988</v>
      </c>
      <c r="O107" s="365">
        <v>2831</v>
      </c>
      <c r="P107" s="365">
        <v>2278</v>
      </c>
      <c r="Q107" s="365">
        <v>5109</v>
      </c>
      <c r="R107" s="365">
        <v>88</v>
      </c>
      <c r="S107" s="365">
        <v>85</v>
      </c>
      <c r="T107" s="365">
        <v>173</v>
      </c>
      <c r="U107" s="363">
        <v>5379</v>
      </c>
      <c r="V107" s="363">
        <v>3330</v>
      </c>
      <c r="W107" s="363">
        <v>8709</v>
      </c>
    </row>
    <row r="108" spans="2:23" hidden="1" outlineLevel="1" x14ac:dyDescent="0.25">
      <c r="B108" s="362">
        <v>42036</v>
      </c>
      <c r="C108" s="365"/>
      <c r="D108" s="365"/>
      <c r="E108" s="365"/>
      <c r="F108" s="365"/>
      <c r="G108" s="365"/>
      <c r="H108" s="365"/>
      <c r="I108" s="365">
        <v>1678</v>
      </c>
      <c r="J108" s="365">
        <v>503</v>
      </c>
      <c r="K108" s="365">
        <v>2181</v>
      </c>
      <c r="L108" s="365">
        <v>531</v>
      </c>
      <c r="M108" s="365">
        <v>338</v>
      </c>
      <c r="N108" s="365">
        <v>869</v>
      </c>
      <c r="O108" s="365">
        <v>2746</v>
      </c>
      <c r="P108" s="365">
        <v>2325</v>
      </c>
      <c r="Q108" s="365">
        <v>5071</v>
      </c>
      <c r="R108" s="365">
        <v>69</v>
      </c>
      <c r="S108" s="365">
        <v>76</v>
      </c>
      <c r="T108" s="365">
        <v>145</v>
      </c>
      <c r="U108" s="363">
        <v>5024</v>
      </c>
      <c r="V108" s="363">
        <v>3242</v>
      </c>
      <c r="W108" s="363">
        <v>8266</v>
      </c>
    </row>
    <row r="109" spans="2:23" hidden="1" outlineLevel="1" x14ac:dyDescent="0.25">
      <c r="B109" s="362">
        <v>42064</v>
      </c>
      <c r="C109" s="365"/>
      <c r="D109" s="365"/>
      <c r="E109" s="365"/>
      <c r="F109" s="365"/>
      <c r="G109" s="365"/>
      <c r="H109" s="365"/>
      <c r="I109" s="365">
        <v>1862</v>
      </c>
      <c r="J109" s="365">
        <v>572</v>
      </c>
      <c r="K109" s="365">
        <v>2434</v>
      </c>
      <c r="L109" s="365">
        <v>683</v>
      </c>
      <c r="M109" s="365">
        <v>432</v>
      </c>
      <c r="N109" s="365">
        <v>1115</v>
      </c>
      <c r="O109" s="365">
        <v>3232</v>
      </c>
      <c r="P109" s="365">
        <v>2846</v>
      </c>
      <c r="Q109" s="365">
        <v>6078</v>
      </c>
      <c r="R109" s="365">
        <v>91</v>
      </c>
      <c r="S109" s="365">
        <v>100</v>
      </c>
      <c r="T109" s="365">
        <v>191</v>
      </c>
      <c r="U109" s="363">
        <v>5868</v>
      </c>
      <c r="V109" s="363">
        <v>3950</v>
      </c>
      <c r="W109" s="363">
        <v>9818</v>
      </c>
    </row>
    <row r="110" spans="2:23" hidden="1" outlineLevel="1" x14ac:dyDescent="0.25">
      <c r="B110" s="362">
        <v>42095</v>
      </c>
      <c r="C110" s="365"/>
      <c r="D110" s="365"/>
      <c r="E110" s="365"/>
      <c r="F110" s="365"/>
      <c r="G110" s="365"/>
      <c r="H110" s="365"/>
      <c r="I110" s="365">
        <v>1566</v>
      </c>
      <c r="J110" s="365">
        <v>509</v>
      </c>
      <c r="K110" s="365">
        <v>2075</v>
      </c>
      <c r="L110" s="365">
        <v>569</v>
      </c>
      <c r="M110" s="365">
        <v>383</v>
      </c>
      <c r="N110" s="365">
        <v>952</v>
      </c>
      <c r="O110" s="365">
        <v>2827</v>
      </c>
      <c r="P110" s="365">
        <v>2372</v>
      </c>
      <c r="Q110" s="365">
        <v>5199</v>
      </c>
      <c r="R110" s="365">
        <v>73</v>
      </c>
      <c r="S110" s="365">
        <v>81</v>
      </c>
      <c r="T110" s="365">
        <v>154</v>
      </c>
      <c r="U110" s="363">
        <v>5035</v>
      </c>
      <c r="V110" s="363">
        <v>3345</v>
      </c>
      <c r="W110" s="363">
        <v>8380</v>
      </c>
    </row>
    <row r="111" spans="2:23" hidden="1" outlineLevel="1" x14ac:dyDescent="0.25">
      <c r="B111" s="362">
        <v>42125</v>
      </c>
      <c r="C111" s="365"/>
      <c r="D111" s="365"/>
      <c r="E111" s="365"/>
      <c r="F111" s="365"/>
      <c r="G111" s="365"/>
      <c r="H111" s="365"/>
      <c r="I111" s="365">
        <v>1453</v>
      </c>
      <c r="J111" s="365">
        <v>555</v>
      </c>
      <c r="K111" s="365">
        <v>2008</v>
      </c>
      <c r="L111" s="365">
        <v>550</v>
      </c>
      <c r="M111" s="365">
        <v>312</v>
      </c>
      <c r="N111" s="365">
        <v>862</v>
      </c>
      <c r="O111" s="365">
        <v>3346</v>
      </c>
      <c r="P111" s="365">
        <v>3920</v>
      </c>
      <c r="Q111" s="365">
        <v>7266</v>
      </c>
      <c r="R111" s="365">
        <v>113</v>
      </c>
      <c r="S111" s="365">
        <v>102</v>
      </c>
      <c r="T111" s="365">
        <v>215</v>
      </c>
      <c r="U111" s="363">
        <v>5462</v>
      </c>
      <c r="V111" s="363">
        <v>4889</v>
      </c>
      <c r="W111" s="363">
        <v>10351</v>
      </c>
    </row>
    <row r="112" spans="2:23" hidden="1" outlineLevel="1" x14ac:dyDescent="0.25">
      <c r="B112" s="362">
        <v>42156</v>
      </c>
      <c r="C112" s="365"/>
      <c r="D112" s="365"/>
      <c r="E112" s="365"/>
      <c r="F112" s="365"/>
      <c r="G112" s="365"/>
      <c r="H112" s="365"/>
      <c r="I112" s="365">
        <v>1526</v>
      </c>
      <c r="J112" s="365">
        <v>513</v>
      </c>
      <c r="K112" s="365">
        <v>2039</v>
      </c>
      <c r="L112" s="365">
        <v>569</v>
      </c>
      <c r="M112" s="365">
        <v>360</v>
      </c>
      <c r="N112" s="365">
        <v>929</v>
      </c>
      <c r="O112" s="365">
        <v>3250</v>
      </c>
      <c r="P112" s="365">
        <v>3086</v>
      </c>
      <c r="Q112" s="365">
        <v>6336</v>
      </c>
      <c r="R112" s="365">
        <v>89</v>
      </c>
      <c r="S112" s="365">
        <v>102</v>
      </c>
      <c r="T112" s="365">
        <v>191</v>
      </c>
      <c r="U112" s="363">
        <v>5434</v>
      </c>
      <c r="V112" s="363">
        <v>4061</v>
      </c>
      <c r="W112" s="363">
        <v>9495</v>
      </c>
    </row>
    <row r="113" spans="2:23" hidden="1" outlineLevel="1" x14ac:dyDescent="0.25">
      <c r="B113" s="362">
        <v>42186</v>
      </c>
      <c r="C113" s="365"/>
      <c r="D113" s="365"/>
      <c r="E113" s="365"/>
      <c r="F113" s="365"/>
      <c r="G113" s="365"/>
      <c r="H113" s="365"/>
      <c r="I113" s="365">
        <v>1648</v>
      </c>
      <c r="J113" s="365">
        <v>612</v>
      </c>
      <c r="K113" s="365">
        <v>2260</v>
      </c>
      <c r="L113" s="365">
        <v>597</v>
      </c>
      <c r="M113" s="365">
        <v>390</v>
      </c>
      <c r="N113" s="365">
        <v>987</v>
      </c>
      <c r="O113" s="365">
        <v>3606</v>
      </c>
      <c r="P113" s="365">
        <v>2785</v>
      </c>
      <c r="Q113" s="365">
        <v>6391</v>
      </c>
      <c r="R113" s="365">
        <v>82</v>
      </c>
      <c r="S113" s="365">
        <v>84</v>
      </c>
      <c r="T113" s="365">
        <v>166</v>
      </c>
      <c r="U113" s="363">
        <v>5933</v>
      </c>
      <c r="V113" s="363">
        <v>3871</v>
      </c>
      <c r="W113" s="363">
        <v>9804</v>
      </c>
    </row>
    <row r="114" spans="2:23" hidden="1" outlineLevel="1" x14ac:dyDescent="0.25">
      <c r="B114" s="362">
        <v>42217</v>
      </c>
      <c r="C114" s="365"/>
      <c r="D114" s="365"/>
      <c r="E114" s="365"/>
      <c r="F114" s="365"/>
      <c r="G114" s="365"/>
      <c r="H114" s="365"/>
      <c r="I114" s="365">
        <v>1725</v>
      </c>
      <c r="J114" s="365">
        <v>577</v>
      </c>
      <c r="K114" s="365">
        <v>2302</v>
      </c>
      <c r="L114" s="365">
        <v>613</v>
      </c>
      <c r="M114" s="365">
        <v>373</v>
      </c>
      <c r="N114" s="365">
        <v>986</v>
      </c>
      <c r="O114" s="365">
        <v>3420</v>
      </c>
      <c r="P114" s="365">
        <v>2802</v>
      </c>
      <c r="Q114" s="365">
        <v>6222</v>
      </c>
      <c r="R114" s="365">
        <v>92</v>
      </c>
      <c r="S114" s="365">
        <v>86</v>
      </c>
      <c r="T114" s="365">
        <v>178</v>
      </c>
      <c r="U114" s="363">
        <v>5850</v>
      </c>
      <c r="V114" s="363">
        <v>3838</v>
      </c>
      <c r="W114" s="363">
        <v>9688</v>
      </c>
    </row>
    <row r="115" spans="2:23" hidden="1" outlineLevel="1" x14ac:dyDescent="0.25">
      <c r="B115" s="362">
        <v>42248</v>
      </c>
      <c r="C115" s="365"/>
      <c r="D115" s="365"/>
      <c r="E115" s="365"/>
      <c r="F115" s="365"/>
      <c r="G115" s="365"/>
      <c r="H115" s="365"/>
      <c r="I115" s="365">
        <v>1650</v>
      </c>
      <c r="J115" s="365">
        <v>551</v>
      </c>
      <c r="K115" s="365">
        <v>2201</v>
      </c>
      <c r="L115" s="365">
        <v>629</v>
      </c>
      <c r="M115" s="365">
        <v>421</v>
      </c>
      <c r="N115" s="365">
        <v>1050</v>
      </c>
      <c r="O115" s="365">
        <v>3305</v>
      </c>
      <c r="P115" s="365">
        <v>2743</v>
      </c>
      <c r="Q115" s="365">
        <v>6048</v>
      </c>
      <c r="R115" s="365">
        <v>69</v>
      </c>
      <c r="S115" s="365">
        <v>68</v>
      </c>
      <c r="T115" s="365">
        <v>137</v>
      </c>
      <c r="U115" s="363">
        <v>5653</v>
      </c>
      <c r="V115" s="363">
        <v>3783</v>
      </c>
      <c r="W115" s="363">
        <v>9436</v>
      </c>
    </row>
    <row r="116" spans="2:23" hidden="1" outlineLevel="1" x14ac:dyDescent="0.25">
      <c r="B116" s="362">
        <v>42278</v>
      </c>
      <c r="C116" s="365"/>
      <c r="D116" s="365"/>
      <c r="E116" s="365"/>
      <c r="F116" s="365"/>
      <c r="G116" s="365"/>
      <c r="H116" s="365"/>
      <c r="I116" s="365">
        <v>1687</v>
      </c>
      <c r="J116" s="365">
        <v>604</v>
      </c>
      <c r="K116" s="365">
        <v>2291</v>
      </c>
      <c r="L116" s="365">
        <v>623</v>
      </c>
      <c r="M116" s="365">
        <v>370</v>
      </c>
      <c r="N116" s="365">
        <v>993</v>
      </c>
      <c r="O116" s="365">
        <v>3263</v>
      </c>
      <c r="P116" s="365">
        <v>2668</v>
      </c>
      <c r="Q116" s="365">
        <v>5931</v>
      </c>
      <c r="R116" s="365">
        <v>96</v>
      </c>
      <c r="S116" s="365">
        <v>86</v>
      </c>
      <c r="T116" s="365">
        <v>182</v>
      </c>
      <c r="U116" s="363">
        <v>5669</v>
      </c>
      <c r="V116" s="363">
        <v>3728</v>
      </c>
      <c r="W116" s="363">
        <v>9397</v>
      </c>
    </row>
    <row r="117" spans="2:23" hidden="1" outlineLevel="1" x14ac:dyDescent="0.25">
      <c r="B117" s="362">
        <v>42309</v>
      </c>
      <c r="C117" s="365"/>
      <c r="D117" s="365"/>
      <c r="E117" s="365"/>
      <c r="F117" s="365"/>
      <c r="G117" s="365"/>
      <c r="H117" s="365"/>
      <c r="I117" s="365">
        <v>1608</v>
      </c>
      <c r="J117" s="365">
        <v>615</v>
      </c>
      <c r="K117" s="365">
        <v>2223</v>
      </c>
      <c r="L117" s="365">
        <v>637</v>
      </c>
      <c r="M117" s="365">
        <v>380</v>
      </c>
      <c r="N117" s="365">
        <v>1017</v>
      </c>
      <c r="O117" s="365">
        <v>3536</v>
      </c>
      <c r="P117" s="365">
        <v>3021</v>
      </c>
      <c r="Q117" s="365">
        <v>6557</v>
      </c>
      <c r="R117" s="365">
        <v>87</v>
      </c>
      <c r="S117" s="365">
        <v>99</v>
      </c>
      <c r="T117" s="365">
        <v>186</v>
      </c>
      <c r="U117" s="363">
        <v>5868</v>
      </c>
      <c r="V117" s="363">
        <v>4115</v>
      </c>
      <c r="W117" s="363">
        <v>9983</v>
      </c>
    </row>
    <row r="118" spans="2:23" hidden="1" outlineLevel="1" x14ac:dyDescent="0.25">
      <c r="B118" s="362">
        <v>42339</v>
      </c>
      <c r="C118" s="365"/>
      <c r="D118" s="365"/>
      <c r="E118" s="365"/>
      <c r="F118" s="365"/>
      <c r="G118" s="365"/>
      <c r="H118" s="365"/>
      <c r="I118" s="365">
        <v>1427</v>
      </c>
      <c r="J118" s="365">
        <v>483</v>
      </c>
      <c r="K118" s="365">
        <v>1910</v>
      </c>
      <c r="L118" s="365">
        <v>588</v>
      </c>
      <c r="M118" s="365">
        <v>375</v>
      </c>
      <c r="N118" s="365">
        <v>963</v>
      </c>
      <c r="O118" s="365">
        <v>2714</v>
      </c>
      <c r="P118" s="365">
        <v>2268</v>
      </c>
      <c r="Q118" s="365">
        <v>4982</v>
      </c>
      <c r="R118" s="365">
        <v>86</v>
      </c>
      <c r="S118" s="365">
        <v>77</v>
      </c>
      <c r="T118" s="365">
        <v>163</v>
      </c>
      <c r="U118" s="363">
        <v>4815</v>
      </c>
      <c r="V118" s="363">
        <v>3203</v>
      </c>
      <c r="W118" s="363">
        <v>8018</v>
      </c>
    </row>
    <row r="119" spans="2:23" collapsed="1" x14ac:dyDescent="0.25">
      <c r="B119" s="364" t="s">
        <v>706</v>
      </c>
      <c r="C119" s="363" t="s">
        <v>804</v>
      </c>
      <c r="D119" s="363" t="s">
        <v>804</v>
      </c>
      <c r="E119" s="363" t="s">
        <v>804</v>
      </c>
      <c r="F119" s="363" t="s">
        <v>804</v>
      </c>
      <c r="G119" s="363" t="s">
        <v>804</v>
      </c>
      <c r="H119" s="363" t="s">
        <v>804</v>
      </c>
      <c r="I119" s="363">
        <v>1642</v>
      </c>
      <c r="J119" s="363">
        <v>555</v>
      </c>
      <c r="K119" s="363">
        <v>2197</v>
      </c>
      <c r="L119" s="363">
        <v>598</v>
      </c>
      <c r="M119" s="363">
        <v>378</v>
      </c>
      <c r="N119" s="363">
        <v>976</v>
      </c>
      <c r="O119" s="363">
        <v>3173</v>
      </c>
      <c r="P119" s="363">
        <v>2760</v>
      </c>
      <c r="Q119" s="363">
        <v>5933</v>
      </c>
      <c r="R119" s="363">
        <v>86</v>
      </c>
      <c r="S119" s="363">
        <v>87</v>
      </c>
      <c r="T119" s="363">
        <v>173</v>
      </c>
      <c r="U119" s="363">
        <v>5499</v>
      </c>
      <c r="V119" s="363">
        <v>3780</v>
      </c>
      <c r="W119" s="363">
        <v>9279</v>
      </c>
    </row>
    <row r="120" spans="2:23" hidden="1" outlineLevel="1" x14ac:dyDescent="0.25">
      <c r="B120" s="362">
        <v>42370</v>
      </c>
      <c r="C120" s="365"/>
      <c r="D120" s="365"/>
      <c r="E120" s="365"/>
      <c r="F120" s="365"/>
      <c r="G120" s="365"/>
      <c r="H120" s="365"/>
      <c r="I120" s="365">
        <v>1359</v>
      </c>
      <c r="J120" s="365">
        <v>417</v>
      </c>
      <c r="K120" s="365">
        <v>1776</v>
      </c>
      <c r="L120" s="365">
        <v>611</v>
      </c>
      <c r="M120" s="365">
        <v>380</v>
      </c>
      <c r="N120" s="365">
        <v>991</v>
      </c>
      <c r="O120" s="365">
        <v>2549</v>
      </c>
      <c r="P120" s="365">
        <v>2080</v>
      </c>
      <c r="Q120" s="365">
        <v>4629</v>
      </c>
      <c r="R120" s="365">
        <v>96</v>
      </c>
      <c r="S120" s="365">
        <v>88</v>
      </c>
      <c r="T120" s="365">
        <v>184</v>
      </c>
      <c r="U120" s="363">
        <v>4615</v>
      </c>
      <c r="V120" s="363">
        <v>2965</v>
      </c>
      <c r="W120" s="363">
        <v>7580</v>
      </c>
    </row>
    <row r="121" spans="2:23" hidden="1" outlineLevel="1" x14ac:dyDescent="0.25">
      <c r="B121" s="362">
        <v>42401</v>
      </c>
      <c r="C121" s="365"/>
      <c r="D121" s="365"/>
      <c r="E121" s="365"/>
      <c r="F121" s="365"/>
      <c r="G121" s="365"/>
      <c r="H121" s="365"/>
      <c r="I121" s="365">
        <v>1332</v>
      </c>
      <c r="J121" s="365">
        <v>441</v>
      </c>
      <c r="K121" s="365">
        <v>1773</v>
      </c>
      <c r="L121" s="365">
        <v>556</v>
      </c>
      <c r="M121" s="365">
        <v>332</v>
      </c>
      <c r="N121" s="365">
        <v>888</v>
      </c>
      <c r="O121" s="365">
        <v>2855</v>
      </c>
      <c r="P121" s="365">
        <v>2182</v>
      </c>
      <c r="Q121" s="365">
        <v>5037</v>
      </c>
      <c r="R121" s="365">
        <v>104</v>
      </c>
      <c r="S121" s="365">
        <v>81</v>
      </c>
      <c r="T121" s="365">
        <v>185</v>
      </c>
      <c r="U121" s="363">
        <v>4847</v>
      </c>
      <c r="V121" s="363">
        <v>3036</v>
      </c>
      <c r="W121" s="363">
        <v>7883</v>
      </c>
    </row>
    <row r="122" spans="2:23" hidden="1" outlineLevel="1" x14ac:dyDescent="0.25">
      <c r="B122" s="362">
        <v>42430</v>
      </c>
      <c r="C122" s="365"/>
      <c r="D122" s="365"/>
      <c r="E122" s="365"/>
      <c r="F122" s="365"/>
      <c r="G122" s="365"/>
      <c r="H122" s="365"/>
      <c r="I122" s="365">
        <v>1448</v>
      </c>
      <c r="J122" s="365">
        <v>469</v>
      </c>
      <c r="K122" s="365">
        <v>1917</v>
      </c>
      <c r="L122" s="365">
        <v>693</v>
      </c>
      <c r="M122" s="365">
        <v>384</v>
      </c>
      <c r="N122" s="365">
        <v>1077</v>
      </c>
      <c r="O122" s="365">
        <v>3013</v>
      </c>
      <c r="P122" s="365">
        <v>2392</v>
      </c>
      <c r="Q122" s="365">
        <v>5405</v>
      </c>
      <c r="R122" s="365">
        <v>97</v>
      </c>
      <c r="S122" s="365">
        <v>82</v>
      </c>
      <c r="T122" s="365">
        <v>179</v>
      </c>
      <c r="U122" s="363">
        <v>5251</v>
      </c>
      <c r="V122" s="363">
        <v>3327</v>
      </c>
      <c r="W122" s="363">
        <v>8578</v>
      </c>
    </row>
    <row r="123" spans="2:23" hidden="1" outlineLevel="1" x14ac:dyDescent="0.25">
      <c r="B123" s="362">
        <v>42461</v>
      </c>
      <c r="C123" s="365"/>
      <c r="D123" s="365"/>
      <c r="E123" s="365"/>
      <c r="F123" s="365"/>
      <c r="G123" s="365"/>
      <c r="H123" s="365"/>
      <c r="I123" s="365">
        <v>2011</v>
      </c>
      <c r="J123" s="365">
        <v>736</v>
      </c>
      <c r="K123" s="365">
        <v>2747</v>
      </c>
      <c r="L123" s="365">
        <v>572</v>
      </c>
      <c r="M123" s="365">
        <v>381</v>
      </c>
      <c r="N123" s="365">
        <v>953</v>
      </c>
      <c r="O123" s="365">
        <v>3185</v>
      </c>
      <c r="P123" s="365">
        <v>2615</v>
      </c>
      <c r="Q123" s="365">
        <v>5800</v>
      </c>
      <c r="R123" s="365">
        <v>84</v>
      </c>
      <c r="S123" s="365">
        <v>87</v>
      </c>
      <c r="T123" s="365">
        <v>171</v>
      </c>
      <c r="U123" s="363">
        <v>5852</v>
      </c>
      <c r="V123" s="363">
        <v>3819</v>
      </c>
      <c r="W123" s="363">
        <v>9671</v>
      </c>
    </row>
    <row r="124" spans="2:23" hidden="1" outlineLevel="1" x14ac:dyDescent="0.25">
      <c r="B124" s="362">
        <v>42491</v>
      </c>
      <c r="C124" s="365"/>
      <c r="D124" s="365"/>
      <c r="E124" s="365"/>
      <c r="F124" s="365"/>
      <c r="G124" s="365"/>
      <c r="H124" s="365"/>
      <c r="I124" s="365">
        <v>1625</v>
      </c>
      <c r="J124" s="365">
        <v>575</v>
      </c>
      <c r="K124" s="365">
        <v>2200</v>
      </c>
      <c r="L124" s="365">
        <v>632</v>
      </c>
      <c r="M124" s="365">
        <v>372</v>
      </c>
      <c r="N124" s="365">
        <v>1004</v>
      </c>
      <c r="O124" s="365">
        <v>3504</v>
      </c>
      <c r="P124" s="365">
        <v>3633</v>
      </c>
      <c r="Q124" s="365">
        <v>7137</v>
      </c>
      <c r="R124" s="365">
        <v>104</v>
      </c>
      <c r="S124" s="365">
        <v>92</v>
      </c>
      <c r="T124" s="365">
        <v>196</v>
      </c>
      <c r="U124" s="363">
        <v>5865</v>
      </c>
      <c r="V124" s="363">
        <v>4672</v>
      </c>
      <c r="W124" s="363">
        <v>10537</v>
      </c>
    </row>
    <row r="125" spans="2:23" hidden="1" outlineLevel="1" x14ac:dyDescent="0.25">
      <c r="B125" s="362">
        <v>42522</v>
      </c>
      <c r="C125" s="365"/>
      <c r="D125" s="365"/>
      <c r="E125" s="365"/>
      <c r="F125" s="365"/>
      <c r="G125" s="365"/>
      <c r="H125" s="365"/>
      <c r="I125" s="365">
        <v>1420</v>
      </c>
      <c r="J125" s="365">
        <v>542</v>
      </c>
      <c r="K125" s="365">
        <v>1962</v>
      </c>
      <c r="L125" s="365">
        <v>546</v>
      </c>
      <c r="M125" s="365">
        <v>376</v>
      </c>
      <c r="N125" s="365">
        <v>922</v>
      </c>
      <c r="O125" s="365">
        <v>2912</v>
      </c>
      <c r="P125" s="365">
        <v>2301</v>
      </c>
      <c r="Q125" s="365">
        <v>5213</v>
      </c>
      <c r="R125" s="365">
        <v>59</v>
      </c>
      <c r="S125" s="365">
        <v>76</v>
      </c>
      <c r="T125" s="365">
        <v>135</v>
      </c>
      <c r="U125" s="363">
        <v>4937</v>
      </c>
      <c r="V125" s="363">
        <v>3295</v>
      </c>
      <c r="W125" s="363">
        <v>8232</v>
      </c>
    </row>
    <row r="126" spans="2:23" hidden="1" outlineLevel="1" x14ac:dyDescent="0.25">
      <c r="B126" s="362">
        <v>42552</v>
      </c>
      <c r="C126" s="365"/>
      <c r="D126" s="365"/>
      <c r="E126" s="365"/>
      <c r="F126" s="365"/>
      <c r="G126" s="365"/>
      <c r="H126" s="365"/>
      <c r="I126" s="365">
        <v>1536</v>
      </c>
      <c r="J126" s="365">
        <v>532</v>
      </c>
      <c r="K126" s="365">
        <v>2068</v>
      </c>
      <c r="L126" s="365">
        <v>611</v>
      </c>
      <c r="M126" s="365">
        <v>406</v>
      </c>
      <c r="N126" s="365">
        <v>1017</v>
      </c>
      <c r="O126" s="365">
        <v>3072</v>
      </c>
      <c r="P126" s="365">
        <v>2417</v>
      </c>
      <c r="Q126" s="365">
        <v>5489</v>
      </c>
      <c r="R126" s="365">
        <v>83</v>
      </c>
      <c r="S126" s="365">
        <v>93</v>
      </c>
      <c r="T126" s="365">
        <v>176</v>
      </c>
      <c r="U126" s="363">
        <v>5302</v>
      </c>
      <c r="V126" s="363">
        <v>3448</v>
      </c>
      <c r="W126" s="363">
        <v>8750</v>
      </c>
    </row>
    <row r="127" spans="2:23" hidden="1" outlineLevel="1" x14ac:dyDescent="0.25">
      <c r="B127" s="362">
        <v>42583</v>
      </c>
      <c r="C127" s="365"/>
      <c r="D127" s="365"/>
      <c r="E127" s="365"/>
      <c r="F127" s="365"/>
      <c r="G127" s="365"/>
      <c r="H127" s="365"/>
      <c r="I127" s="365">
        <v>1680</v>
      </c>
      <c r="J127" s="365">
        <v>602</v>
      </c>
      <c r="K127" s="365">
        <v>2282</v>
      </c>
      <c r="L127" s="365">
        <v>678</v>
      </c>
      <c r="M127" s="365">
        <v>485</v>
      </c>
      <c r="N127" s="365">
        <v>1163</v>
      </c>
      <c r="O127" s="365">
        <v>3891</v>
      </c>
      <c r="P127" s="365">
        <v>3039</v>
      </c>
      <c r="Q127" s="365">
        <v>6930</v>
      </c>
      <c r="R127" s="365">
        <v>108</v>
      </c>
      <c r="S127" s="365">
        <v>96</v>
      </c>
      <c r="T127" s="365">
        <v>204</v>
      </c>
      <c r="U127" s="363">
        <v>6357</v>
      </c>
      <c r="V127" s="363">
        <v>4222</v>
      </c>
      <c r="W127" s="363">
        <v>10579</v>
      </c>
    </row>
    <row r="128" spans="2:23" hidden="1" outlineLevel="1" x14ac:dyDescent="0.25">
      <c r="B128" s="362">
        <v>42614</v>
      </c>
      <c r="C128" s="365"/>
      <c r="D128" s="365"/>
      <c r="E128" s="365"/>
      <c r="F128" s="365"/>
      <c r="G128" s="365"/>
      <c r="H128" s="365"/>
      <c r="I128" s="365">
        <v>1670</v>
      </c>
      <c r="J128" s="365">
        <v>584</v>
      </c>
      <c r="K128" s="365">
        <v>2254</v>
      </c>
      <c r="L128" s="365">
        <v>625</v>
      </c>
      <c r="M128" s="365">
        <v>424</v>
      </c>
      <c r="N128" s="365">
        <v>1049</v>
      </c>
      <c r="O128" s="365">
        <v>3573</v>
      </c>
      <c r="P128" s="365">
        <v>2597</v>
      </c>
      <c r="Q128" s="365">
        <v>6170</v>
      </c>
      <c r="R128" s="365">
        <v>91</v>
      </c>
      <c r="S128" s="365">
        <v>97</v>
      </c>
      <c r="T128" s="365">
        <v>188</v>
      </c>
      <c r="U128" s="363">
        <v>5959</v>
      </c>
      <c r="V128" s="363">
        <v>3702</v>
      </c>
      <c r="W128" s="363">
        <v>9661</v>
      </c>
    </row>
    <row r="129" spans="2:23" hidden="1" outlineLevel="1" x14ac:dyDescent="0.25">
      <c r="B129" s="362">
        <v>42644</v>
      </c>
      <c r="C129" s="365"/>
      <c r="D129" s="365"/>
      <c r="E129" s="365"/>
      <c r="F129" s="365"/>
      <c r="G129" s="365"/>
      <c r="H129" s="365"/>
      <c r="I129" s="365">
        <v>1395</v>
      </c>
      <c r="J129" s="365">
        <v>500</v>
      </c>
      <c r="K129" s="365">
        <v>1895</v>
      </c>
      <c r="L129" s="365">
        <v>548</v>
      </c>
      <c r="M129" s="365">
        <v>361</v>
      </c>
      <c r="N129" s="365">
        <v>909</v>
      </c>
      <c r="O129" s="365">
        <v>3029</v>
      </c>
      <c r="P129" s="365">
        <v>2324</v>
      </c>
      <c r="Q129" s="365">
        <v>5353</v>
      </c>
      <c r="R129" s="365">
        <v>92</v>
      </c>
      <c r="S129" s="365">
        <v>101</v>
      </c>
      <c r="T129" s="365">
        <v>193</v>
      </c>
      <c r="U129" s="363">
        <v>5064</v>
      </c>
      <c r="V129" s="363">
        <v>3286</v>
      </c>
      <c r="W129" s="363">
        <v>8350</v>
      </c>
    </row>
    <row r="130" spans="2:23" hidden="1" outlineLevel="1" x14ac:dyDescent="0.25">
      <c r="B130" s="362">
        <v>42675</v>
      </c>
      <c r="C130" s="365"/>
      <c r="D130" s="365"/>
      <c r="E130" s="365"/>
      <c r="F130" s="365"/>
      <c r="G130" s="365"/>
      <c r="H130" s="365"/>
      <c r="I130" s="365">
        <v>1566</v>
      </c>
      <c r="J130" s="365">
        <v>489</v>
      </c>
      <c r="K130" s="365">
        <v>2055</v>
      </c>
      <c r="L130" s="365">
        <v>504</v>
      </c>
      <c r="M130" s="365">
        <v>354</v>
      </c>
      <c r="N130" s="365">
        <v>858</v>
      </c>
      <c r="O130" s="365">
        <v>3181</v>
      </c>
      <c r="P130" s="365">
        <v>2313</v>
      </c>
      <c r="Q130" s="365">
        <v>5494</v>
      </c>
      <c r="R130" s="365">
        <v>104</v>
      </c>
      <c r="S130" s="365">
        <v>95</v>
      </c>
      <c r="T130" s="365">
        <v>199</v>
      </c>
      <c r="U130" s="363">
        <v>5355</v>
      </c>
      <c r="V130" s="363">
        <v>3251</v>
      </c>
      <c r="W130" s="363">
        <v>8606</v>
      </c>
    </row>
    <row r="131" spans="2:23" hidden="1" outlineLevel="1" x14ac:dyDescent="0.25">
      <c r="B131" s="362">
        <v>42705</v>
      </c>
      <c r="C131" s="365"/>
      <c r="D131" s="365"/>
      <c r="E131" s="365"/>
      <c r="F131" s="365"/>
      <c r="G131" s="365"/>
      <c r="H131" s="365"/>
      <c r="I131" s="365">
        <v>1516</v>
      </c>
      <c r="J131" s="365">
        <v>513</v>
      </c>
      <c r="K131" s="365">
        <v>2029</v>
      </c>
      <c r="L131" s="365">
        <v>599</v>
      </c>
      <c r="M131" s="365">
        <v>380</v>
      </c>
      <c r="N131" s="365">
        <v>979</v>
      </c>
      <c r="O131" s="365">
        <v>2967</v>
      </c>
      <c r="P131" s="365">
        <v>2185</v>
      </c>
      <c r="Q131" s="365">
        <v>5152</v>
      </c>
      <c r="R131" s="365">
        <v>97</v>
      </c>
      <c r="S131" s="365">
        <v>111</v>
      </c>
      <c r="T131" s="365">
        <v>208</v>
      </c>
      <c r="U131" s="363">
        <v>5179</v>
      </c>
      <c r="V131" s="363">
        <v>3189</v>
      </c>
      <c r="W131" s="363">
        <v>8368</v>
      </c>
    </row>
    <row r="132" spans="2:23" collapsed="1" x14ac:dyDescent="0.25">
      <c r="B132" s="364" t="s">
        <v>707</v>
      </c>
      <c r="C132" s="363" t="s">
        <v>804</v>
      </c>
      <c r="D132" s="363" t="s">
        <v>804</v>
      </c>
      <c r="E132" s="363" t="s">
        <v>804</v>
      </c>
      <c r="F132" s="363" t="s">
        <v>804</v>
      </c>
      <c r="G132" s="363" t="s">
        <v>804</v>
      </c>
      <c r="H132" s="363" t="s">
        <v>804</v>
      </c>
      <c r="I132" s="363">
        <v>1547</v>
      </c>
      <c r="J132" s="363">
        <v>533</v>
      </c>
      <c r="K132" s="363">
        <v>2080</v>
      </c>
      <c r="L132" s="363">
        <v>598</v>
      </c>
      <c r="M132" s="363">
        <v>386</v>
      </c>
      <c r="N132" s="363">
        <v>984</v>
      </c>
      <c r="O132" s="363">
        <v>3144</v>
      </c>
      <c r="P132" s="363">
        <v>2507</v>
      </c>
      <c r="Q132" s="363">
        <v>5651</v>
      </c>
      <c r="R132" s="363">
        <v>93</v>
      </c>
      <c r="S132" s="363">
        <v>92</v>
      </c>
      <c r="T132" s="363">
        <v>185</v>
      </c>
      <c r="U132" s="363">
        <v>5382</v>
      </c>
      <c r="V132" s="363">
        <v>3518</v>
      </c>
      <c r="W132" s="363">
        <v>8900</v>
      </c>
    </row>
    <row r="133" spans="2:23" hidden="1" outlineLevel="1" x14ac:dyDescent="0.25">
      <c r="B133" s="362">
        <v>42736</v>
      </c>
      <c r="C133" s="365"/>
      <c r="D133" s="365"/>
      <c r="E133" s="365"/>
      <c r="F133" s="365"/>
      <c r="G133" s="365"/>
      <c r="H133" s="365"/>
      <c r="I133" s="365">
        <v>1982</v>
      </c>
      <c r="J133" s="365">
        <v>666</v>
      </c>
      <c r="K133" s="365">
        <v>2648</v>
      </c>
      <c r="L133" s="365">
        <v>586</v>
      </c>
      <c r="M133" s="365">
        <v>410</v>
      </c>
      <c r="N133" s="365">
        <v>996</v>
      </c>
      <c r="O133" s="365">
        <v>3552</v>
      </c>
      <c r="P133" s="365">
        <v>2778</v>
      </c>
      <c r="Q133" s="365">
        <v>6330</v>
      </c>
      <c r="R133" s="365">
        <v>119</v>
      </c>
      <c r="S133" s="365">
        <v>106</v>
      </c>
      <c r="T133" s="365">
        <v>225</v>
      </c>
      <c r="U133" s="363">
        <v>6239</v>
      </c>
      <c r="V133" s="363">
        <v>3960</v>
      </c>
      <c r="W133" s="363">
        <v>10199</v>
      </c>
    </row>
    <row r="134" spans="2:23" hidden="1" outlineLevel="1" x14ac:dyDescent="0.25">
      <c r="B134" s="362">
        <v>42767</v>
      </c>
      <c r="C134" s="365"/>
      <c r="D134" s="365"/>
      <c r="E134" s="365"/>
      <c r="F134" s="365"/>
      <c r="G134" s="365"/>
      <c r="H134" s="365"/>
      <c r="I134" s="365">
        <v>1418</v>
      </c>
      <c r="J134" s="365">
        <v>503</v>
      </c>
      <c r="K134" s="365">
        <v>1921</v>
      </c>
      <c r="L134" s="365">
        <v>544</v>
      </c>
      <c r="M134" s="365">
        <v>366</v>
      </c>
      <c r="N134" s="365">
        <v>910</v>
      </c>
      <c r="O134" s="365">
        <v>3161</v>
      </c>
      <c r="P134" s="365">
        <v>2524</v>
      </c>
      <c r="Q134" s="365">
        <v>5685</v>
      </c>
      <c r="R134" s="365">
        <v>89</v>
      </c>
      <c r="S134" s="365">
        <v>95</v>
      </c>
      <c r="T134" s="365">
        <v>184</v>
      </c>
      <c r="U134" s="363">
        <v>5212</v>
      </c>
      <c r="V134" s="363">
        <v>3488</v>
      </c>
      <c r="W134" s="363">
        <v>8700</v>
      </c>
    </row>
    <row r="135" spans="2:23" hidden="1" outlineLevel="1" x14ac:dyDescent="0.25">
      <c r="B135" s="362">
        <v>42795</v>
      </c>
      <c r="C135" s="365"/>
      <c r="D135" s="365"/>
      <c r="E135" s="365"/>
      <c r="F135" s="365"/>
      <c r="G135" s="365"/>
      <c r="H135" s="365"/>
      <c r="I135" s="365">
        <v>1301</v>
      </c>
      <c r="J135" s="365">
        <v>481</v>
      </c>
      <c r="K135" s="365">
        <v>1782</v>
      </c>
      <c r="L135" s="365">
        <v>708</v>
      </c>
      <c r="M135" s="365">
        <v>436</v>
      </c>
      <c r="N135" s="365">
        <v>1144</v>
      </c>
      <c r="O135" s="365">
        <v>3761</v>
      </c>
      <c r="P135" s="365">
        <v>3205</v>
      </c>
      <c r="Q135" s="365">
        <v>6966</v>
      </c>
      <c r="R135" s="365">
        <v>99</v>
      </c>
      <c r="S135" s="365">
        <v>96</v>
      </c>
      <c r="T135" s="365">
        <v>195</v>
      </c>
      <c r="U135" s="363">
        <v>5869</v>
      </c>
      <c r="V135" s="363">
        <v>4218</v>
      </c>
      <c r="W135" s="363">
        <v>10087</v>
      </c>
    </row>
    <row r="136" spans="2:23" hidden="1" outlineLevel="1" x14ac:dyDescent="0.25">
      <c r="B136" s="362">
        <v>42826</v>
      </c>
      <c r="C136" s="365"/>
      <c r="D136" s="365"/>
      <c r="E136" s="365"/>
      <c r="F136" s="365"/>
      <c r="G136" s="365"/>
      <c r="H136" s="365"/>
      <c r="I136" s="365">
        <v>1398</v>
      </c>
      <c r="J136" s="365">
        <v>483</v>
      </c>
      <c r="K136" s="365">
        <v>1881</v>
      </c>
      <c r="L136" s="365">
        <v>571</v>
      </c>
      <c r="M136" s="365">
        <v>362</v>
      </c>
      <c r="N136" s="365">
        <v>933</v>
      </c>
      <c r="O136" s="365">
        <v>3006</v>
      </c>
      <c r="P136" s="365">
        <v>2517</v>
      </c>
      <c r="Q136" s="365">
        <v>5523</v>
      </c>
      <c r="R136" s="365">
        <v>94</v>
      </c>
      <c r="S136" s="365">
        <v>98</v>
      </c>
      <c r="T136" s="365">
        <v>192</v>
      </c>
      <c r="U136" s="363">
        <v>5069</v>
      </c>
      <c r="V136" s="363">
        <v>3460</v>
      </c>
      <c r="W136" s="363">
        <v>8529</v>
      </c>
    </row>
    <row r="137" spans="2:23" hidden="1" outlineLevel="1" x14ac:dyDescent="0.25">
      <c r="B137" s="362">
        <v>42856</v>
      </c>
      <c r="C137" s="365"/>
      <c r="D137" s="365"/>
      <c r="E137" s="365"/>
      <c r="F137" s="365"/>
      <c r="G137" s="365"/>
      <c r="H137" s="365"/>
      <c r="I137" s="365">
        <v>1666</v>
      </c>
      <c r="J137" s="365">
        <v>565</v>
      </c>
      <c r="K137" s="365">
        <v>2231</v>
      </c>
      <c r="L137" s="365">
        <v>621</v>
      </c>
      <c r="M137" s="365">
        <v>364</v>
      </c>
      <c r="N137" s="365">
        <v>985</v>
      </c>
      <c r="O137" s="365">
        <v>3774</v>
      </c>
      <c r="P137" s="365">
        <v>4029</v>
      </c>
      <c r="Q137" s="365">
        <v>7803</v>
      </c>
      <c r="R137" s="365">
        <v>101</v>
      </c>
      <c r="S137" s="365">
        <v>132</v>
      </c>
      <c r="T137" s="365">
        <v>233</v>
      </c>
      <c r="U137" s="363">
        <v>6162</v>
      </c>
      <c r="V137" s="363">
        <v>5090</v>
      </c>
      <c r="W137" s="363">
        <v>11252</v>
      </c>
    </row>
    <row r="138" spans="2:23" hidden="1" outlineLevel="1" x14ac:dyDescent="0.25">
      <c r="B138" s="362">
        <v>42887</v>
      </c>
      <c r="C138" s="365"/>
      <c r="D138" s="365"/>
      <c r="E138" s="365"/>
      <c r="F138" s="365"/>
      <c r="G138" s="365"/>
      <c r="H138" s="365"/>
      <c r="I138" s="365">
        <v>1485</v>
      </c>
      <c r="J138" s="365">
        <v>512</v>
      </c>
      <c r="K138" s="365">
        <v>1997</v>
      </c>
      <c r="L138" s="365">
        <v>526</v>
      </c>
      <c r="M138" s="365">
        <v>388</v>
      </c>
      <c r="N138" s="365">
        <v>914</v>
      </c>
      <c r="O138" s="365">
        <v>3208</v>
      </c>
      <c r="P138" s="365">
        <v>2915</v>
      </c>
      <c r="Q138" s="365">
        <v>6123</v>
      </c>
      <c r="R138" s="365">
        <v>83</v>
      </c>
      <c r="S138" s="365">
        <v>109</v>
      </c>
      <c r="T138" s="365">
        <v>192</v>
      </c>
      <c r="U138" s="363">
        <v>5302</v>
      </c>
      <c r="V138" s="363">
        <v>3924</v>
      </c>
      <c r="W138" s="363">
        <v>9226</v>
      </c>
    </row>
    <row r="139" spans="2:23" hidden="1" outlineLevel="1" x14ac:dyDescent="0.25">
      <c r="B139" s="362">
        <v>42917</v>
      </c>
      <c r="C139" s="365"/>
      <c r="D139" s="365"/>
      <c r="E139" s="365"/>
      <c r="F139" s="365"/>
      <c r="G139" s="365"/>
      <c r="H139" s="365"/>
      <c r="I139" s="365">
        <v>1637</v>
      </c>
      <c r="J139" s="365">
        <v>616</v>
      </c>
      <c r="K139" s="365">
        <v>2253</v>
      </c>
      <c r="L139" s="365">
        <v>638</v>
      </c>
      <c r="M139" s="365">
        <v>408</v>
      </c>
      <c r="N139" s="365">
        <v>1046</v>
      </c>
      <c r="O139" s="365">
        <v>4109</v>
      </c>
      <c r="P139" s="365">
        <v>3391</v>
      </c>
      <c r="Q139" s="365">
        <v>7500</v>
      </c>
      <c r="R139" s="365">
        <v>144</v>
      </c>
      <c r="S139" s="365">
        <v>114</v>
      </c>
      <c r="T139" s="365">
        <v>258</v>
      </c>
      <c r="U139" s="363">
        <v>6528</v>
      </c>
      <c r="V139" s="363">
        <v>4529</v>
      </c>
      <c r="W139" s="363">
        <v>11057</v>
      </c>
    </row>
    <row r="140" spans="2:23" hidden="1" outlineLevel="1" x14ac:dyDescent="0.25">
      <c r="B140" s="362">
        <v>42948</v>
      </c>
      <c r="C140" s="365"/>
      <c r="D140" s="365"/>
      <c r="E140" s="365"/>
      <c r="F140" s="365"/>
      <c r="G140" s="365"/>
      <c r="H140" s="365"/>
      <c r="I140" s="365">
        <v>1753</v>
      </c>
      <c r="J140" s="365">
        <v>602</v>
      </c>
      <c r="K140" s="365">
        <v>2355</v>
      </c>
      <c r="L140" s="365">
        <v>692</v>
      </c>
      <c r="M140" s="365">
        <v>408</v>
      </c>
      <c r="N140" s="365">
        <v>1100</v>
      </c>
      <c r="O140" s="365">
        <v>4217</v>
      </c>
      <c r="P140" s="365">
        <v>3463</v>
      </c>
      <c r="Q140" s="365">
        <v>7680</v>
      </c>
      <c r="R140" s="365">
        <v>126</v>
      </c>
      <c r="S140" s="365">
        <v>147</v>
      </c>
      <c r="T140" s="365">
        <v>273</v>
      </c>
      <c r="U140" s="363">
        <v>6788</v>
      </c>
      <c r="V140" s="363">
        <v>4620</v>
      </c>
      <c r="W140" s="363">
        <v>11408</v>
      </c>
    </row>
    <row r="141" spans="2:23" hidden="1" outlineLevel="1" x14ac:dyDescent="0.25">
      <c r="B141" s="362">
        <v>42979</v>
      </c>
      <c r="C141" s="365"/>
      <c r="D141" s="365"/>
      <c r="E141" s="365"/>
      <c r="F141" s="365"/>
      <c r="G141" s="365"/>
      <c r="H141" s="365"/>
      <c r="I141" s="365">
        <v>1620</v>
      </c>
      <c r="J141" s="365">
        <v>571</v>
      </c>
      <c r="K141" s="365">
        <v>2191</v>
      </c>
      <c r="L141" s="365">
        <v>544</v>
      </c>
      <c r="M141" s="365">
        <v>365</v>
      </c>
      <c r="N141" s="365">
        <v>909</v>
      </c>
      <c r="O141" s="365">
        <v>3488</v>
      </c>
      <c r="P141" s="365">
        <v>2945</v>
      </c>
      <c r="Q141" s="365">
        <v>6433</v>
      </c>
      <c r="R141" s="365">
        <v>119</v>
      </c>
      <c r="S141" s="365">
        <v>117</v>
      </c>
      <c r="T141" s="365">
        <v>236</v>
      </c>
      <c r="U141" s="363">
        <v>5771</v>
      </c>
      <c r="V141" s="363">
        <v>3998</v>
      </c>
      <c r="W141" s="363">
        <v>9769</v>
      </c>
    </row>
    <row r="142" spans="2:23" hidden="1" outlineLevel="1" x14ac:dyDescent="0.25">
      <c r="B142" s="362">
        <v>43009</v>
      </c>
      <c r="C142" s="365"/>
      <c r="D142" s="365"/>
      <c r="E142" s="365"/>
      <c r="F142" s="365"/>
      <c r="G142" s="365"/>
      <c r="H142" s="365"/>
      <c r="I142" s="365">
        <v>1861</v>
      </c>
      <c r="J142" s="365">
        <v>582</v>
      </c>
      <c r="K142" s="365">
        <v>2443</v>
      </c>
      <c r="L142" s="365">
        <v>583</v>
      </c>
      <c r="M142" s="365">
        <v>401</v>
      </c>
      <c r="N142" s="365">
        <v>984</v>
      </c>
      <c r="O142" s="365">
        <v>4268</v>
      </c>
      <c r="P142" s="365">
        <v>3504</v>
      </c>
      <c r="Q142" s="365">
        <v>7772</v>
      </c>
      <c r="R142" s="365">
        <v>139</v>
      </c>
      <c r="S142" s="365">
        <v>135</v>
      </c>
      <c r="T142" s="365">
        <v>274</v>
      </c>
      <c r="U142" s="363">
        <v>6851</v>
      </c>
      <c r="V142" s="363">
        <v>4622</v>
      </c>
      <c r="W142" s="363">
        <v>11473</v>
      </c>
    </row>
    <row r="143" spans="2:23" hidden="1" outlineLevel="1" x14ac:dyDescent="0.25">
      <c r="B143" s="362">
        <v>43040</v>
      </c>
      <c r="C143" s="365"/>
      <c r="D143" s="365"/>
      <c r="E143" s="365"/>
      <c r="F143" s="365"/>
      <c r="G143" s="365"/>
      <c r="H143" s="365"/>
      <c r="I143" s="365">
        <v>1686</v>
      </c>
      <c r="J143" s="365">
        <v>552</v>
      </c>
      <c r="K143" s="365">
        <v>2238</v>
      </c>
      <c r="L143" s="365">
        <v>681</v>
      </c>
      <c r="M143" s="365">
        <v>426</v>
      </c>
      <c r="N143" s="365">
        <v>1107</v>
      </c>
      <c r="O143" s="365">
        <v>4011</v>
      </c>
      <c r="P143" s="365">
        <v>3278</v>
      </c>
      <c r="Q143" s="365">
        <v>7289</v>
      </c>
      <c r="R143" s="365">
        <v>128</v>
      </c>
      <c r="S143" s="365">
        <v>160</v>
      </c>
      <c r="T143" s="365">
        <v>288</v>
      </c>
      <c r="U143" s="363">
        <v>6506</v>
      </c>
      <c r="V143" s="363">
        <v>4416</v>
      </c>
      <c r="W143" s="363">
        <v>10922</v>
      </c>
    </row>
    <row r="144" spans="2:23" hidden="1" outlineLevel="1" x14ac:dyDescent="0.25">
      <c r="B144" s="362">
        <v>43070</v>
      </c>
      <c r="C144" s="365"/>
      <c r="D144" s="365"/>
      <c r="E144" s="365"/>
      <c r="F144" s="365"/>
      <c r="G144" s="365"/>
      <c r="H144" s="365"/>
      <c r="I144" s="365">
        <v>1604</v>
      </c>
      <c r="J144" s="365">
        <v>572</v>
      </c>
      <c r="K144" s="365">
        <v>2176</v>
      </c>
      <c r="L144" s="365">
        <v>555</v>
      </c>
      <c r="M144" s="365">
        <v>327</v>
      </c>
      <c r="N144" s="365">
        <v>882</v>
      </c>
      <c r="O144" s="365">
        <v>3720</v>
      </c>
      <c r="P144" s="365">
        <v>3362</v>
      </c>
      <c r="Q144" s="365">
        <v>7082</v>
      </c>
      <c r="R144" s="365">
        <v>121</v>
      </c>
      <c r="S144" s="365">
        <v>131</v>
      </c>
      <c r="T144" s="365">
        <v>252</v>
      </c>
      <c r="U144" s="363">
        <v>6000</v>
      </c>
      <c r="V144" s="363">
        <v>4392</v>
      </c>
      <c r="W144" s="363">
        <v>10392</v>
      </c>
    </row>
    <row r="145" spans="2:23" collapsed="1" x14ac:dyDescent="0.25">
      <c r="B145" s="364" t="s">
        <v>708</v>
      </c>
      <c r="C145" s="363" t="s">
        <v>804</v>
      </c>
      <c r="D145" s="363" t="s">
        <v>804</v>
      </c>
      <c r="E145" s="363" t="s">
        <v>804</v>
      </c>
      <c r="F145" s="363" t="s">
        <v>804</v>
      </c>
      <c r="G145" s="363" t="s">
        <v>804</v>
      </c>
      <c r="H145" s="363" t="s">
        <v>804</v>
      </c>
      <c r="I145" s="363">
        <v>1618</v>
      </c>
      <c r="J145" s="363">
        <v>559</v>
      </c>
      <c r="K145" s="363">
        <v>2176</v>
      </c>
      <c r="L145" s="363">
        <v>604</v>
      </c>
      <c r="M145" s="363">
        <v>388</v>
      </c>
      <c r="N145" s="363">
        <v>993</v>
      </c>
      <c r="O145" s="363">
        <v>3690</v>
      </c>
      <c r="P145" s="363">
        <v>3159</v>
      </c>
      <c r="Q145" s="363">
        <v>6849</v>
      </c>
      <c r="R145" s="363">
        <v>114</v>
      </c>
      <c r="S145" s="363">
        <v>120</v>
      </c>
      <c r="T145" s="363">
        <v>234</v>
      </c>
      <c r="U145" s="363">
        <v>6025</v>
      </c>
      <c r="V145" s="363">
        <v>4226</v>
      </c>
      <c r="W145" s="363">
        <v>10251</v>
      </c>
    </row>
    <row r="146" spans="2:23" hidden="1" outlineLevel="1" x14ac:dyDescent="0.25">
      <c r="B146" s="362">
        <v>43101</v>
      </c>
      <c r="C146" s="365"/>
      <c r="D146" s="365"/>
      <c r="E146" s="365"/>
      <c r="F146" s="365"/>
      <c r="G146" s="365"/>
      <c r="H146" s="365"/>
      <c r="I146" s="365">
        <v>1864</v>
      </c>
      <c r="J146" s="365">
        <v>602</v>
      </c>
      <c r="K146" s="365">
        <v>2466</v>
      </c>
      <c r="L146" s="365">
        <v>568</v>
      </c>
      <c r="M146" s="365">
        <v>379</v>
      </c>
      <c r="N146" s="365">
        <v>947</v>
      </c>
      <c r="O146" s="365">
        <v>5739</v>
      </c>
      <c r="P146" s="365">
        <v>4471</v>
      </c>
      <c r="Q146" s="365">
        <v>10210</v>
      </c>
      <c r="R146" s="365">
        <v>183</v>
      </c>
      <c r="S146" s="365">
        <v>179</v>
      </c>
      <c r="T146" s="365">
        <v>362</v>
      </c>
      <c r="U146" s="363">
        <v>8354</v>
      </c>
      <c r="V146" s="363">
        <v>5631</v>
      </c>
      <c r="W146" s="363">
        <v>13985</v>
      </c>
    </row>
    <row r="147" spans="2:23" hidden="1" outlineLevel="1" x14ac:dyDescent="0.25">
      <c r="B147" s="362">
        <v>43132</v>
      </c>
      <c r="C147" s="365"/>
      <c r="D147" s="365"/>
      <c r="E147" s="365"/>
      <c r="F147" s="365"/>
      <c r="G147" s="365"/>
      <c r="H147" s="365"/>
      <c r="I147" s="365">
        <v>1558</v>
      </c>
      <c r="J147" s="365">
        <v>545</v>
      </c>
      <c r="K147" s="365">
        <v>2103</v>
      </c>
      <c r="L147" s="365">
        <v>434</v>
      </c>
      <c r="M147" s="365">
        <v>300</v>
      </c>
      <c r="N147" s="365">
        <v>734</v>
      </c>
      <c r="O147" s="365">
        <v>5959</v>
      </c>
      <c r="P147" s="365">
        <v>4201</v>
      </c>
      <c r="Q147" s="365">
        <v>10160</v>
      </c>
      <c r="R147" s="365">
        <v>377</v>
      </c>
      <c r="S147" s="365">
        <v>334</v>
      </c>
      <c r="T147" s="365">
        <v>711</v>
      </c>
      <c r="U147" s="363">
        <v>8328</v>
      </c>
      <c r="V147" s="363">
        <v>5380</v>
      </c>
      <c r="W147" s="363">
        <v>13708</v>
      </c>
    </row>
    <row r="148" spans="2:23" hidden="1" outlineLevel="1" x14ac:dyDescent="0.25">
      <c r="B148" s="362">
        <v>43160</v>
      </c>
      <c r="C148" s="365"/>
      <c r="D148" s="365"/>
      <c r="E148" s="365"/>
      <c r="F148" s="365"/>
      <c r="G148" s="365"/>
      <c r="H148" s="365"/>
      <c r="I148" s="365">
        <v>1716</v>
      </c>
      <c r="J148" s="365">
        <v>615</v>
      </c>
      <c r="K148" s="365">
        <v>2331</v>
      </c>
      <c r="L148" s="365">
        <v>589</v>
      </c>
      <c r="M148" s="365">
        <v>345</v>
      </c>
      <c r="N148" s="365">
        <v>934</v>
      </c>
      <c r="O148" s="365">
        <v>5221</v>
      </c>
      <c r="P148" s="365">
        <v>4220</v>
      </c>
      <c r="Q148" s="365">
        <v>9441</v>
      </c>
      <c r="R148" s="365">
        <v>443</v>
      </c>
      <c r="S148" s="365">
        <v>448</v>
      </c>
      <c r="T148" s="365">
        <v>891</v>
      </c>
      <c r="U148" s="363">
        <v>7969</v>
      </c>
      <c r="V148" s="363">
        <v>5628</v>
      </c>
      <c r="W148" s="363">
        <v>13597</v>
      </c>
    </row>
    <row r="149" spans="2:23" hidden="1" outlineLevel="1" x14ac:dyDescent="0.25">
      <c r="B149" s="362">
        <v>43191</v>
      </c>
      <c r="C149" s="365"/>
      <c r="D149" s="365"/>
      <c r="E149" s="365"/>
      <c r="F149" s="365"/>
      <c r="G149" s="365"/>
      <c r="H149" s="365"/>
      <c r="I149" s="365">
        <v>1753</v>
      </c>
      <c r="J149" s="365">
        <v>567</v>
      </c>
      <c r="K149" s="365">
        <v>2320</v>
      </c>
      <c r="L149" s="365">
        <v>585</v>
      </c>
      <c r="M149" s="365">
        <v>386</v>
      </c>
      <c r="N149" s="365">
        <v>971</v>
      </c>
      <c r="O149" s="365">
        <v>4664</v>
      </c>
      <c r="P149" s="365">
        <v>4163</v>
      </c>
      <c r="Q149" s="365">
        <v>8827</v>
      </c>
      <c r="R149" s="365">
        <v>404</v>
      </c>
      <c r="S149" s="365">
        <v>394</v>
      </c>
      <c r="T149" s="365">
        <v>798</v>
      </c>
      <c r="U149" s="363">
        <v>7406</v>
      </c>
      <c r="V149" s="363">
        <v>5510</v>
      </c>
      <c r="W149" s="363">
        <v>12916</v>
      </c>
    </row>
    <row r="150" spans="2:23" hidden="1" outlineLevel="1" x14ac:dyDescent="0.25">
      <c r="B150" s="362">
        <v>43221</v>
      </c>
      <c r="C150" s="365"/>
      <c r="D150" s="365"/>
      <c r="E150" s="365"/>
      <c r="F150" s="365"/>
      <c r="G150" s="365"/>
      <c r="H150" s="365"/>
      <c r="I150" s="365">
        <v>1870</v>
      </c>
      <c r="J150" s="365">
        <v>560</v>
      </c>
      <c r="K150" s="365">
        <v>2430</v>
      </c>
      <c r="L150" s="365">
        <v>587</v>
      </c>
      <c r="M150" s="365">
        <v>338</v>
      </c>
      <c r="N150" s="365">
        <v>925</v>
      </c>
      <c r="O150" s="365">
        <v>4982</v>
      </c>
      <c r="P150" s="365">
        <v>5226</v>
      </c>
      <c r="Q150" s="365">
        <v>10208</v>
      </c>
      <c r="R150" s="365">
        <v>237</v>
      </c>
      <c r="S150" s="365">
        <v>285</v>
      </c>
      <c r="T150" s="365">
        <v>522</v>
      </c>
      <c r="U150" s="363">
        <v>7676</v>
      </c>
      <c r="V150" s="363">
        <v>6409</v>
      </c>
      <c r="W150" s="363">
        <v>14085</v>
      </c>
    </row>
    <row r="151" spans="2:23" hidden="1" outlineLevel="1" x14ac:dyDescent="0.25">
      <c r="B151" s="362">
        <v>43252</v>
      </c>
      <c r="C151" s="365"/>
      <c r="D151" s="365"/>
      <c r="E151" s="365"/>
      <c r="F151" s="365"/>
      <c r="G151" s="365"/>
      <c r="H151" s="365"/>
      <c r="I151" s="365">
        <v>1705</v>
      </c>
      <c r="J151" s="365">
        <v>540</v>
      </c>
      <c r="K151" s="365">
        <v>2245</v>
      </c>
      <c r="L151" s="365">
        <v>556</v>
      </c>
      <c r="M151" s="365">
        <v>352</v>
      </c>
      <c r="N151" s="365">
        <v>908</v>
      </c>
      <c r="O151" s="365">
        <v>4633</v>
      </c>
      <c r="P151" s="365">
        <v>4250</v>
      </c>
      <c r="Q151" s="365">
        <v>8883</v>
      </c>
      <c r="R151" s="365">
        <v>215</v>
      </c>
      <c r="S151" s="365">
        <v>276</v>
      </c>
      <c r="T151" s="365">
        <v>491</v>
      </c>
      <c r="U151" s="363">
        <v>7109</v>
      </c>
      <c r="V151" s="363">
        <v>5418</v>
      </c>
      <c r="W151" s="363">
        <v>12527</v>
      </c>
    </row>
    <row r="152" spans="2:23" hidden="1" outlineLevel="1" x14ac:dyDescent="0.25">
      <c r="B152" s="362">
        <v>43282</v>
      </c>
      <c r="C152" s="365"/>
      <c r="D152" s="365"/>
      <c r="E152" s="365"/>
      <c r="F152" s="365"/>
      <c r="G152" s="365"/>
      <c r="H152" s="365"/>
      <c r="I152" s="365">
        <v>1872</v>
      </c>
      <c r="J152" s="365">
        <v>604</v>
      </c>
      <c r="K152" s="365">
        <v>2476</v>
      </c>
      <c r="L152" s="365">
        <v>586</v>
      </c>
      <c r="M152" s="365">
        <v>396</v>
      </c>
      <c r="N152" s="365">
        <v>982</v>
      </c>
      <c r="O152" s="365">
        <v>5007</v>
      </c>
      <c r="P152" s="365">
        <v>4397</v>
      </c>
      <c r="Q152" s="365">
        <v>9404</v>
      </c>
      <c r="R152" s="365">
        <v>210</v>
      </c>
      <c r="S152" s="365">
        <v>235</v>
      </c>
      <c r="T152" s="365">
        <v>445</v>
      </c>
      <c r="U152" s="363">
        <v>7675</v>
      </c>
      <c r="V152" s="363">
        <v>5632</v>
      </c>
      <c r="W152" s="363">
        <v>13307</v>
      </c>
    </row>
    <row r="153" spans="2:23" hidden="1" outlineLevel="1" x14ac:dyDescent="0.25">
      <c r="B153" s="362">
        <v>43313</v>
      </c>
      <c r="C153" s="365"/>
      <c r="D153" s="365"/>
      <c r="E153" s="365"/>
      <c r="F153" s="365"/>
      <c r="G153" s="365"/>
      <c r="H153" s="365"/>
      <c r="I153" s="365">
        <v>2036</v>
      </c>
      <c r="J153" s="365">
        <v>641</v>
      </c>
      <c r="K153" s="365">
        <v>2677</v>
      </c>
      <c r="L153" s="365">
        <v>615</v>
      </c>
      <c r="M153" s="365">
        <v>397</v>
      </c>
      <c r="N153" s="365">
        <v>1012</v>
      </c>
      <c r="O153" s="365">
        <v>5455</v>
      </c>
      <c r="P153" s="365">
        <v>4515</v>
      </c>
      <c r="Q153" s="365">
        <v>9970</v>
      </c>
      <c r="R153" s="365">
        <v>186</v>
      </c>
      <c r="S153" s="365">
        <v>202</v>
      </c>
      <c r="T153" s="365">
        <v>388</v>
      </c>
      <c r="U153" s="363">
        <v>8292</v>
      </c>
      <c r="V153" s="363">
        <v>5755</v>
      </c>
      <c r="W153" s="363">
        <v>14047</v>
      </c>
    </row>
    <row r="154" spans="2:23" hidden="1" outlineLevel="1" x14ac:dyDescent="0.25">
      <c r="B154" s="362">
        <v>43344</v>
      </c>
      <c r="C154" s="365"/>
      <c r="D154" s="365"/>
      <c r="E154" s="365"/>
      <c r="F154" s="365"/>
      <c r="G154" s="365"/>
      <c r="H154" s="365"/>
      <c r="I154" s="365">
        <v>1477</v>
      </c>
      <c r="J154" s="365">
        <v>422</v>
      </c>
      <c r="K154" s="365">
        <v>1899</v>
      </c>
      <c r="L154" s="365">
        <v>531</v>
      </c>
      <c r="M154" s="365">
        <v>301</v>
      </c>
      <c r="N154" s="365">
        <v>832</v>
      </c>
      <c r="O154" s="365">
        <v>4305</v>
      </c>
      <c r="P154" s="365">
        <v>3386</v>
      </c>
      <c r="Q154" s="365">
        <v>7691</v>
      </c>
      <c r="R154" s="365">
        <v>142</v>
      </c>
      <c r="S154" s="365">
        <v>169</v>
      </c>
      <c r="T154" s="365">
        <v>311</v>
      </c>
      <c r="U154" s="363">
        <v>6455</v>
      </c>
      <c r="V154" s="363">
        <v>4278</v>
      </c>
      <c r="W154" s="363">
        <v>10733</v>
      </c>
    </row>
    <row r="155" spans="2:23" hidden="1" outlineLevel="1" x14ac:dyDescent="0.25">
      <c r="B155" s="362">
        <v>43374</v>
      </c>
      <c r="C155" s="365"/>
      <c r="D155" s="365"/>
      <c r="E155" s="365"/>
      <c r="F155" s="365"/>
      <c r="G155" s="365"/>
      <c r="H155" s="365"/>
      <c r="I155" s="365">
        <v>2156</v>
      </c>
      <c r="J155" s="365">
        <v>680</v>
      </c>
      <c r="K155" s="365">
        <v>2836</v>
      </c>
      <c r="L155" s="365">
        <v>605</v>
      </c>
      <c r="M155" s="365">
        <v>356</v>
      </c>
      <c r="N155" s="365">
        <v>961</v>
      </c>
      <c r="O155" s="365">
        <v>5980</v>
      </c>
      <c r="P155" s="365">
        <v>4709</v>
      </c>
      <c r="Q155" s="365">
        <v>10689</v>
      </c>
      <c r="R155" s="365">
        <v>166</v>
      </c>
      <c r="S155" s="365">
        <v>208</v>
      </c>
      <c r="T155" s="365">
        <v>374</v>
      </c>
      <c r="U155" s="363">
        <v>8907</v>
      </c>
      <c r="V155" s="363">
        <v>5953</v>
      </c>
      <c r="W155" s="363">
        <v>14860</v>
      </c>
    </row>
    <row r="156" spans="2:23" hidden="1" outlineLevel="1" x14ac:dyDescent="0.25">
      <c r="B156" s="362">
        <v>43405</v>
      </c>
      <c r="C156" s="365"/>
      <c r="D156" s="365"/>
      <c r="E156" s="365"/>
      <c r="F156" s="365"/>
      <c r="G156" s="365"/>
      <c r="H156" s="365"/>
      <c r="I156" s="365">
        <v>1804</v>
      </c>
      <c r="J156" s="365">
        <v>581</v>
      </c>
      <c r="K156" s="365">
        <v>2385</v>
      </c>
      <c r="L156" s="365">
        <v>498</v>
      </c>
      <c r="M156" s="365">
        <v>377</v>
      </c>
      <c r="N156" s="365">
        <v>875</v>
      </c>
      <c r="O156" s="365">
        <v>4721</v>
      </c>
      <c r="P156" s="365">
        <v>3912</v>
      </c>
      <c r="Q156" s="365">
        <v>8633</v>
      </c>
      <c r="R156" s="365">
        <v>130</v>
      </c>
      <c r="S156" s="365">
        <v>145</v>
      </c>
      <c r="T156" s="365">
        <v>275</v>
      </c>
      <c r="U156" s="363">
        <v>7153</v>
      </c>
      <c r="V156" s="363">
        <v>5015</v>
      </c>
      <c r="W156" s="363">
        <v>12168</v>
      </c>
    </row>
    <row r="157" spans="2:23" hidden="1" outlineLevel="1" x14ac:dyDescent="0.25">
      <c r="B157" s="362">
        <v>43435</v>
      </c>
      <c r="C157" s="365"/>
      <c r="D157" s="365"/>
      <c r="E157" s="365"/>
      <c r="F157" s="365"/>
      <c r="G157" s="365"/>
      <c r="H157" s="365"/>
      <c r="I157" s="365">
        <v>1669</v>
      </c>
      <c r="J157" s="365">
        <v>514</v>
      </c>
      <c r="K157" s="365">
        <v>2183</v>
      </c>
      <c r="L157" s="365">
        <v>531</v>
      </c>
      <c r="M157" s="365">
        <v>378</v>
      </c>
      <c r="N157" s="365">
        <v>909</v>
      </c>
      <c r="O157" s="365">
        <v>4099</v>
      </c>
      <c r="P157" s="365">
        <v>3729</v>
      </c>
      <c r="Q157" s="365">
        <v>7828</v>
      </c>
      <c r="R157" s="365">
        <v>147</v>
      </c>
      <c r="S157" s="365">
        <v>149</v>
      </c>
      <c r="T157" s="365">
        <v>296</v>
      </c>
      <c r="U157" s="363">
        <v>6446</v>
      </c>
      <c r="V157" s="363">
        <v>4770</v>
      </c>
      <c r="W157" s="363">
        <v>11216</v>
      </c>
    </row>
    <row r="158" spans="2:23" collapsed="1" x14ac:dyDescent="0.25">
      <c r="B158" s="364" t="s">
        <v>709</v>
      </c>
      <c r="C158" s="363" t="s">
        <v>804</v>
      </c>
      <c r="D158" s="363" t="s">
        <v>804</v>
      </c>
      <c r="E158" s="363" t="s">
        <v>804</v>
      </c>
      <c r="F158" s="363" t="s">
        <v>804</v>
      </c>
      <c r="G158" s="363" t="s">
        <v>804</v>
      </c>
      <c r="H158" s="363" t="s">
        <v>804</v>
      </c>
      <c r="I158" s="363">
        <v>1790</v>
      </c>
      <c r="J158" s="363">
        <v>573</v>
      </c>
      <c r="K158" s="363">
        <v>2363</v>
      </c>
      <c r="L158" s="363">
        <v>557</v>
      </c>
      <c r="M158" s="363">
        <v>359</v>
      </c>
      <c r="N158" s="363">
        <v>916</v>
      </c>
      <c r="O158" s="363">
        <v>5064</v>
      </c>
      <c r="P158" s="363">
        <v>4265</v>
      </c>
      <c r="Q158" s="363">
        <v>9329</v>
      </c>
      <c r="R158" s="363">
        <v>237</v>
      </c>
      <c r="S158" s="363">
        <v>252</v>
      </c>
      <c r="T158" s="363">
        <v>489</v>
      </c>
      <c r="U158" s="363">
        <v>7648</v>
      </c>
      <c r="V158" s="363">
        <v>5448</v>
      </c>
      <c r="W158" s="363">
        <v>13096</v>
      </c>
    </row>
    <row r="159" spans="2:23" hidden="1" outlineLevel="1" x14ac:dyDescent="0.25">
      <c r="B159" s="362">
        <v>43466</v>
      </c>
      <c r="C159" s="365"/>
      <c r="D159" s="365"/>
      <c r="E159" s="365"/>
      <c r="F159" s="365"/>
      <c r="G159" s="365"/>
      <c r="H159" s="365"/>
      <c r="I159" s="365">
        <v>1881</v>
      </c>
      <c r="J159" s="365">
        <v>606</v>
      </c>
      <c r="K159" s="365">
        <v>2487</v>
      </c>
      <c r="L159" s="365">
        <v>573</v>
      </c>
      <c r="M159" s="365">
        <v>381</v>
      </c>
      <c r="N159" s="365">
        <v>954</v>
      </c>
      <c r="O159" s="365">
        <v>4979</v>
      </c>
      <c r="P159" s="365">
        <v>4286</v>
      </c>
      <c r="Q159" s="365">
        <v>9265</v>
      </c>
      <c r="R159" s="365">
        <v>246</v>
      </c>
      <c r="S159" s="365">
        <v>272</v>
      </c>
      <c r="T159" s="365">
        <v>518</v>
      </c>
      <c r="U159" s="363">
        <v>7679</v>
      </c>
      <c r="V159" s="363">
        <v>5545</v>
      </c>
      <c r="W159" s="363">
        <v>13224</v>
      </c>
    </row>
    <row r="160" spans="2:23" hidden="1" outlineLevel="1" x14ac:dyDescent="0.25">
      <c r="B160" s="362">
        <v>43497</v>
      </c>
      <c r="C160" s="365"/>
      <c r="D160" s="365"/>
      <c r="E160" s="365"/>
      <c r="F160" s="365"/>
      <c r="G160" s="365"/>
      <c r="H160" s="365"/>
      <c r="I160" s="365">
        <v>1474</v>
      </c>
      <c r="J160" s="365">
        <v>488</v>
      </c>
      <c r="K160" s="365">
        <v>1962</v>
      </c>
      <c r="L160" s="365">
        <v>499</v>
      </c>
      <c r="M160" s="365">
        <v>344</v>
      </c>
      <c r="N160" s="365">
        <v>843</v>
      </c>
      <c r="O160" s="365">
        <v>4129</v>
      </c>
      <c r="P160" s="365">
        <v>3658</v>
      </c>
      <c r="Q160" s="365">
        <v>7787</v>
      </c>
      <c r="R160" s="365">
        <v>348</v>
      </c>
      <c r="S160" s="365">
        <v>298</v>
      </c>
      <c r="T160" s="365">
        <v>646</v>
      </c>
      <c r="U160" s="363">
        <v>6450</v>
      </c>
      <c r="V160" s="363">
        <v>4788</v>
      </c>
      <c r="W160" s="363">
        <v>11238</v>
      </c>
    </row>
    <row r="161" spans="2:23" hidden="1" outlineLevel="1" x14ac:dyDescent="0.25">
      <c r="B161" s="362">
        <v>43525</v>
      </c>
      <c r="C161" s="365"/>
      <c r="D161" s="365"/>
      <c r="E161" s="365"/>
      <c r="F161" s="365"/>
      <c r="G161" s="365"/>
      <c r="H161" s="365"/>
      <c r="I161" s="365">
        <v>1653</v>
      </c>
      <c r="J161" s="365">
        <v>571</v>
      </c>
      <c r="K161" s="365">
        <v>2224</v>
      </c>
      <c r="L161" s="365">
        <v>597</v>
      </c>
      <c r="M161" s="365">
        <v>367</v>
      </c>
      <c r="N161" s="365">
        <v>964</v>
      </c>
      <c r="O161" s="365">
        <v>4515</v>
      </c>
      <c r="P161" s="365">
        <v>3964</v>
      </c>
      <c r="Q161" s="365">
        <v>8479</v>
      </c>
      <c r="R161" s="365">
        <v>302</v>
      </c>
      <c r="S161" s="365">
        <v>297</v>
      </c>
      <c r="T161" s="365">
        <v>599</v>
      </c>
      <c r="U161" s="363">
        <v>7067</v>
      </c>
      <c r="V161" s="363">
        <v>5199</v>
      </c>
      <c r="W161" s="363">
        <v>12266</v>
      </c>
    </row>
    <row r="162" spans="2:23" hidden="1" outlineLevel="1" x14ac:dyDescent="0.25">
      <c r="B162" s="362">
        <v>43556</v>
      </c>
      <c r="C162" s="365"/>
      <c r="D162" s="365"/>
      <c r="E162" s="365"/>
      <c r="F162" s="365"/>
      <c r="G162" s="365"/>
      <c r="H162" s="365"/>
      <c r="I162" s="365">
        <v>1589</v>
      </c>
      <c r="J162" s="365">
        <v>545</v>
      </c>
      <c r="K162" s="365">
        <v>2134</v>
      </c>
      <c r="L162" s="365">
        <v>637</v>
      </c>
      <c r="M162" s="365">
        <v>352</v>
      </c>
      <c r="N162" s="365">
        <v>989</v>
      </c>
      <c r="O162" s="365">
        <v>4369</v>
      </c>
      <c r="P162" s="365">
        <v>3936</v>
      </c>
      <c r="Q162" s="365">
        <v>8305</v>
      </c>
      <c r="R162" s="365">
        <v>252</v>
      </c>
      <c r="S162" s="365">
        <v>287</v>
      </c>
      <c r="T162" s="365">
        <v>539</v>
      </c>
      <c r="U162" s="363">
        <v>6847</v>
      </c>
      <c r="V162" s="363">
        <v>5120</v>
      </c>
      <c r="W162" s="363">
        <v>11967</v>
      </c>
    </row>
    <row r="163" spans="2:23" hidden="1" outlineLevel="1" x14ac:dyDescent="0.25">
      <c r="B163" s="362">
        <v>43586</v>
      </c>
      <c r="C163" s="365"/>
      <c r="D163" s="365"/>
      <c r="E163" s="365"/>
      <c r="F163" s="365"/>
      <c r="G163" s="365"/>
      <c r="H163" s="365"/>
      <c r="I163" s="365">
        <v>1643</v>
      </c>
      <c r="J163" s="365">
        <v>553</v>
      </c>
      <c r="K163" s="365">
        <v>2196</v>
      </c>
      <c r="L163" s="365">
        <v>525</v>
      </c>
      <c r="M163" s="365">
        <v>340</v>
      </c>
      <c r="N163" s="365">
        <v>865</v>
      </c>
      <c r="O163" s="365">
        <v>4286</v>
      </c>
      <c r="P163" s="365">
        <v>4248</v>
      </c>
      <c r="Q163" s="365">
        <v>8534</v>
      </c>
      <c r="R163" s="365">
        <v>215</v>
      </c>
      <c r="S163" s="365">
        <v>235</v>
      </c>
      <c r="T163" s="365">
        <v>450</v>
      </c>
      <c r="U163" s="363">
        <v>6669</v>
      </c>
      <c r="V163" s="363">
        <v>5376</v>
      </c>
      <c r="W163" s="363">
        <v>12045</v>
      </c>
    </row>
    <row r="164" spans="2:23" hidden="1" outlineLevel="1" x14ac:dyDescent="0.25">
      <c r="B164" s="362">
        <v>43617</v>
      </c>
      <c r="C164" s="365"/>
      <c r="D164" s="365"/>
      <c r="E164" s="365"/>
      <c r="F164" s="365"/>
      <c r="G164" s="365"/>
      <c r="H164" s="365"/>
      <c r="I164" s="365">
        <v>1491</v>
      </c>
      <c r="J164" s="365">
        <v>488</v>
      </c>
      <c r="K164" s="365">
        <v>1979</v>
      </c>
      <c r="L164" s="365">
        <v>532</v>
      </c>
      <c r="M164" s="365">
        <v>393</v>
      </c>
      <c r="N164" s="365">
        <v>925</v>
      </c>
      <c r="O164" s="365">
        <v>3727</v>
      </c>
      <c r="P164" s="365">
        <v>3552</v>
      </c>
      <c r="Q164" s="365">
        <v>7279</v>
      </c>
      <c r="R164" s="365">
        <v>180</v>
      </c>
      <c r="S164" s="365">
        <v>185</v>
      </c>
      <c r="T164" s="365">
        <v>365</v>
      </c>
      <c r="U164" s="363">
        <v>5930</v>
      </c>
      <c r="V164" s="363">
        <v>4618</v>
      </c>
      <c r="W164" s="363">
        <v>10548</v>
      </c>
    </row>
    <row r="165" spans="2:23" hidden="1" outlineLevel="1" x14ac:dyDescent="0.25">
      <c r="B165" s="362">
        <v>43647</v>
      </c>
      <c r="C165" s="365"/>
      <c r="D165" s="365"/>
      <c r="E165" s="365"/>
      <c r="F165" s="365"/>
      <c r="G165" s="365"/>
      <c r="H165" s="365"/>
      <c r="I165" s="365">
        <v>1782</v>
      </c>
      <c r="J165" s="365">
        <v>573</v>
      </c>
      <c r="K165" s="365">
        <v>2355</v>
      </c>
      <c r="L165" s="365">
        <v>636</v>
      </c>
      <c r="M165" s="365">
        <v>393</v>
      </c>
      <c r="N165" s="365">
        <v>1029</v>
      </c>
      <c r="O165" s="365">
        <v>4872</v>
      </c>
      <c r="P165" s="365">
        <v>4418</v>
      </c>
      <c r="Q165" s="365">
        <v>9290</v>
      </c>
      <c r="R165" s="365">
        <v>222</v>
      </c>
      <c r="S165" s="365">
        <v>226</v>
      </c>
      <c r="T165" s="365">
        <v>448</v>
      </c>
      <c r="U165" s="363">
        <v>7512</v>
      </c>
      <c r="V165" s="363">
        <v>5610</v>
      </c>
      <c r="W165" s="363">
        <v>13122</v>
      </c>
    </row>
    <row r="166" spans="2:23" hidden="1" outlineLevel="1" x14ac:dyDescent="0.25">
      <c r="B166" s="362">
        <v>43678</v>
      </c>
      <c r="C166" s="365"/>
      <c r="D166" s="365"/>
      <c r="E166" s="365"/>
      <c r="F166" s="365"/>
      <c r="G166" s="365"/>
      <c r="H166" s="365"/>
      <c r="I166" s="365">
        <v>1783</v>
      </c>
      <c r="J166" s="365">
        <v>529</v>
      </c>
      <c r="K166" s="365">
        <v>2312</v>
      </c>
      <c r="L166" s="365">
        <v>597</v>
      </c>
      <c r="M166" s="365">
        <v>362</v>
      </c>
      <c r="N166" s="365">
        <v>959</v>
      </c>
      <c r="O166" s="365">
        <v>4660</v>
      </c>
      <c r="P166" s="365">
        <v>4045</v>
      </c>
      <c r="Q166" s="365">
        <v>8705</v>
      </c>
      <c r="R166" s="365">
        <v>189</v>
      </c>
      <c r="S166" s="365">
        <v>199</v>
      </c>
      <c r="T166" s="365">
        <v>388</v>
      </c>
      <c r="U166" s="363">
        <v>7229</v>
      </c>
      <c r="V166" s="363">
        <v>5135</v>
      </c>
      <c r="W166" s="363">
        <v>12364</v>
      </c>
    </row>
    <row r="167" spans="2:23" hidden="1" outlineLevel="1" x14ac:dyDescent="0.25">
      <c r="B167" s="362">
        <v>43709</v>
      </c>
      <c r="C167" s="365"/>
      <c r="D167" s="365"/>
      <c r="E167" s="365"/>
      <c r="F167" s="365"/>
      <c r="G167" s="365"/>
      <c r="H167" s="365"/>
      <c r="I167" s="365">
        <v>1744</v>
      </c>
      <c r="J167" s="365">
        <v>500</v>
      </c>
      <c r="K167" s="365">
        <v>2244</v>
      </c>
      <c r="L167" s="365">
        <v>453</v>
      </c>
      <c r="M167" s="365">
        <v>328</v>
      </c>
      <c r="N167" s="365">
        <v>781</v>
      </c>
      <c r="O167" s="365">
        <v>4286</v>
      </c>
      <c r="P167" s="365">
        <v>3657</v>
      </c>
      <c r="Q167" s="365">
        <v>7943</v>
      </c>
      <c r="R167" s="365">
        <v>197</v>
      </c>
      <c r="S167" s="365">
        <v>225</v>
      </c>
      <c r="T167" s="365">
        <v>422</v>
      </c>
      <c r="U167" s="363">
        <v>6680</v>
      </c>
      <c r="V167" s="363">
        <v>4710</v>
      </c>
      <c r="W167" s="363">
        <v>11390</v>
      </c>
    </row>
    <row r="168" spans="2:23" hidden="1" outlineLevel="1" x14ac:dyDescent="0.25">
      <c r="B168" s="362">
        <v>43739</v>
      </c>
      <c r="C168" s="365"/>
      <c r="D168" s="365"/>
      <c r="E168" s="365"/>
      <c r="F168" s="365"/>
      <c r="G168" s="365"/>
      <c r="H168" s="365"/>
      <c r="I168" s="365">
        <v>1670</v>
      </c>
      <c r="J168" s="365">
        <v>488</v>
      </c>
      <c r="K168" s="365">
        <v>2158</v>
      </c>
      <c r="L168" s="365">
        <v>472</v>
      </c>
      <c r="M168" s="365">
        <v>261</v>
      </c>
      <c r="N168" s="365">
        <v>733</v>
      </c>
      <c r="O168" s="365">
        <v>3924</v>
      </c>
      <c r="P168" s="365">
        <v>3177</v>
      </c>
      <c r="Q168" s="365">
        <v>7101</v>
      </c>
      <c r="R168" s="365">
        <v>169</v>
      </c>
      <c r="S168" s="365">
        <v>167</v>
      </c>
      <c r="T168" s="365">
        <v>336</v>
      </c>
      <c r="U168" s="363">
        <v>6235</v>
      </c>
      <c r="V168" s="363">
        <v>4093</v>
      </c>
      <c r="W168" s="363">
        <v>10328</v>
      </c>
    </row>
    <row r="169" spans="2:23" hidden="1" outlineLevel="1" x14ac:dyDescent="0.25">
      <c r="B169" s="362">
        <v>43770</v>
      </c>
      <c r="C169" s="365"/>
      <c r="D169" s="365"/>
      <c r="E169" s="365"/>
      <c r="F169" s="365"/>
      <c r="G169" s="365"/>
      <c r="H169" s="365"/>
      <c r="I169" s="365">
        <v>1552</v>
      </c>
      <c r="J169" s="365">
        <v>544</v>
      </c>
      <c r="K169" s="365">
        <v>2096</v>
      </c>
      <c r="L169" s="365">
        <v>440</v>
      </c>
      <c r="M169" s="365">
        <v>253</v>
      </c>
      <c r="N169" s="365">
        <v>693</v>
      </c>
      <c r="O169" s="365">
        <v>3985</v>
      </c>
      <c r="P169" s="365">
        <v>3242</v>
      </c>
      <c r="Q169" s="365">
        <v>7227</v>
      </c>
      <c r="R169" s="365">
        <v>181</v>
      </c>
      <c r="S169" s="365">
        <v>180</v>
      </c>
      <c r="T169" s="365">
        <v>361</v>
      </c>
      <c r="U169" s="363">
        <v>6158</v>
      </c>
      <c r="V169" s="363">
        <v>4219</v>
      </c>
      <c r="W169" s="363">
        <v>10377</v>
      </c>
    </row>
    <row r="170" spans="2:23" hidden="1" outlineLevel="1" x14ac:dyDescent="0.25">
      <c r="B170" s="362">
        <v>43800</v>
      </c>
      <c r="C170" s="365"/>
      <c r="D170" s="365"/>
      <c r="E170" s="365"/>
      <c r="F170" s="365"/>
      <c r="G170" s="365"/>
      <c r="H170" s="365"/>
      <c r="I170" s="365">
        <v>2003</v>
      </c>
      <c r="J170" s="365">
        <v>606</v>
      </c>
      <c r="K170" s="365">
        <v>2609</v>
      </c>
      <c r="L170" s="365">
        <v>668</v>
      </c>
      <c r="M170" s="365">
        <v>399</v>
      </c>
      <c r="N170" s="365">
        <v>1067</v>
      </c>
      <c r="O170" s="365">
        <v>6326</v>
      </c>
      <c r="P170" s="365">
        <v>5781</v>
      </c>
      <c r="Q170" s="365">
        <v>12107</v>
      </c>
      <c r="R170" s="365">
        <v>256</v>
      </c>
      <c r="S170" s="365">
        <v>301</v>
      </c>
      <c r="T170" s="365">
        <v>557</v>
      </c>
      <c r="U170" s="363">
        <v>9253</v>
      </c>
      <c r="V170" s="363">
        <v>7087</v>
      </c>
      <c r="W170" s="363">
        <v>16340</v>
      </c>
    </row>
    <row r="171" spans="2:23" collapsed="1" x14ac:dyDescent="0.25">
      <c r="B171" s="364" t="s">
        <v>710</v>
      </c>
      <c r="C171" s="363" t="s">
        <v>804</v>
      </c>
      <c r="D171" s="363" t="s">
        <v>804</v>
      </c>
      <c r="E171" s="363" t="s">
        <v>804</v>
      </c>
      <c r="F171" s="363" t="s">
        <v>804</v>
      </c>
      <c r="G171" s="363" t="s">
        <v>804</v>
      </c>
      <c r="H171" s="363" t="s">
        <v>804</v>
      </c>
      <c r="I171" s="363">
        <v>1689</v>
      </c>
      <c r="J171" s="363">
        <v>541</v>
      </c>
      <c r="K171" s="363">
        <v>2230</v>
      </c>
      <c r="L171" s="363">
        <v>552</v>
      </c>
      <c r="M171" s="363">
        <v>348</v>
      </c>
      <c r="N171" s="363">
        <v>900</v>
      </c>
      <c r="O171" s="363">
        <v>4505</v>
      </c>
      <c r="P171" s="363">
        <v>3997</v>
      </c>
      <c r="Q171" s="363">
        <v>8502</v>
      </c>
      <c r="R171" s="363">
        <v>230</v>
      </c>
      <c r="S171" s="363">
        <v>239</v>
      </c>
      <c r="T171" s="363">
        <v>469</v>
      </c>
      <c r="U171" s="363">
        <v>6976</v>
      </c>
      <c r="V171" s="363">
        <v>5125</v>
      </c>
      <c r="W171" s="363">
        <v>12101</v>
      </c>
    </row>
    <row r="172" spans="2:23" hidden="1" outlineLevel="1" x14ac:dyDescent="0.25">
      <c r="B172" s="362">
        <v>43831</v>
      </c>
      <c r="C172" s="365"/>
      <c r="D172" s="365"/>
      <c r="E172" s="365"/>
      <c r="F172" s="365"/>
      <c r="G172" s="365"/>
      <c r="H172" s="365"/>
      <c r="I172" s="365">
        <v>2040</v>
      </c>
      <c r="J172" s="365">
        <v>641</v>
      </c>
      <c r="K172" s="365">
        <v>2681</v>
      </c>
      <c r="L172" s="365">
        <v>670</v>
      </c>
      <c r="M172" s="365">
        <v>439</v>
      </c>
      <c r="N172" s="365">
        <v>1109</v>
      </c>
      <c r="O172" s="365">
        <v>8906</v>
      </c>
      <c r="P172" s="365">
        <v>9035</v>
      </c>
      <c r="Q172" s="365">
        <v>17941</v>
      </c>
      <c r="R172" s="365">
        <v>333</v>
      </c>
      <c r="S172" s="365">
        <v>331</v>
      </c>
      <c r="T172" s="365">
        <v>664</v>
      </c>
      <c r="U172" s="363">
        <v>11949</v>
      </c>
      <c r="V172" s="363">
        <v>10446</v>
      </c>
      <c r="W172" s="363">
        <v>22395</v>
      </c>
    </row>
    <row r="173" spans="2:23" hidden="1" outlineLevel="1" x14ac:dyDescent="0.25">
      <c r="B173" s="362">
        <v>43862</v>
      </c>
      <c r="C173" s="365"/>
      <c r="D173" s="365"/>
      <c r="E173" s="365"/>
      <c r="F173" s="365"/>
      <c r="G173" s="365"/>
      <c r="H173" s="365"/>
      <c r="I173" s="365">
        <v>1657</v>
      </c>
      <c r="J173" s="365">
        <v>542</v>
      </c>
      <c r="K173" s="365">
        <v>2199</v>
      </c>
      <c r="L173" s="365">
        <v>618</v>
      </c>
      <c r="M173" s="365">
        <v>393</v>
      </c>
      <c r="N173" s="365">
        <v>1011</v>
      </c>
      <c r="O173" s="365">
        <v>10944</v>
      </c>
      <c r="P173" s="365">
        <v>10429</v>
      </c>
      <c r="Q173" s="365">
        <v>21373</v>
      </c>
      <c r="R173" s="365">
        <v>360</v>
      </c>
      <c r="S173" s="365">
        <v>430</v>
      </c>
      <c r="T173" s="365">
        <v>790</v>
      </c>
      <c r="U173" s="363">
        <v>13579</v>
      </c>
      <c r="V173" s="363">
        <v>11794</v>
      </c>
      <c r="W173" s="363">
        <v>25373</v>
      </c>
    </row>
    <row r="174" spans="2:23" hidden="1" outlineLevel="1" x14ac:dyDescent="0.25">
      <c r="B174" s="362">
        <v>43891</v>
      </c>
      <c r="C174" s="365"/>
      <c r="D174" s="365"/>
      <c r="E174" s="365"/>
      <c r="F174" s="365"/>
      <c r="G174" s="365"/>
      <c r="H174" s="365"/>
      <c r="I174" s="365">
        <v>1342</v>
      </c>
      <c r="J174" s="365">
        <v>454</v>
      </c>
      <c r="K174" s="365">
        <v>1796</v>
      </c>
      <c r="L174" s="365">
        <v>418</v>
      </c>
      <c r="M174" s="365">
        <v>320</v>
      </c>
      <c r="N174" s="365">
        <v>738</v>
      </c>
      <c r="O174" s="365">
        <v>5750</v>
      </c>
      <c r="P174" s="365">
        <v>5595</v>
      </c>
      <c r="Q174" s="365">
        <v>11345</v>
      </c>
      <c r="R174" s="365">
        <v>237</v>
      </c>
      <c r="S174" s="365">
        <v>244</v>
      </c>
      <c r="T174" s="365">
        <v>481</v>
      </c>
      <c r="U174" s="363">
        <v>7747</v>
      </c>
      <c r="V174" s="363">
        <v>6613</v>
      </c>
      <c r="W174" s="363">
        <v>14360</v>
      </c>
    </row>
    <row r="175" spans="2:23" hidden="1" outlineLevel="1" x14ac:dyDescent="0.25">
      <c r="B175" s="362">
        <v>43922</v>
      </c>
      <c r="C175" s="365"/>
      <c r="D175" s="365"/>
      <c r="E175" s="365"/>
      <c r="F175" s="365"/>
      <c r="G175" s="365"/>
      <c r="H175" s="365"/>
      <c r="I175" s="365">
        <v>937</v>
      </c>
      <c r="J175" s="365">
        <v>343</v>
      </c>
      <c r="K175" s="365">
        <v>1280</v>
      </c>
      <c r="L175" s="365">
        <v>229</v>
      </c>
      <c r="M175" s="365">
        <v>141</v>
      </c>
      <c r="N175" s="365">
        <v>370</v>
      </c>
      <c r="O175" s="365">
        <v>3089</v>
      </c>
      <c r="P175" s="365">
        <v>3223</v>
      </c>
      <c r="Q175" s="365">
        <v>6312</v>
      </c>
      <c r="R175" s="365">
        <v>220</v>
      </c>
      <c r="S175" s="365">
        <v>215</v>
      </c>
      <c r="T175" s="365">
        <v>435</v>
      </c>
      <c r="U175" s="363">
        <v>4475</v>
      </c>
      <c r="V175" s="363">
        <v>3922</v>
      </c>
      <c r="W175" s="363">
        <v>8397</v>
      </c>
    </row>
    <row r="176" spans="2:23" hidden="1" outlineLevel="1" x14ac:dyDescent="0.25">
      <c r="B176" s="362">
        <v>43952</v>
      </c>
      <c r="C176" s="365"/>
      <c r="D176" s="365"/>
      <c r="E176" s="365"/>
      <c r="F176" s="365"/>
      <c r="G176" s="365"/>
      <c r="H176" s="365"/>
      <c r="I176" s="365">
        <v>1434</v>
      </c>
      <c r="J176" s="365">
        <v>436</v>
      </c>
      <c r="K176" s="365">
        <v>1870</v>
      </c>
      <c r="L176" s="365">
        <v>383</v>
      </c>
      <c r="M176" s="365">
        <v>218</v>
      </c>
      <c r="N176" s="365">
        <v>601</v>
      </c>
      <c r="O176" s="365">
        <v>4805</v>
      </c>
      <c r="P176" s="365">
        <v>5269</v>
      </c>
      <c r="Q176" s="365">
        <v>10074</v>
      </c>
      <c r="R176" s="365">
        <v>359</v>
      </c>
      <c r="S176" s="365">
        <v>331</v>
      </c>
      <c r="T176" s="365">
        <v>690</v>
      </c>
      <c r="U176" s="363">
        <v>6981</v>
      </c>
      <c r="V176" s="363">
        <v>6254</v>
      </c>
      <c r="W176" s="363">
        <v>13235</v>
      </c>
    </row>
    <row r="177" spans="2:23" hidden="1" outlineLevel="1" x14ac:dyDescent="0.25">
      <c r="B177" s="362">
        <v>43983</v>
      </c>
      <c r="C177" s="365"/>
      <c r="D177" s="365"/>
      <c r="E177" s="365"/>
      <c r="F177" s="365"/>
      <c r="G177" s="365"/>
      <c r="H177" s="365"/>
      <c r="I177" s="365">
        <v>1305</v>
      </c>
      <c r="J177" s="365">
        <v>434</v>
      </c>
      <c r="K177" s="365">
        <v>1739</v>
      </c>
      <c r="L177" s="365">
        <v>329</v>
      </c>
      <c r="M177" s="365">
        <v>221</v>
      </c>
      <c r="N177" s="365">
        <v>550</v>
      </c>
      <c r="O177" s="365">
        <v>4281</v>
      </c>
      <c r="P177" s="365">
        <v>4405</v>
      </c>
      <c r="Q177" s="365">
        <v>8686</v>
      </c>
      <c r="R177" s="365">
        <v>291</v>
      </c>
      <c r="S177" s="365">
        <v>316</v>
      </c>
      <c r="T177" s="365">
        <v>607</v>
      </c>
      <c r="U177" s="363">
        <v>6206</v>
      </c>
      <c r="V177" s="363">
        <v>5376</v>
      </c>
      <c r="W177" s="363">
        <v>11582</v>
      </c>
    </row>
    <row r="178" spans="2:23" hidden="1" outlineLevel="1" x14ac:dyDescent="0.25">
      <c r="B178" s="362">
        <v>44013</v>
      </c>
      <c r="C178" s="365"/>
      <c r="D178" s="365"/>
      <c r="E178" s="365"/>
      <c r="F178" s="365"/>
      <c r="G178" s="365"/>
      <c r="H178" s="365"/>
      <c r="I178" s="365">
        <v>1914</v>
      </c>
      <c r="J178" s="365">
        <v>613</v>
      </c>
      <c r="K178" s="365">
        <v>2527</v>
      </c>
      <c r="L178" s="365">
        <v>378</v>
      </c>
      <c r="M178" s="365">
        <v>271</v>
      </c>
      <c r="N178" s="365">
        <v>649</v>
      </c>
      <c r="O178" s="365">
        <v>5509</v>
      </c>
      <c r="P178" s="365">
        <v>4762</v>
      </c>
      <c r="Q178" s="365">
        <v>10271</v>
      </c>
      <c r="R178" s="365">
        <v>229</v>
      </c>
      <c r="S178" s="365">
        <v>268</v>
      </c>
      <c r="T178" s="365">
        <v>497</v>
      </c>
      <c r="U178" s="363">
        <v>8030</v>
      </c>
      <c r="V178" s="363">
        <v>5914</v>
      </c>
      <c r="W178" s="363">
        <v>13944</v>
      </c>
    </row>
    <row r="179" spans="2:23" hidden="1" outlineLevel="1" x14ac:dyDescent="0.25">
      <c r="B179" s="362">
        <v>44044</v>
      </c>
      <c r="C179" s="365"/>
      <c r="D179" s="365"/>
      <c r="E179" s="365"/>
      <c r="F179" s="365"/>
      <c r="G179" s="365"/>
      <c r="H179" s="365"/>
      <c r="I179" s="365">
        <v>2049</v>
      </c>
      <c r="J179" s="365">
        <v>662</v>
      </c>
      <c r="K179" s="365">
        <v>2711</v>
      </c>
      <c r="L179" s="365">
        <v>471</v>
      </c>
      <c r="M179" s="365">
        <v>320</v>
      </c>
      <c r="N179" s="365">
        <v>791</v>
      </c>
      <c r="O179" s="365">
        <v>6887</v>
      </c>
      <c r="P179" s="365">
        <v>6199</v>
      </c>
      <c r="Q179" s="365">
        <v>13086</v>
      </c>
      <c r="R179" s="365">
        <v>277</v>
      </c>
      <c r="S179" s="365">
        <v>316</v>
      </c>
      <c r="T179" s="365">
        <v>593</v>
      </c>
      <c r="U179" s="363">
        <v>9684</v>
      </c>
      <c r="V179" s="363">
        <v>7497</v>
      </c>
      <c r="W179" s="363">
        <v>17181</v>
      </c>
    </row>
    <row r="180" spans="2:23" hidden="1" outlineLevel="1" x14ac:dyDescent="0.25">
      <c r="B180" s="362">
        <v>44075</v>
      </c>
      <c r="C180" s="365"/>
      <c r="D180" s="365"/>
      <c r="E180" s="365"/>
      <c r="F180" s="365"/>
      <c r="G180" s="365"/>
      <c r="H180" s="365"/>
      <c r="I180" s="365">
        <v>2067</v>
      </c>
      <c r="J180" s="365">
        <v>589</v>
      </c>
      <c r="K180" s="365">
        <v>2656</v>
      </c>
      <c r="L180" s="365">
        <v>502</v>
      </c>
      <c r="M180" s="365">
        <v>414</v>
      </c>
      <c r="N180" s="365">
        <v>916</v>
      </c>
      <c r="O180" s="365">
        <v>7180</v>
      </c>
      <c r="P180" s="365">
        <v>5679</v>
      </c>
      <c r="Q180" s="365">
        <v>12859</v>
      </c>
      <c r="R180" s="365">
        <v>306</v>
      </c>
      <c r="S180" s="365">
        <v>364</v>
      </c>
      <c r="T180" s="365">
        <v>670</v>
      </c>
      <c r="U180" s="363">
        <v>10055</v>
      </c>
      <c r="V180" s="363">
        <v>7046</v>
      </c>
      <c r="W180" s="363">
        <v>17101</v>
      </c>
    </row>
    <row r="181" spans="2:23" hidden="1" outlineLevel="1" x14ac:dyDescent="0.25">
      <c r="B181" s="362">
        <v>44105</v>
      </c>
      <c r="C181" s="365"/>
      <c r="D181" s="365"/>
      <c r="E181" s="365"/>
      <c r="F181" s="365"/>
      <c r="G181" s="365"/>
      <c r="H181" s="365"/>
      <c r="I181" s="365">
        <v>2137</v>
      </c>
      <c r="J181" s="365">
        <v>710</v>
      </c>
      <c r="K181" s="365">
        <v>2847</v>
      </c>
      <c r="L181" s="365">
        <v>672</v>
      </c>
      <c r="M181" s="365">
        <v>475</v>
      </c>
      <c r="N181" s="365">
        <v>1147</v>
      </c>
      <c r="O181" s="365">
        <v>7858</v>
      </c>
      <c r="P181" s="365">
        <v>6105</v>
      </c>
      <c r="Q181" s="365">
        <v>13963</v>
      </c>
      <c r="R181" s="365">
        <v>321</v>
      </c>
      <c r="S181" s="365">
        <v>441</v>
      </c>
      <c r="T181" s="365">
        <v>762</v>
      </c>
      <c r="U181" s="363">
        <v>10988</v>
      </c>
      <c r="V181" s="363">
        <v>7731</v>
      </c>
      <c r="W181" s="363">
        <v>18719</v>
      </c>
    </row>
    <row r="182" spans="2:23" hidden="1" outlineLevel="1" x14ac:dyDescent="0.25">
      <c r="B182" s="362">
        <v>44136</v>
      </c>
      <c r="C182" s="365"/>
      <c r="D182" s="365"/>
      <c r="E182" s="365"/>
      <c r="F182" s="365"/>
      <c r="G182" s="365"/>
      <c r="H182" s="365"/>
      <c r="I182" s="365">
        <v>1881</v>
      </c>
      <c r="J182" s="365">
        <v>649</v>
      </c>
      <c r="K182" s="365">
        <v>2530</v>
      </c>
      <c r="L182" s="365">
        <v>557</v>
      </c>
      <c r="M182" s="365">
        <v>409</v>
      </c>
      <c r="N182" s="365">
        <v>966</v>
      </c>
      <c r="O182" s="365">
        <v>6960</v>
      </c>
      <c r="P182" s="365">
        <v>5617</v>
      </c>
      <c r="Q182" s="365">
        <v>12577</v>
      </c>
      <c r="R182" s="365">
        <v>240</v>
      </c>
      <c r="S182" s="365">
        <v>289</v>
      </c>
      <c r="T182" s="365">
        <v>529</v>
      </c>
      <c r="U182" s="363">
        <v>9638</v>
      </c>
      <c r="V182" s="363">
        <v>6964</v>
      </c>
      <c r="W182" s="363">
        <v>16602</v>
      </c>
    </row>
    <row r="183" spans="2:23" hidden="1" outlineLevel="1" x14ac:dyDescent="0.25">
      <c r="B183" s="362">
        <v>44166</v>
      </c>
      <c r="C183" s="365"/>
      <c r="D183" s="365"/>
      <c r="E183" s="365"/>
      <c r="F183" s="365"/>
      <c r="G183" s="365"/>
      <c r="H183" s="365"/>
      <c r="I183" s="365">
        <v>1760</v>
      </c>
      <c r="J183" s="365">
        <v>532</v>
      </c>
      <c r="K183" s="365">
        <v>2292</v>
      </c>
      <c r="L183" s="365">
        <v>531</v>
      </c>
      <c r="M183" s="365">
        <v>414</v>
      </c>
      <c r="N183" s="365">
        <v>945</v>
      </c>
      <c r="O183" s="365">
        <v>6020</v>
      </c>
      <c r="P183" s="365">
        <v>5110</v>
      </c>
      <c r="Q183" s="365">
        <v>11130</v>
      </c>
      <c r="R183" s="365">
        <v>204</v>
      </c>
      <c r="S183" s="365">
        <v>233</v>
      </c>
      <c r="T183" s="365">
        <v>437</v>
      </c>
      <c r="U183" s="363">
        <v>8515</v>
      </c>
      <c r="V183" s="363">
        <v>6289</v>
      </c>
      <c r="W183" s="363">
        <v>14804</v>
      </c>
    </row>
    <row r="184" spans="2:23" collapsed="1" x14ac:dyDescent="0.25">
      <c r="B184" s="364" t="s">
        <v>711</v>
      </c>
      <c r="C184" s="363" t="s">
        <v>804</v>
      </c>
      <c r="D184" s="363" t="s">
        <v>804</v>
      </c>
      <c r="E184" s="363" t="s">
        <v>804</v>
      </c>
      <c r="F184" s="363" t="s">
        <v>804</v>
      </c>
      <c r="G184" s="363" t="s">
        <v>804</v>
      </c>
      <c r="H184" s="363" t="s">
        <v>804</v>
      </c>
      <c r="I184" s="363">
        <v>1710</v>
      </c>
      <c r="J184" s="363">
        <v>550</v>
      </c>
      <c r="K184" s="363">
        <v>2261</v>
      </c>
      <c r="L184" s="363">
        <v>480</v>
      </c>
      <c r="M184" s="363">
        <v>336</v>
      </c>
      <c r="N184" s="363">
        <v>816</v>
      </c>
      <c r="O184" s="363">
        <v>6516</v>
      </c>
      <c r="P184" s="363">
        <v>5952</v>
      </c>
      <c r="Q184" s="363">
        <v>12468</v>
      </c>
      <c r="R184" s="363">
        <v>281</v>
      </c>
      <c r="S184" s="363">
        <v>315</v>
      </c>
      <c r="T184" s="363">
        <v>596</v>
      </c>
      <c r="U184" s="363">
        <v>8987</v>
      </c>
      <c r="V184" s="363">
        <v>7154</v>
      </c>
      <c r="W184" s="363">
        <v>16141</v>
      </c>
    </row>
    <row r="185" spans="2:23" hidden="1" outlineLevel="1" x14ac:dyDescent="0.25">
      <c r="B185" s="362">
        <v>44197</v>
      </c>
      <c r="C185" s="365"/>
      <c r="D185" s="365"/>
      <c r="E185" s="365"/>
      <c r="F185" s="365"/>
      <c r="G185" s="365"/>
      <c r="H185" s="365"/>
      <c r="I185" s="365">
        <v>1713</v>
      </c>
      <c r="J185" s="365">
        <v>562</v>
      </c>
      <c r="K185" s="365">
        <v>2275</v>
      </c>
      <c r="L185" s="365">
        <v>673</v>
      </c>
      <c r="M185" s="365">
        <v>605</v>
      </c>
      <c r="N185" s="365">
        <v>1278</v>
      </c>
      <c r="O185" s="365">
        <v>6427</v>
      </c>
      <c r="P185" s="365">
        <v>4940</v>
      </c>
      <c r="Q185" s="365">
        <v>11367</v>
      </c>
      <c r="R185" s="365">
        <v>372</v>
      </c>
      <c r="S185" s="365">
        <v>493</v>
      </c>
      <c r="T185" s="365">
        <v>865</v>
      </c>
      <c r="U185" s="363">
        <v>9185</v>
      </c>
      <c r="V185" s="363">
        <v>6600</v>
      </c>
      <c r="W185" s="363">
        <v>15785</v>
      </c>
    </row>
    <row r="186" spans="2:23" hidden="1" outlineLevel="1" x14ac:dyDescent="0.25">
      <c r="B186" s="362">
        <v>44228</v>
      </c>
      <c r="C186" s="365"/>
      <c r="D186" s="365"/>
      <c r="E186" s="365"/>
      <c r="F186" s="365"/>
      <c r="G186" s="365"/>
      <c r="H186" s="365"/>
      <c r="I186" s="365">
        <v>1538</v>
      </c>
      <c r="J186" s="365">
        <v>476</v>
      </c>
      <c r="K186" s="365">
        <v>2014</v>
      </c>
      <c r="L186" s="365">
        <v>577</v>
      </c>
      <c r="M186" s="365">
        <v>483</v>
      </c>
      <c r="N186" s="365">
        <v>1060</v>
      </c>
      <c r="O186" s="365">
        <v>5955</v>
      </c>
      <c r="P186" s="365">
        <v>4909</v>
      </c>
      <c r="Q186" s="365">
        <v>10864</v>
      </c>
      <c r="R186" s="365">
        <v>353</v>
      </c>
      <c r="S186" s="365">
        <v>440</v>
      </c>
      <c r="T186" s="365">
        <v>793</v>
      </c>
      <c r="U186" s="363">
        <v>8423</v>
      </c>
      <c r="V186" s="363">
        <v>6308</v>
      </c>
      <c r="W186" s="363">
        <v>14731</v>
      </c>
    </row>
    <row r="187" spans="2:23" hidden="1" outlineLevel="1" x14ac:dyDescent="0.25">
      <c r="B187" s="362">
        <v>44256</v>
      </c>
      <c r="C187" s="365"/>
      <c r="D187" s="365"/>
      <c r="E187" s="365"/>
      <c r="F187" s="365"/>
      <c r="G187" s="365"/>
      <c r="H187" s="365"/>
      <c r="I187" s="365">
        <v>1712</v>
      </c>
      <c r="J187" s="365">
        <v>621</v>
      </c>
      <c r="K187" s="365">
        <v>2333</v>
      </c>
      <c r="L187" s="365">
        <v>667</v>
      </c>
      <c r="M187" s="365">
        <v>516</v>
      </c>
      <c r="N187" s="365">
        <v>1183</v>
      </c>
      <c r="O187" s="365">
        <v>6882</v>
      </c>
      <c r="P187" s="365">
        <v>6035</v>
      </c>
      <c r="Q187" s="365">
        <v>12917</v>
      </c>
      <c r="R187" s="365">
        <v>1165</v>
      </c>
      <c r="S187" s="365">
        <v>1562</v>
      </c>
      <c r="T187" s="365">
        <v>2727</v>
      </c>
      <c r="U187" s="363">
        <v>10426</v>
      </c>
      <c r="V187" s="363">
        <v>8734</v>
      </c>
      <c r="W187" s="363">
        <v>19160</v>
      </c>
    </row>
    <row r="188" spans="2:23" hidden="1" outlineLevel="1" x14ac:dyDescent="0.25">
      <c r="B188" s="362">
        <v>44287</v>
      </c>
      <c r="C188" s="365"/>
      <c r="D188" s="365"/>
      <c r="E188" s="365"/>
      <c r="F188" s="365"/>
      <c r="G188" s="365"/>
      <c r="H188" s="365"/>
      <c r="I188" s="365">
        <v>1873</v>
      </c>
      <c r="J188" s="365">
        <v>639</v>
      </c>
      <c r="K188" s="365">
        <v>2512</v>
      </c>
      <c r="L188" s="365">
        <v>714</v>
      </c>
      <c r="M188" s="365">
        <v>510</v>
      </c>
      <c r="N188" s="365">
        <v>1224</v>
      </c>
      <c r="O188" s="365">
        <v>6529</v>
      </c>
      <c r="P188" s="365">
        <v>5358</v>
      </c>
      <c r="Q188" s="365">
        <v>11887</v>
      </c>
      <c r="R188" s="365">
        <v>1299</v>
      </c>
      <c r="S188" s="365">
        <v>1663</v>
      </c>
      <c r="T188" s="365">
        <v>2962</v>
      </c>
      <c r="U188" s="363">
        <v>10415</v>
      </c>
      <c r="V188" s="363">
        <v>8170</v>
      </c>
      <c r="W188" s="363">
        <v>18585</v>
      </c>
    </row>
    <row r="189" spans="2:23" hidden="1" outlineLevel="1" x14ac:dyDescent="0.25">
      <c r="B189" s="362">
        <v>44317</v>
      </c>
      <c r="C189" s="365"/>
      <c r="D189" s="365"/>
      <c r="E189" s="365"/>
      <c r="F189" s="365"/>
      <c r="G189" s="365"/>
      <c r="H189" s="365"/>
      <c r="I189" s="365">
        <v>2052</v>
      </c>
      <c r="J189" s="365">
        <v>780</v>
      </c>
      <c r="K189" s="365">
        <v>2832</v>
      </c>
      <c r="L189" s="365">
        <v>778</v>
      </c>
      <c r="M189" s="365">
        <v>628</v>
      </c>
      <c r="N189" s="365">
        <v>1406</v>
      </c>
      <c r="O189" s="365">
        <v>6451</v>
      </c>
      <c r="P189" s="365">
        <v>5206</v>
      </c>
      <c r="Q189" s="365">
        <v>11657</v>
      </c>
      <c r="R189" s="365">
        <v>820</v>
      </c>
      <c r="S189" s="365">
        <v>1188</v>
      </c>
      <c r="T189" s="365">
        <v>2008</v>
      </c>
      <c r="U189" s="363">
        <v>10101</v>
      </c>
      <c r="V189" s="363">
        <v>7802</v>
      </c>
      <c r="W189" s="363">
        <v>17903</v>
      </c>
    </row>
    <row r="190" spans="2:23" hidden="1" outlineLevel="1" x14ac:dyDescent="0.25">
      <c r="B190" s="362">
        <v>44348</v>
      </c>
      <c r="C190" s="365"/>
      <c r="D190" s="365"/>
      <c r="E190" s="365"/>
      <c r="F190" s="365"/>
      <c r="G190" s="365"/>
      <c r="H190" s="365"/>
      <c r="I190" s="365">
        <v>2152</v>
      </c>
      <c r="J190" s="365">
        <v>840</v>
      </c>
      <c r="K190" s="365">
        <v>2992</v>
      </c>
      <c r="L190" s="365">
        <v>742</v>
      </c>
      <c r="M190" s="365">
        <v>540</v>
      </c>
      <c r="N190" s="365">
        <v>1282</v>
      </c>
      <c r="O190" s="365">
        <v>6407</v>
      </c>
      <c r="P190" s="365">
        <v>5163</v>
      </c>
      <c r="Q190" s="365">
        <v>11570</v>
      </c>
      <c r="R190" s="365">
        <v>622</v>
      </c>
      <c r="S190" s="365">
        <v>959</v>
      </c>
      <c r="T190" s="365">
        <v>1581</v>
      </c>
      <c r="U190" s="363">
        <v>9923</v>
      </c>
      <c r="V190" s="363">
        <v>7502</v>
      </c>
      <c r="W190" s="363">
        <v>17425</v>
      </c>
    </row>
    <row r="191" spans="2:23" hidden="1" outlineLevel="1" x14ac:dyDescent="0.25">
      <c r="B191" s="362">
        <v>44378</v>
      </c>
      <c r="C191" s="365"/>
      <c r="D191" s="365"/>
      <c r="E191" s="365"/>
      <c r="F191" s="365"/>
      <c r="G191" s="365"/>
      <c r="H191" s="365"/>
      <c r="I191" s="365">
        <v>2507</v>
      </c>
      <c r="J191" s="365">
        <v>1010</v>
      </c>
      <c r="K191" s="365">
        <v>3517</v>
      </c>
      <c r="L191" s="365">
        <v>827</v>
      </c>
      <c r="M191" s="365">
        <v>609</v>
      </c>
      <c r="N191" s="365">
        <v>1436</v>
      </c>
      <c r="O191" s="365">
        <v>7751</v>
      </c>
      <c r="P191" s="365">
        <v>6034</v>
      </c>
      <c r="Q191" s="365">
        <v>13785</v>
      </c>
      <c r="R191" s="365">
        <v>560</v>
      </c>
      <c r="S191" s="365">
        <v>911</v>
      </c>
      <c r="T191" s="365">
        <v>1471</v>
      </c>
      <c r="U191" s="363">
        <v>11645</v>
      </c>
      <c r="V191" s="363">
        <v>8564</v>
      </c>
      <c r="W191" s="363">
        <v>20209</v>
      </c>
    </row>
    <row r="192" spans="2:23" hidden="1" outlineLevel="1" x14ac:dyDescent="0.25">
      <c r="B192" s="362">
        <v>44409</v>
      </c>
      <c r="C192" s="365"/>
      <c r="D192" s="365"/>
      <c r="E192" s="365"/>
      <c r="F192" s="365"/>
      <c r="G192" s="365"/>
      <c r="H192" s="365"/>
      <c r="I192" s="365">
        <v>2542</v>
      </c>
      <c r="J192" s="365">
        <v>1114</v>
      </c>
      <c r="K192" s="365">
        <v>3656</v>
      </c>
      <c r="L192" s="365">
        <v>910</v>
      </c>
      <c r="M192" s="365">
        <v>664</v>
      </c>
      <c r="N192" s="365">
        <v>1574</v>
      </c>
      <c r="O192" s="365">
        <v>8570</v>
      </c>
      <c r="P192" s="365">
        <v>7206</v>
      </c>
      <c r="Q192" s="365">
        <v>15776</v>
      </c>
      <c r="R192" s="365">
        <v>565</v>
      </c>
      <c r="S192" s="365">
        <v>842</v>
      </c>
      <c r="T192" s="365">
        <v>1407</v>
      </c>
      <c r="U192" s="363">
        <v>12587</v>
      </c>
      <c r="V192" s="363">
        <v>9826</v>
      </c>
      <c r="W192" s="363">
        <v>22413</v>
      </c>
    </row>
    <row r="193" spans="2:23" hidden="1" outlineLevel="1" x14ac:dyDescent="0.25">
      <c r="B193" s="362">
        <v>44440</v>
      </c>
      <c r="C193" s="365"/>
      <c r="D193" s="365"/>
      <c r="E193" s="365"/>
      <c r="F193" s="365"/>
      <c r="G193" s="365"/>
      <c r="H193" s="365"/>
      <c r="I193" s="365">
        <v>2767</v>
      </c>
      <c r="J193" s="365">
        <v>1138</v>
      </c>
      <c r="K193" s="365">
        <v>3905</v>
      </c>
      <c r="L193" s="365">
        <v>823</v>
      </c>
      <c r="M193" s="365">
        <v>563</v>
      </c>
      <c r="N193" s="365">
        <v>1386</v>
      </c>
      <c r="O193" s="365">
        <v>9503</v>
      </c>
      <c r="P193" s="365">
        <v>7883</v>
      </c>
      <c r="Q193" s="365">
        <v>17386</v>
      </c>
      <c r="R193" s="365">
        <v>497</v>
      </c>
      <c r="S193" s="365">
        <v>768</v>
      </c>
      <c r="T193" s="365">
        <v>1265</v>
      </c>
      <c r="U193" s="363">
        <v>13590</v>
      </c>
      <c r="V193" s="363">
        <v>10352</v>
      </c>
      <c r="W193" s="363">
        <v>23942</v>
      </c>
    </row>
    <row r="194" spans="2:23" hidden="1" outlineLevel="1" x14ac:dyDescent="0.25">
      <c r="B194" s="362">
        <v>44470</v>
      </c>
      <c r="C194" s="365"/>
      <c r="D194" s="365"/>
      <c r="E194" s="365"/>
      <c r="F194" s="365"/>
      <c r="G194" s="365"/>
      <c r="H194" s="365"/>
      <c r="I194" s="365">
        <v>2027</v>
      </c>
      <c r="J194" s="365">
        <v>882</v>
      </c>
      <c r="K194" s="365">
        <v>2909</v>
      </c>
      <c r="L194" s="365">
        <v>836</v>
      </c>
      <c r="M194" s="365">
        <v>551</v>
      </c>
      <c r="N194" s="365">
        <v>1387</v>
      </c>
      <c r="O194" s="365">
        <v>8514</v>
      </c>
      <c r="P194" s="365">
        <v>7020</v>
      </c>
      <c r="Q194" s="365">
        <v>15534</v>
      </c>
      <c r="R194" s="365">
        <v>483</v>
      </c>
      <c r="S194" s="365">
        <v>824</v>
      </c>
      <c r="T194" s="365">
        <v>1307</v>
      </c>
      <c r="U194" s="363">
        <v>11860</v>
      </c>
      <c r="V194" s="363">
        <v>9277</v>
      </c>
      <c r="W194" s="363">
        <v>21137</v>
      </c>
    </row>
    <row r="195" spans="2:23" hidden="1" outlineLevel="1" x14ac:dyDescent="0.25">
      <c r="B195" s="362">
        <v>44501</v>
      </c>
      <c r="C195" s="365"/>
      <c r="D195" s="365"/>
      <c r="E195" s="365"/>
      <c r="F195" s="365"/>
      <c r="G195" s="365"/>
      <c r="H195" s="365"/>
      <c r="I195" s="365">
        <v>2421</v>
      </c>
      <c r="J195" s="365">
        <v>953</v>
      </c>
      <c r="K195" s="365">
        <v>3374</v>
      </c>
      <c r="L195" s="365">
        <v>918</v>
      </c>
      <c r="M195" s="365">
        <v>605</v>
      </c>
      <c r="N195" s="365">
        <v>1523</v>
      </c>
      <c r="O195" s="365">
        <v>9790</v>
      </c>
      <c r="P195" s="365">
        <v>7693</v>
      </c>
      <c r="Q195" s="365">
        <v>17483</v>
      </c>
      <c r="R195" s="365">
        <v>500</v>
      </c>
      <c r="S195" s="365">
        <v>856</v>
      </c>
      <c r="T195" s="365">
        <v>1356</v>
      </c>
      <c r="U195" s="363">
        <v>13629</v>
      </c>
      <c r="V195" s="363">
        <v>10107</v>
      </c>
      <c r="W195" s="363">
        <v>23736</v>
      </c>
    </row>
    <row r="196" spans="2:23" hidden="1" outlineLevel="1" x14ac:dyDescent="0.25">
      <c r="B196" s="362">
        <v>44531</v>
      </c>
      <c r="C196" s="365"/>
      <c r="D196" s="365"/>
      <c r="E196" s="365"/>
      <c r="F196" s="365"/>
      <c r="G196" s="365"/>
      <c r="H196" s="365"/>
      <c r="I196" s="365">
        <v>2222</v>
      </c>
      <c r="J196" s="365">
        <v>953</v>
      </c>
      <c r="K196" s="365">
        <v>3175</v>
      </c>
      <c r="L196" s="365">
        <v>829</v>
      </c>
      <c r="M196" s="365">
        <v>529</v>
      </c>
      <c r="N196" s="365">
        <v>1358</v>
      </c>
      <c r="O196" s="365">
        <v>8593</v>
      </c>
      <c r="P196" s="365">
        <v>7663</v>
      </c>
      <c r="Q196" s="365">
        <v>16256</v>
      </c>
      <c r="R196" s="365">
        <v>536</v>
      </c>
      <c r="S196" s="365">
        <v>792</v>
      </c>
      <c r="T196" s="365">
        <v>1328</v>
      </c>
      <c r="U196" s="363">
        <v>12180</v>
      </c>
      <c r="V196" s="363">
        <v>9937</v>
      </c>
      <c r="W196" s="363">
        <v>22117</v>
      </c>
    </row>
    <row r="197" spans="2:23" collapsed="1" x14ac:dyDescent="0.25">
      <c r="B197" s="364" t="s">
        <v>712</v>
      </c>
      <c r="C197" s="363" t="s">
        <v>804</v>
      </c>
      <c r="D197" s="363" t="s">
        <v>804</v>
      </c>
      <c r="E197" s="363" t="s">
        <v>804</v>
      </c>
      <c r="F197" s="363" t="s">
        <v>804</v>
      </c>
      <c r="G197" s="363" t="s">
        <v>804</v>
      </c>
      <c r="H197" s="363" t="s">
        <v>804</v>
      </c>
      <c r="I197" s="363">
        <v>2127</v>
      </c>
      <c r="J197" s="363">
        <v>831</v>
      </c>
      <c r="K197" s="363">
        <v>2958</v>
      </c>
      <c r="L197" s="363">
        <v>775</v>
      </c>
      <c r="M197" s="363">
        <v>567</v>
      </c>
      <c r="N197" s="363">
        <v>1341</v>
      </c>
      <c r="O197" s="363">
        <v>7614</v>
      </c>
      <c r="P197" s="363">
        <v>6259</v>
      </c>
      <c r="Q197" s="363">
        <v>13874</v>
      </c>
      <c r="R197" s="363">
        <v>648</v>
      </c>
      <c r="S197" s="363">
        <v>942</v>
      </c>
      <c r="T197" s="363">
        <v>1589</v>
      </c>
      <c r="U197" s="363">
        <v>11164</v>
      </c>
      <c r="V197" s="363">
        <v>8598</v>
      </c>
      <c r="W197" s="363">
        <v>19762</v>
      </c>
    </row>
    <row r="198" spans="2:23" hidden="1" outlineLevel="1" x14ac:dyDescent="0.25">
      <c r="B198" s="362">
        <v>44562</v>
      </c>
      <c r="C198" s="365"/>
      <c r="D198" s="365"/>
      <c r="E198" s="365"/>
      <c r="F198" s="365"/>
      <c r="G198" s="365"/>
      <c r="H198" s="365"/>
      <c r="I198" s="365">
        <v>3266</v>
      </c>
      <c r="J198" s="365">
        <v>1177</v>
      </c>
      <c r="K198" s="365">
        <v>4443</v>
      </c>
      <c r="L198" s="365">
        <v>1055</v>
      </c>
      <c r="M198" s="365">
        <v>654</v>
      </c>
      <c r="N198" s="365">
        <v>1709</v>
      </c>
      <c r="O198" s="365">
        <v>10969</v>
      </c>
      <c r="P198" s="365">
        <v>9766</v>
      </c>
      <c r="Q198" s="365">
        <v>20735</v>
      </c>
      <c r="R198" s="365">
        <v>580</v>
      </c>
      <c r="S198" s="365">
        <v>805</v>
      </c>
      <c r="T198" s="365">
        <v>1385</v>
      </c>
      <c r="U198" s="363">
        <v>15870</v>
      </c>
      <c r="V198" s="363">
        <v>12402</v>
      </c>
      <c r="W198" s="363">
        <v>28272</v>
      </c>
    </row>
    <row r="199" spans="2:23" hidden="1" outlineLevel="1" x14ac:dyDescent="0.25">
      <c r="B199" s="362">
        <v>44593</v>
      </c>
      <c r="C199" s="365">
        <v>5855</v>
      </c>
      <c r="D199" s="365">
        <v>1650</v>
      </c>
      <c r="E199" s="365">
        <v>7505</v>
      </c>
      <c r="F199" s="365">
        <v>58975</v>
      </c>
      <c r="G199" s="365">
        <v>60758</v>
      </c>
      <c r="H199" s="365">
        <v>119733</v>
      </c>
      <c r="I199" s="365"/>
      <c r="J199" s="365"/>
      <c r="K199" s="365"/>
      <c r="L199" s="365">
        <v>1030</v>
      </c>
      <c r="M199" s="365">
        <v>723</v>
      </c>
      <c r="N199" s="365">
        <v>1753</v>
      </c>
      <c r="O199" s="365"/>
      <c r="P199" s="365"/>
      <c r="Q199" s="365"/>
      <c r="R199" s="365">
        <v>1030</v>
      </c>
      <c r="S199" s="365">
        <v>1610</v>
      </c>
      <c r="T199" s="365">
        <v>2640</v>
      </c>
      <c r="U199" s="363">
        <v>66890</v>
      </c>
      <c r="V199" s="363">
        <v>64741</v>
      </c>
      <c r="W199" s="363">
        <v>131631</v>
      </c>
    </row>
    <row r="200" spans="2:23" hidden="1" outlineLevel="1" x14ac:dyDescent="0.25">
      <c r="B200" s="362">
        <v>44621</v>
      </c>
      <c r="C200" s="365">
        <v>1231</v>
      </c>
      <c r="D200" s="365">
        <v>382</v>
      </c>
      <c r="E200" s="365">
        <v>1613</v>
      </c>
      <c r="F200" s="365">
        <v>23834</v>
      </c>
      <c r="G200" s="365">
        <v>25878</v>
      </c>
      <c r="H200" s="365">
        <v>49712</v>
      </c>
      <c r="I200" s="365"/>
      <c r="J200" s="365"/>
      <c r="K200" s="365"/>
      <c r="L200" s="365">
        <v>1114</v>
      </c>
      <c r="M200" s="365">
        <v>762</v>
      </c>
      <c r="N200" s="365">
        <v>1876</v>
      </c>
      <c r="O200" s="365"/>
      <c r="P200" s="365"/>
      <c r="Q200" s="365"/>
      <c r="R200" s="365">
        <v>637</v>
      </c>
      <c r="S200" s="365">
        <v>1048</v>
      </c>
      <c r="T200" s="365">
        <v>1685</v>
      </c>
      <c r="U200" s="363">
        <v>26816</v>
      </c>
      <c r="V200" s="363">
        <v>28070</v>
      </c>
      <c r="W200" s="363">
        <v>54886</v>
      </c>
    </row>
    <row r="201" spans="2:23" hidden="1" outlineLevel="1" x14ac:dyDescent="0.25">
      <c r="B201" s="362">
        <v>44652</v>
      </c>
      <c r="C201" s="365">
        <v>1649</v>
      </c>
      <c r="D201" s="365">
        <v>698</v>
      </c>
      <c r="E201" s="365">
        <v>2347</v>
      </c>
      <c r="F201" s="365">
        <v>13977</v>
      </c>
      <c r="G201" s="365">
        <v>16276</v>
      </c>
      <c r="H201" s="365">
        <v>30253</v>
      </c>
      <c r="I201" s="365"/>
      <c r="J201" s="365"/>
      <c r="K201" s="365"/>
      <c r="L201" s="365">
        <v>1011</v>
      </c>
      <c r="M201" s="365">
        <v>660</v>
      </c>
      <c r="N201" s="365">
        <v>1671</v>
      </c>
      <c r="O201" s="365"/>
      <c r="P201" s="365"/>
      <c r="Q201" s="365"/>
      <c r="R201" s="365">
        <v>454</v>
      </c>
      <c r="S201" s="365">
        <v>709</v>
      </c>
      <c r="T201" s="365">
        <v>1163</v>
      </c>
      <c r="U201" s="363">
        <v>17091</v>
      </c>
      <c r="V201" s="363">
        <v>18343</v>
      </c>
      <c r="W201" s="363">
        <v>35434</v>
      </c>
    </row>
    <row r="202" spans="2:23" hidden="1" outlineLevel="1" x14ac:dyDescent="0.25">
      <c r="B202" s="362">
        <v>44682</v>
      </c>
      <c r="C202" s="365">
        <v>2478</v>
      </c>
      <c r="D202" s="365">
        <v>1200</v>
      </c>
      <c r="E202" s="365">
        <v>3678</v>
      </c>
      <c r="F202" s="365">
        <v>12405</v>
      </c>
      <c r="G202" s="365">
        <v>15249</v>
      </c>
      <c r="H202" s="365">
        <v>27654</v>
      </c>
      <c r="I202" s="365"/>
      <c r="J202" s="365"/>
      <c r="K202" s="365"/>
      <c r="L202" s="365">
        <v>1023</v>
      </c>
      <c r="M202" s="365">
        <v>630</v>
      </c>
      <c r="N202" s="365">
        <v>1653</v>
      </c>
      <c r="O202" s="365"/>
      <c r="P202" s="365"/>
      <c r="Q202" s="365"/>
      <c r="R202" s="365">
        <v>423</v>
      </c>
      <c r="S202" s="365">
        <v>714</v>
      </c>
      <c r="T202" s="365">
        <v>1137</v>
      </c>
      <c r="U202" s="363">
        <v>16329</v>
      </c>
      <c r="V202" s="363">
        <v>17793</v>
      </c>
      <c r="W202" s="363">
        <v>34122</v>
      </c>
    </row>
    <row r="203" spans="2:23" hidden="1" outlineLevel="1" x14ac:dyDescent="0.25">
      <c r="B203" s="362">
        <v>44713</v>
      </c>
      <c r="C203" s="365">
        <v>2443</v>
      </c>
      <c r="D203" s="365">
        <v>1204</v>
      </c>
      <c r="E203" s="365">
        <v>3647</v>
      </c>
      <c r="F203" s="365">
        <v>12493</v>
      </c>
      <c r="G203" s="365">
        <v>15201</v>
      </c>
      <c r="H203" s="365">
        <v>27694</v>
      </c>
      <c r="I203" s="365"/>
      <c r="J203" s="365"/>
      <c r="K203" s="365"/>
      <c r="L203" s="365">
        <v>832</v>
      </c>
      <c r="M203" s="365">
        <v>544</v>
      </c>
      <c r="N203" s="365">
        <v>1376</v>
      </c>
      <c r="O203" s="365"/>
      <c r="P203" s="365"/>
      <c r="Q203" s="365"/>
      <c r="R203" s="365">
        <v>416</v>
      </c>
      <c r="S203" s="365">
        <v>724</v>
      </c>
      <c r="T203" s="365">
        <v>1140</v>
      </c>
      <c r="U203" s="363">
        <v>16184</v>
      </c>
      <c r="V203" s="363">
        <v>17673</v>
      </c>
      <c r="W203" s="363">
        <v>33857</v>
      </c>
    </row>
    <row r="204" spans="2:23" hidden="1" outlineLevel="1" x14ac:dyDescent="0.25">
      <c r="B204" s="362">
        <v>44743</v>
      </c>
      <c r="C204" s="365">
        <v>2542</v>
      </c>
      <c r="D204" s="365">
        <v>1250</v>
      </c>
      <c r="E204" s="365">
        <v>3792</v>
      </c>
      <c r="F204" s="365">
        <v>13853</v>
      </c>
      <c r="G204" s="365">
        <v>15680</v>
      </c>
      <c r="H204" s="365">
        <v>29533</v>
      </c>
      <c r="I204" s="365"/>
      <c r="J204" s="365"/>
      <c r="K204" s="365"/>
      <c r="L204" s="365">
        <v>953</v>
      </c>
      <c r="M204" s="365">
        <v>596</v>
      </c>
      <c r="N204" s="365">
        <v>1549</v>
      </c>
      <c r="O204" s="365"/>
      <c r="P204" s="365"/>
      <c r="Q204" s="365"/>
      <c r="R204" s="365">
        <v>465</v>
      </c>
      <c r="S204" s="365">
        <v>851</v>
      </c>
      <c r="T204" s="365">
        <v>1316</v>
      </c>
      <c r="U204" s="363">
        <v>17813</v>
      </c>
      <c r="V204" s="363">
        <v>18377</v>
      </c>
      <c r="W204" s="363">
        <v>36190</v>
      </c>
    </row>
    <row r="205" spans="2:23" hidden="1" outlineLevel="1" x14ac:dyDescent="0.25">
      <c r="B205" s="362">
        <v>44774</v>
      </c>
      <c r="C205" s="365">
        <v>3303</v>
      </c>
      <c r="D205" s="365">
        <v>1455</v>
      </c>
      <c r="E205" s="365">
        <v>4758</v>
      </c>
      <c r="F205" s="365">
        <v>18801</v>
      </c>
      <c r="G205" s="365">
        <v>23160</v>
      </c>
      <c r="H205" s="365">
        <v>41961</v>
      </c>
      <c r="I205" s="365"/>
      <c r="J205" s="365"/>
      <c r="K205" s="365"/>
      <c r="L205" s="365">
        <v>1052</v>
      </c>
      <c r="M205" s="365">
        <v>655</v>
      </c>
      <c r="N205" s="365">
        <v>1707</v>
      </c>
      <c r="O205" s="365"/>
      <c r="P205" s="365"/>
      <c r="Q205" s="365"/>
      <c r="R205" s="365">
        <v>647</v>
      </c>
      <c r="S205" s="365">
        <v>1049</v>
      </c>
      <c r="T205" s="365">
        <v>1696</v>
      </c>
      <c r="U205" s="363">
        <v>23803</v>
      </c>
      <c r="V205" s="363">
        <v>26319</v>
      </c>
      <c r="W205" s="363">
        <v>50122</v>
      </c>
    </row>
    <row r="206" spans="2:23" hidden="1" outlineLevel="1" x14ac:dyDescent="0.25">
      <c r="B206" s="362">
        <v>44805</v>
      </c>
      <c r="C206" s="365">
        <v>2588</v>
      </c>
      <c r="D206" s="365">
        <v>937</v>
      </c>
      <c r="E206" s="365">
        <v>3525</v>
      </c>
      <c r="F206" s="365">
        <v>12201</v>
      </c>
      <c r="G206" s="365">
        <v>12758</v>
      </c>
      <c r="H206" s="365">
        <v>24959</v>
      </c>
      <c r="I206" s="365"/>
      <c r="J206" s="365"/>
      <c r="K206" s="365"/>
      <c r="L206" s="365">
        <v>812</v>
      </c>
      <c r="M206" s="365">
        <v>497</v>
      </c>
      <c r="N206" s="365">
        <v>1309</v>
      </c>
      <c r="O206" s="365"/>
      <c r="P206" s="365"/>
      <c r="Q206" s="365"/>
      <c r="R206" s="365">
        <v>392</v>
      </c>
      <c r="S206" s="365">
        <v>691</v>
      </c>
      <c r="T206" s="365">
        <v>1083</v>
      </c>
      <c r="U206" s="363">
        <v>15993</v>
      </c>
      <c r="V206" s="363">
        <v>14883</v>
      </c>
      <c r="W206" s="363">
        <v>30876</v>
      </c>
    </row>
    <row r="207" spans="2:23" hidden="1" outlineLevel="1" x14ac:dyDescent="0.25">
      <c r="B207" s="362">
        <v>44835</v>
      </c>
      <c r="C207" s="365">
        <v>2898</v>
      </c>
      <c r="D207" s="365">
        <v>866</v>
      </c>
      <c r="E207" s="365">
        <v>3764</v>
      </c>
      <c r="F207" s="365">
        <v>17411</v>
      </c>
      <c r="G207" s="365">
        <v>16939</v>
      </c>
      <c r="H207" s="365">
        <v>34350</v>
      </c>
      <c r="I207" s="365"/>
      <c r="J207" s="365"/>
      <c r="K207" s="365"/>
      <c r="L207" s="365">
        <v>740</v>
      </c>
      <c r="M207" s="365">
        <v>491</v>
      </c>
      <c r="N207" s="365">
        <v>1231</v>
      </c>
      <c r="O207" s="365"/>
      <c r="P207" s="365"/>
      <c r="Q207" s="365"/>
      <c r="R207" s="365">
        <v>395</v>
      </c>
      <c r="S207" s="365">
        <v>627</v>
      </c>
      <c r="T207" s="365">
        <v>1022</v>
      </c>
      <c r="U207" s="363">
        <v>21444</v>
      </c>
      <c r="V207" s="363">
        <v>18923</v>
      </c>
      <c r="W207" s="363">
        <v>40367</v>
      </c>
    </row>
    <row r="208" spans="2:23" hidden="1" outlineLevel="1" x14ac:dyDescent="0.25">
      <c r="B208" s="362">
        <v>44866</v>
      </c>
      <c r="C208" s="365">
        <v>3319</v>
      </c>
      <c r="D208" s="365">
        <v>845</v>
      </c>
      <c r="E208" s="365">
        <v>4164</v>
      </c>
      <c r="F208" s="365">
        <v>16562</v>
      </c>
      <c r="G208" s="365">
        <v>16847</v>
      </c>
      <c r="H208" s="365">
        <v>33409</v>
      </c>
      <c r="I208" s="365"/>
      <c r="J208" s="365"/>
      <c r="K208" s="365"/>
      <c r="L208" s="365">
        <v>865</v>
      </c>
      <c r="M208" s="365">
        <v>533</v>
      </c>
      <c r="N208" s="365">
        <v>1398</v>
      </c>
      <c r="O208" s="365"/>
      <c r="P208" s="365"/>
      <c r="Q208" s="365"/>
      <c r="R208" s="365">
        <v>401</v>
      </c>
      <c r="S208" s="365">
        <v>728</v>
      </c>
      <c r="T208" s="365">
        <v>1129</v>
      </c>
      <c r="U208" s="363">
        <v>21147</v>
      </c>
      <c r="V208" s="363">
        <v>18953</v>
      </c>
      <c r="W208" s="363">
        <v>40100</v>
      </c>
    </row>
    <row r="209" spans="2:23" hidden="1" outlineLevel="1" x14ac:dyDescent="0.25">
      <c r="B209" s="362">
        <v>44896</v>
      </c>
      <c r="C209" s="365">
        <v>3082</v>
      </c>
      <c r="D209" s="365">
        <v>632</v>
      </c>
      <c r="E209" s="365">
        <v>3714</v>
      </c>
      <c r="F209" s="365">
        <v>13761</v>
      </c>
      <c r="G209" s="365">
        <v>14692</v>
      </c>
      <c r="H209" s="365">
        <v>28453</v>
      </c>
      <c r="I209" s="365"/>
      <c r="J209" s="365"/>
      <c r="K209" s="365"/>
      <c r="L209" s="365">
        <v>621</v>
      </c>
      <c r="M209" s="365">
        <v>411</v>
      </c>
      <c r="N209" s="365">
        <v>1032</v>
      </c>
      <c r="O209" s="365"/>
      <c r="P209" s="365"/>
      <c r="Q209" s="365"/>
      <c r="R209" s="365">
        <v>399</v>
      </c>
      <c r="S209" s="365">
        <v>648</v>
      </c>
      <c r="T209" s="365">
        <v>1047</v>
      </c>
      <c r="U209" s="363">
        <v>17863</v>
      </c>
      <c r="V209" s="363">
        <v>16383</v>
      </c>
      <c r="W209" s="363">
        <v>34246</v>
      </c>
    </row>
    <row r="210" spans="2:23" collapsed="1" x14ac:dyDescent="0.25">
      <c r="B210" s="364" t="s">
        <v>713</v>
      </c>
      <c r="C210" s="363">
        <v>2853</v>
      </c>
      <c r="D210" s="363">
        <v>1011</v>
      </c>
      <c r="E210" s="363">
        <v>3864</v>
      </c>
      <c r="F210" s="363">
        <v>19479</v>
      </c>
      <c r="G210" s="363">
        <v>21222</v>
      </c>
      <c r="H210" s="363">
        <v>40701</v>
      </c>
      <c r="I210" s="363">
        <v>3266</v>
      </c>
      <c r="J210" s="363">
        <v>1177</v>
      </c>
      <c r="K210" s="363">
        <v>4443</v>
      </c>
      <c r="L210" s="363">
        <v>926</v>
      </c>
      <c r="M210" s="363">
        <v>596</v>
      </c>
      <c r="N210" s="363">
        <v>1522</v>
      </c>
      <c r="O210" s="363">
        <v>10969</v>
      </c>
      <c r="P210" s="363">
        <v>9766</v>
      </c>
      <c r="Q210" s="363">
        <v>20735</v>
      </c>
      <c r="R210" s="363">
        <v>520</v>
      </c>
      <c r="S210" s="363">
        <v>850</v>
      </c>
      <c r="T210" s="363">
        <v>1370</v>
      </c>
      <c r="U210" s="363">
        <v>23104</v>
      </c>
      <c r="V210" s="363">
        <v>22738</v>
      </c>
      <c r="W210" s="363">
        <v>45842</v>
      </c>
    </row>
    <row r="211" spans="2:23" outlineLevel="1" x14ac:dyDescent="0.25">
      <c r="B211" s="362">
        <v>44927</v>
      </c>
      <c r="C211" s="365">
        <v>1230</v>
      </c>
      <c r="D211" s="365">
        <v>326</v>
      </c>
      <c r="E211" s="365">
        <v>1556</v>
      </c>
      <c r="F211" s="365">
        <v>13134</v>
      </c>
      <c r="G211" s="365">
        <v>12836</v>
      </c>
      <c r="H211" s="365">
        <v>25970</v>
      </c>
      <c r="I211" s="365"/>
      <c r="J211" s="365"/>
      <c r="K211" s="365"/>
      <c r="L211" s="365">
        <v>669</v>
      </c>
      <c r="M211" s="365">
        <v>449</v>
      </c>
      <c r="N211" s="365">
        <v>1118</v>
      </c>
      <c r="O211" s="365"/>
      <c r="P211" s="365"/>
      <c r="Q211" s="365"/>
      <c r="R211" s="365">
        <v>392</v>
      </c>
      <c r="S211" s="365">
        <v>720</v>
      </c>
      <c r="T211" s="365">
        <v>1112</v>
      </c>
      <c r="U211" s="363">
        <v>15425</v>
      </c>
      <c r="V211" s="363">
        <v>14331</v>
      </c>
      <c r="W211" s="363">
        <v>29756</v>
      </c>
    </row>
    <row r="212" spans="2:23" outlineLevel="1" x14ac:dyDescent="0.25">
      <c r="B212" s="362">
        <v>44958</v>
      </c>
      <c r="C212" s="365">
        <v>782</v>
      </c>
      <c r="D212" s="365">
        <v>177</v>
      </c>
      <c r="E212" s="365">
        <v>959</v>
      </c>
      <c r="F212" s="365">
        <v>10295</v>
      </c>
      <c r="G212" s="365">
        <v>9661</v>
      </c>
      <c r="H212" s="365">
        <v>19956</v>
      </c>
      <c r="I212" s="365"/>
      <c r="J212" s="365"/>
      <c r="K212" s="365"/>
      <c r="L212" s="365">
        <v>497</v>
      </c>
      <c r="M212" s="365">
        <v>318</v>
      </c>
      <c r="N212" s="365">
        <v>815</v>
      </c>
      <c r="O212" s="365"/>
      <c r="P212" s="365"/>
      <c r="Q212" s="365"/>
      <c r="R212" s="365">
        <v>409</v>
      </c>
      <c r="S212" s="365">
        <v>621</v>
      </c>
      <c r="T212" s="365">
        <v>1030</v>
      </c>
      <c r="U212" s="363">
        <v>11983</v>
      </c>
      <c r="V212" s="363">
        <v>10777</v>
      </c>
      <c r="W212" s="363">
        <v>22760</v>
      </c>
    </row>
    <row r="213" spans="2:23" outlineLevel="1" x14ac:dyDescent="0.25">
      <c r="B213" s="362">
        <v>44986</v>
      </c>
      <c r="C213" s="365">
        <v>1066</v>
      </c>
      <c r="D213" s="365">
        <v>328</v>
      </c>
      <c r="E213" s="365">
        <v>1394</v>
      </c>
      <c r="F213" s="365">
        <v>10293</v>
      </c>
      <c r="G213" s="365">
        <v>9662</v>
      </c>
      <c r="H213" s="365">
        <v>19955</v>
      </c>
      <c r="I213" s="365"/>
      <c r="J213" s="365"/>
      <c r="K213" s="365"/>
      <c r="L213" s="365">
        <v>537</v>
      </c>
      <c r="M213" s="365">
        <v>346</v>
      </c>
      <c r="N213" s="365">
        <v>883</v>
      </c>
      <c r="O213" s="365"/>
      <c r="P213" s="365"/>
      <c r="Q213" s="365"/>
      <c r="R213" s="365">
        <v>471</v>
      </c>
      <c r="S213" s="365">
        <v>694</v>
      </c>
      <c r="T213" s="365">
        <v>1165</v>
      </c>
      <c r="U213" s="363">
        <v>12367</v>
      </c>
      <c r="V213" s="363">
        <v>11030</v>
      </c>
      <c r="W213" s="363">
        <v>23397</v>
      </c>
    </row>
    <row r="214" spans="2:23" outlineLevel="1" x14ac:dyDescent="0.25">
      <c r="B214" s="362">
        <v>45017</v>
      </c>
      <c r="C214" s="365">
        <v>670</v>
      </c>
      <c r="D214" s="365">
        <v>187</v>
      </c>
      <c r="E214" s="365">
        <v>857</v>
      </c>
      <c r="F214" s="365">
        <v>8906</v>
      </c>
      <c r="G214" s="365">
        <v>8186</v>
      </c>
      <c r="H214" s="365">
        <v>17092</v>
      </c>
      <c r="I214" s="365"/>
      <c r="J214" s="365"/>
      <c r="K214" s="365"/>
      <c r="L214" s="365">
        <v>323</v>
      </c>
      <c r="M214" s="365">
        <v>213</v>
      </c>
      <c r="N214" s="365">
        <v>536</v>
      </c>
      <c r="O214" s="365"/>
      <c r="P214" s="365"/>
      <c r="Q214" s="365"/>
      <c r="R214" s="365">
        <v>331</v>
      </c>
      <c r="S214" s="365">
        <v>586</v>
      </c>
      <c r="T214" s="365">
        <v>917</v>
      </c>
      <c r="U214" s="363">
        <v>10230</v>
      </c>
      <c r="V214" s="363">
        <v>9172</v>
      </c>
      <c r="W214" s="363">
        <v>19402</v>
      </c>
    </row>
    <row r="215" spans="2:23" outlineLevel="1" x14ac:dyDescent="0.25">
      <c r="B215" s="362">
        <v>45047</v>
      </c>
      <c r="C215" s="365">
        <v>814</v>
      </c>
      <c r="D215" s="365">
        <v>272</v>
      </c>
      <c r="E215" s="365">
        <v>1086</v>
      </c>
      <c r="F215" s="365">
        <v>8927</v>
      </c>
      <c r="G215" s="365">
        <v>8501</v>
      </c>
      <c r="H215" s="365">
        <v>17428</v>
      </c>
      <c r="I215" s="365"/>
      <c r="J215" s="365"/>
      <c r="K215" s="365"/>
      <c r="L215" s="365">
        <v>311</v>
      </c>
      <c r="M215" s="365">
        <v>213</v>
      </c>
      <c r="N215" s="365">
        <v>524</v>
      </c>
      <c r="O215" s="365"/>
      <c r="P215" s="365"/>
      <c r="Q215" s="365"/>
      <c r="R215" s="365">
        <v>399</v>
      </c>
      <c r="S215" s="365">
        <v>691</v>
      </c>
      <c r="T215" s="365">
        <v>1090</v>
      </c>
      <c r="U215" s="363">
        <v>10451</v>
      </c>
      <c r="V215" s="363">
        <v>9677</v>
      </c>
      <c r="W215" s="363">
        <v>20128</v>
      </c>
    </row>
    <row r="216" spans="2:23" outlineLevel="1" x14ac:dyDescent="0.25">
      <c r="B216" s="362">
        <v>45078</v>
      </c>
      <c r="C216" s="365">
        <v>793</v>
      </c>
      <c r="D216" s="365">
        <v>299</v>
      </c>
      <c r="E216" s="365">
        <v>1092</v>
      </c>
      <c r="F216" s="365">
        <v>8485</v>
      </c>
      <c r="G216" s="365">
        <v>7308</v>
      </c>
      <c r="H216" s="365">
        <v>15793</v>
      </c>
      <c r="I216" s="365"/>
      <c r="J216" s="365"/>
      <c r="K216" s="365"/>
      <c r="L216" s="365">
        <v>182</v>
      </c>
      <c r="M216" s="365">
        <v>170</v>
      </c>
      <c r="N216" s="365">
        <v>352</v>
      </c>
      <c r="O216" s="365"/>
      <c r="P216" s="365"/>
      <c r="Q216" s="365"/>
      <c r="R216" s="365">
        <v>354</v>
      </c>
      <c r="S216" s="365">
        <v>610</v>
      </c>
      <c r="T216" s="365">
        <v>964</v>
      </c>
      <c r="U216" s="363">
        <v>9814</v>
      </c>
      <c r="V216" s="363">
        <v>8387</v>
      </c>
      <c r="W216" s="363">
        <v>18201</v>
      </c>
    </row>
    <row r="217" spans="2:23" outlineLevel="1" x14ac:dyDescent="0.25">
      <c r="B217" s="362">
        <v>45108</v>
      </c>
      <c r="C217" s="365">
        <v>984</v>
      </c>
      <c r="D217" s="365">
        <v>429</v>
      </c>
      <c r="E217" s="365">
        <v>1413</v>
      </c>
      <c r="F217" s="365">
        <v>10047</v>
      </c>
      <c r="G217" s="365">
        <v>8592</v>
      </c>
      <c r="H217" s="365">
        <v>18639</v>
      </c>
      <c r="I217" s="365"/>
      <c r="J217" s="365"/>
      <c r="K217" s="365"/>
      <c r="L217" s="365">
        <v>214</v>
      </c>
      <c r="M217" s="365">
        <v>171</v>
      </c>
      <c r="N217" s="365">
        <v>385</v>
      </c>
      <c r="O217" s="365"/>
      <c r="P217" s="365"/>
      <c r="Q217" s="365"/>
      <c r="R217" s="365">
        <v>347</v>
      </c>
      <c r="S217" s="365">
        <v>634</v>
      </c>
      <c r="T217" s="365">
        <v>981</v>
      </c>
      <c r="U217" s="363">
        <v>11592</v>
      </c>
      <c r="V217" s="363">
        <v>9826</v>
      </c>
      <c r="W217" s="363">
        <v>21418</v>
      </c>
    </row>
    <row r="218" spans="2:23" outlineLevel="1" x14ac:dyDescent="0.25">
      <c r="B218" s="362">
        <v>45139</v>
      </c>
      <c r="C218" s="365">
        <v>800</v>
      </c>
      <c r="D218" s="365">
        <v>255</v>
      </c>
      <c r="E218" s="365">
        <v>1055</v>
      </c>
      <c r="F218" s="365">
        <v>7317</v>
      </c>
      <c r="G218" s="365">
        <v>6918</v>
      </c>
      <c r="H218" s="365">
        <v>14235</v>
      </c>
      <c r="I218" s="365"/>
      <c r="J218" s="365"/>
      <c r="K218" s="365"/>
      <c r="L218" s="365">
        <v>26</v>
      </c>
      <c r="M218" s="365">
        <v>29</v>
      </c>
      <c r="N218" s="365">
        <v>55</v>
      </c>
      <c r="O218" s="365"/>
      <c r="P218" s="365"/>
      <c r="Q218" s="365"/>
      <c r="R218" s="365">
        <v>198</v>
      </c>
      <c r="S218" s="365">
        <v>391</v>
      </c>
      <c r="T218" s="365">
        <v>589</v>
      </c>
      <c r="U218" s="363">
        <v>8341</v>
      </c>
      <c r="V218" s="363">
        <v>7593</v>
      </c>
      <c r="W218" s="363">
        <v>15934</v>
      </c>
    </row>
    <row r="219" spans="2:23" outlineLevel="1" x14ac:dyDescent="0.25">
      <c r="B219" s="362">
        <v>45170</v>
      </c>
      <c r="C219" s="365">
        <v>327</v>
      </c>
      <c r="D219" s="365">
        <v>108</v>
      </c>
      <c r="E219" s="365">
        <v>435</v>
      </c>
      <c r="F219" s="365">
        <v>2971</v>
      </c>
      <c r="G219" s="365">
        <v>1839</v>
      </c>
      <c r="H219" s="365">
        <v>4810</v>
      </c>
      <c r="I219" s="365"/>
      <c r="J219" s="365"/>
      <c r="K219" s="365"/>
      <c r="L219" s="365">
        <v>7</v>
      </c>
      <c r="M219" s="365">
        <v>7</v>
      </c>
      <c r="N219" s="365">
        <v>14</v>
      </c>
      <c r="O219" s="365"/>
      <c r="P219" s="365"/>
      <c r="Q219" s="365"/>
      <c r="R219" s="365">
        <v>75</v>
      </c>
      <c r="S219" s="365">
        <v>95</v>
      </c>
      <c r="T219" s="365">
        <v>170</v>
      </c>
      <c r="U219" s="363">
        <v>3380</v>
      </c>
      <c r="V219" s="363">
        <v>2049</v>
      </c>
      <c r="W219" s="363">
        <v>5429</v>
      </c>
    </row>
    <row r="220" spans="2:23" ht="30" x14ac:dyDescent="0.25">
      <c r="B220" s="364" t="s">
        <v>864</v>
      </c>
      <c r="C220" s="363">
        <v>830</v>
      </c>
      <c r="D220" s="363">
        <v>265</v>
      </c>
      <c r="E220" s="363">
        <v>1094</v>
      </c>
      <c r="F220" s="363">
        <v>8931</v>
      </c>
      <c r="G220" s="363">
        <v>8167</v>
      </c>
      <c r="H220" s="363">
        <v>17098</v>
      </c>
      <c r="I220" s="363" t="s">
        <v>804</v>
      </c>
      <c r="J220" s="363" t="s">
        <v>804</v>
      </c>
      <c r="K220" s="363" t="s">
        <v>804</v>
      </c>
      <c r="L220" s="363">
        <v>307</v>
      </c>
      <c r="M220" s="363">
        <v>213</v>
      </c>
      <c r="N220" s="363">
        <v>520</v>
      </c>
      <c r="O220" s="363" t="s">
        <v>804</v>
      </c>
      <c r="P220" s="363" t="s">
        <v>804</v>
      </c>
      <c r="Q220" s="363" t="s">
        <v>804</v>
      </c>
      <c r="R220" s="363">
        <v>331</v>
      </c>
      <c r="S220" s="363">
        <v>560</v>
      </c>
      <c r="T220" s="363">
        <v>891</v>
      </c>
      <c r="U220" s="363">
        <v>10398</v>
      </c>
      <c r="V220" s="363">
        <v>9205</v>
      </c>
      <c r="W220" s="363">
        <v>19603</v>
      </c>
    </row>
    <row r="221" spans="2:23" x14ac:dyDescent="0.25">
      <c r="B221" s="364" t="s">
        <v>840</v>
      </c>
      <c r="C221" s="363">
        <v>38854</v>
      </c>
      <c r="D221" s="363">
        <v>13500</v>
      </c>
      <c r="E221" s="363">
        <v>52354</v>
      </c>
      <c r="F221" s="363">
        <v>294648</v>
      </c>
      <c r="G221" s="363">
        <v>306941</v>
      </c>
      <c r="H221" s="363">
        <v>601589</v>
      </c>
      <c r="I221" s="363">
        <v>377634</v>
      </c>
      <c r="J221" s="363">
        <v>121201</v>
      </c>
      <c r="K221" s="363">
        <v>498835</v>
      </c>
      <c r="L221" s="363">
        <v>128440</v>
      </c>
      <c r="M221" s="363">
        <v>73321</v>
      </c>
      <c r="N221" s="363">
        <v>201761</v>
      </c>
      <c r="O221" s="363">
        <v>845869</v>
      </c>
      <c r="P221" s="363">
        <v>689914</v>
      </c>
      <c r="Q221" s="363">
        <v>1535783</v>
      </c>
      <c r="R221" s="363">
        <v>56417</v>
      </c>
      <c r="S221" s="363">
        <v>61221</v>
      </c>
      <c r="T221" s="363">
        <v>117638</v>
      </c>
      <c r="U221" s="363">
        <v>1741862</v>
      </c>
      <c r="V221" s="363">
        <v>1266098</v>
      </c>
      <c r="W221" s="363">
        <v>3007960</v>
      </c>
    </row>
    <row r="222" spans="2:23" ht="108" customHeight="1" x14ac:dyDescent="0.25">
      <c r="B222" s="428" t="s">
        <v>866</v>
      </c>
      <c r="C222" s="428"/>
      <c r="D222" s="428"/>
      <c r="E222" s="428"/>
      <c r="F222" s="428"/>
      <c r="G222" s="428"/>
      <c r="H222" s="428"/>
      <c r="I222" s="428"/>
      <c r="J222" s="428"/>
      <c r="K222" s="428"/>
      <c r="L222" s="428"/>
      <c r="M222" s="428"/>
      <c r="N222" s="428"/>
      <c r="O222" s="428"/>
      <c r="P222" s="428"/>
      <c r="Q222" s="428"/>
      <c r="R222" s="428"/>
      <c r="S222" s="428"/>
      <c r="T222" s="428"/>
      <c r="U222" s="428"/>
      <c r="V222" s="428"/>
      <c r="W222" s="428"/>
    </row>
    <row r="223" spans="2:23" x14ac:dyDescent="0.25">
      <c r="B223" s="3"/>
      <c r="C223" s="3"/>
      <c r="D223" s="3"/>
      <c r="E223" s="3"/>
      <c r="F223" s="3"/>
      <c r="G223" s="3"/>
      <c r="H223" s="3"/>
    </row>
    <row r="224" spans="2:23" x14ac:dyDescent="0.25">
      <c r="B224" s="3"/>
      <c r="C224" s="3"/>
      <c r="D224" s="3"/>
      <c r="E224" s="3"/>
      <c r="F224" s="3"/>
      <c r="G224" s="3"/>
      <c r="H224" s="3"/>
    </row>
    <row r="225" spans="2:8" x14ac:dyDescent="0.25">
      <c r="B225" s="3"/>
      <c r="C225" s="3"/>
      <c r="D225" s="3"/>
      <c r="E225" s="3"/>
      <c r="F225" s="3"/>
      <c r="G225" s="3"/>
      <c r="H225" s="3"/>
    </row>
    <row r="226" spans="2:8" x14ac:dyDescent="0.25">
      <c r="B226" s="3"/>
      <c r="C226" s="3"/>
      <c r="D226" s="3"/>
      <c r="E226" s="3"/>
      <c r="F226" s="3"/>
      <c r="G226" s="3"/>
      <c r="H226" s="3"/>
    </row>
    <row r="227" spans="2:8" x14ac:dyDescent="0.25">
      <c r="B227" s="3"/>
      <c r="C227" s="3"/>
      <c r="D227" s="3"/>
      <c r="E227" s="3"/>
      <c r="F227" s="3"/>
      <c r="G227" s="3"/>
      <c r="H227" s="3"/>
    </row>
    <row r="228" spans="2:8" x14ac:dyDescent="0.25">
      <c r="B228" s="3"/>
      <c r="C228" s="3"/>
      <c r="D228" s="3"/>
      <c r="E228" s="3"/>
      <c r="F228" s="3"/>
      <c r="G228" s="3"/>
      <c r="H228" s="3"/>
    </row>
    <row r="229" spans="2:8" x14ac:dyDescent="0.25">
      <c r="B229" s="3"/>
      <c r="C229" s="3"/>
      <c r="D229" s="3"/>
      <c r="E229" s="3"/>
      <c r="F229" s="3"/>
      <c r="G229" s="3"/>
      <c r="H229" s="3"/>
    </row>
    <row r="230" spans="2:8" x14ac:dyDescent="0.25">
      <c r="B230" s="86"/>
      <c r="C230" s="3"/>
      <c r="D230" s="3"/>
      <c r="E230" s="3"/>
      <c r="F230" s="3"/>
      <c r="G230" s="3"/>
      <c r="H230" s="3"/>
    </row>
  </sheetData>
  <mergeCells count="15">
    <mergeCell ref="B222:W222"/>
    <mergeCell ref="B5:H5"/>
    <mergeCell ref="C7:E7"/>
    <mergeCell ref="B7:B8"/>
    <mergeCell ref="C20:E20"/>
    <mergeCell ref="F20:H20"/>
    <mergeCell ref="I20:K20"/>
    <mergeCell ref="L20:N20"/>
    <mergeCell ref="O20:Q20"/>
    <mergeCell ref="B14:Q14"/>
    <mergeCell ref="B17:H17"/>
    <mergeCell ref="B19:B21"/>
    <mergeCell ref="R20:T20"/>
    <mergeCell ref="U19:W20"/>
    <mergeCell ref="C19:T19"/>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Q524"/>
  <sheetViews>
    <sheetView showGridLines="0" workbookViewId="0"/>
    <sheetView tabSelected="1" topLeftCell="A487" workbookViewId="1">
      <selection activeCell="B489" sqref="B489"/>
    </sheetView>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7.7109375" style="7" customWidth="1"/>
    <col min="18" max="16384" width="11.5703125" style="7"/>
  </cols>
  <sheetData>
    <row r="2" spans="2:17" ht="23.25" x14ac:dyDescent="0.25">
      <c r="B2" s="1" t="s">
        <v>717</v>
      </c>
    </row>
    <row r="4" spans="2:17" ht="18.75" x14ac:dyDescent="0.3">
      <c r="B4" s="2" t="s">
        <v>787</v>
      </c>
      <c r="C4" s="2"/>
      <c r="D4" s="2"/>
      <c r="E4" s="8"/>
      <c r="F4" s="8"/>
      <c r="G4" s="8"/>
    </row>
    <row r="5" spans="2:17" x14ac:dyDescent="0.25">
      <c r="B5" s="15" t="s">
        <v>857</v>
      </c>
    </row>
    <row r="7" spans="2:17" ht="15" customHeight="1" x14ac:dyDescent="0.25">
      <c r="B7" s="441" t="s">
        <v>526</v>
      </c>
      <c r="C7" s="426" t="s">
        <v>481</v>
      </c>
      <c r="D7" s="426"/>
      <c r="E7" s="426"/>
      <c r="F7" s="426"/>
      <c r="G7" s="426"/>
      <c r="H7" s="426"/>
      <c r="I7" s="426"/>
      <c r="J7" s="426"/>
      <c r="K7" s="426"/>
      <c r="L7" s="426"/>
      <c r="M7" s="426"/>
      <c r="N7" s="426"/>
      <c r="O7" s="443" t="s">
        <v>697</v>
      </c>
      <c r="P7" s="444"/>
      <c r="Q7" s="445"/>
    </row>
    <row r="8" spans="2:17" ht="15" customHeight="1" x14ac:dyDescent="0.25">
      <c r="B8" s="441"/>
      <c r="C8" s="426" t="s">
        <v>658</v>
      </c>
      <c r="D8" s="426"/>
      <c r="E8" s="426"/>
      <c r="F8" s="426" t="s">
        <v>490</v>
      </c>
      <c r="G8" s="426"/>
      <c r="H8" s="426"/>
      <c r="I8" s="426" t="s">
        <v>4</v>
      </c>
      <c r="J8" s="426"/>
      <c r="K8" s="426"/>
      <c r="L8" s="426" t="s">
        <v>6</v>
      </c>
      <c r="M8" s="426"/>
      <c r="N8" s="426"/>
      <c r="O8" s="446"/>
      <c r="P8" s="447"/>
      <c r="Q8" s="448"/>
    </row>
    <row r="9" spans="2:17" x14ac:dyDescent="0.25">
      <c r="B9" s="441"/>
      <c r="C9" s="161" t="s">
        <v>76</v>
      </c>
      <c r="D9" s="161" t="s">
        <v>77</v>
      </c>
      <c r="E9" s="161" t="s">
        <v>28</v>
      </c>
      <c r="F9" s="161" t="s">
        <v>76</v>
      </c>
      <c r="G9" s="161" t="s">
        <v>77</v>
      </c>
      <c r="H9" s="161" t="s">
        <v>28</v>
      </c>
      <c r="I9" s="161" t="s">
        <v>76</v>
      </c>
      <c r="J9" s="161" t="s">
        <v>77</v>
      </c>
      <c r="K9" s="161" t="s">
        <v>28</v>
      </c>
      <c r="L9" s="161" t="s">
        <v>76</v>
      </c>
      <c r="M9" s="161" t="s">
        <v>77</v>
      </c>
      <c r="N9" s="161" t="s">
        <v>28</v>
      </c>
      <c r="O9" s="244" t="s">
        <v>76</v>
      </c>
      <c r="P9" s="244" t="s">
        <v>77</v>
      </c>
      <c r="Q9" s="244" t="s">
        <v>28</v>
      </c>
    </row>
    <row r="10" spans="2:17" x14ac:dyDescent="0.25">
      <c r="B10" s="313" t="s">
        <v>524</v>
      </c>
      <c r="C10" s="277">
        <v>25</v>
      </c>
      <c r="D10" s="277">
        <v>6</v>
      </c>
      <c r="E10" s="277">
        <v>31</v>
      </c>
      <c r="F10" s="277">
        <v>222</v>
      </c>
      <c r="G10" s="277">
        <v>182</v>
      </c>
      <c r="H10" s="277">
        <v>404</v>
      </c>
      <c r="I10" s="274">
        <v>3</v>
      </c>
      <c r="J10" s="321">
        <v>1</v>
      </c>
      <c r="K10" s="277">
        <v>4</v>
      </c>
      <c r="L10" s="277">
        <v>9</v>
      </c>
      <c r="M10" s="274">
        <v>12</v>
      </c>
      <c r="N10" s="321">
        <v>21</v>
      </c>
      <c r="O10" s="271">
        <v>259</v>
      </c>
      <c r="P10" s="271">
        <v>201</v>
      </c>
      <c r="Q10" s="271">
        <v>460</v>
      </c>
    </row>
    <row r="11" spans="2:17" x14ac:dyDescent="0.25">
      <c r="B11" s="314" t="s">
        <v>510</v>
      </c>
      <c r="C11" s="277">
        <v>17</v>
      </c>
      <c r="D11" s="277">
        <v>3</v>
      </c>
      <c r="E11" s="277">
        <v>20</v>
      </c>
      <c r="F11" s="277">
        <v>265</v>
      </c>
      <c r="G11" s="277">
        <v>271</v>
      </c>
      <c r="H11" s="277">
        <v>536</v>
      </c>
      <c r="I11" s="274">
        <v>3</v>
      </c>
      <c r="J11" s="321">
        <v>2</v>
      </c>
      <c r="K11" s="277">
        <v>5</v>
      </c>
      <c r="L11" s="277">
        <v>14</v>
      </c>
      <c r="M11" s="274">
        <v>21</v>
      </c>
      <c r="N11" s="321">
        <v>35</v>
      </c>
      <c r="O11" s="271">
        <v>299</v>
      </c>
      <c r="P11" s="271">
        <v>297</v>
      </c>
      <c r="Q11" s="271">
        <v>596</v>
      </c>
    </row>
    <row r="12" spans="2:17" x14ac:dyDescent="0.25">
      <c r="B12" s="314" t="s">
        <v>511</v>
      </c>
      <c r="C12" s="277">
        <v>20</v>
      </c>
      <c r="D12" s="277">
        <v>3</v>
      </c>
      <c r="E12" s="277">
        <v>23</v>
      </c>
      <c r="F12" s="277">
        <v>551</v>
      </c>
      <c r="G12" s="277">
        <v>539</v>
      </c>
      <c r="H12" s="277">
        <v>1090</v>
      </c>
      <c r="I12" s="274">
        <v>4</v>
      </c>
      <c r="J12" s="321">
        <v>2</v>
      </c>
      <c r="K12" s="277">
        <v>6</v>
      </c>
      <c r="L12" s="277">
        <v>10</v>
      </c>
      <c r="M12" s="274">
        <v>16</v>
      </c>
      <c r="N12" s="321">
        <v>26</v>
      </c>
      <c r="O12" s="271">
        <v>585</v>
      </c>
      <c r="P12" s="271">
        <v>560</v>
      </c>
      <c r="Q12" s="271">
        <v>1145</v>
      </c>
    </row>
    <row r="13" spans="2:17" x14ac:dyDescent="0.25">
      <c r="B13" s="314" t="s">
        <v>512</v>
      </c>
      <c r="C13" s="277">
        <v>26</v>
      </c>
      <c r="D13" s="277">
        <v>10</v>
      </c>
      <c r="E13" s="277">
        <v>36</v>
      </c>
      <c r="F13" s="277">
        <v>331</v>
      </c>
      <c r="G13" s="277">
        <v>321</v>
      </c>
      <c r="H13" s="277">
        <v>652</v>
      </c>
      <c r="I13" s="274">
        <v>3</v>
      </c>
      <c r="J13" s="321">
        <v>3</v>
      </c>
      <c r="K13" s="277">
        <v>6</v>
      </c>
      <c r="L13" s="277">
        <v>5</v>
      </c>
      <c r="M13" s="274">
        <v>20</v>
      </c>
      <c r="N13" s="321">
        <v>25</v>
      </c>
      <c r="O13" s="271">
        <v>365</v>
      </c>
      <c r="P13" s="271">
        <v>354</v>
      </c>
      <c r="Q13" s="271">
        <v>719</v>
      </c>
    </row>
    <row r="14" spans="2:17" x14ac:dyDescent="0.25">
      <c r="B14" s="314" t="s">
        <v>513</v>
      </c>
      <c r="C14" s="277">
        <v>77</v>
      </c>
      <c r="D14" s="277">
        <v>37</v>
      </c>
      <c r="E14" s="277">
        <v>114</v>
      </c>
      <c r="F14" s="277">
        <v>874</v>
      </c>
      <c r="G14" s="277">
        <v>761</v>
      </c>
      <c r="H14" s="277">
        <v>1635</v>
      </c>
      <c r="I14" s="274">
        <v>14</v>
      </c>
      <c r="J14" s="321">
        <v>8</v>
      </c>
      <c r="K14" s="277">
        <v>22</v>
      </c>
      <c r="L14" s="277">
        <v>32</v>
      </c>
      <c r="M14" s="274">
        <v>59</v>
      </c>
      <c r="N14" s="321">
        <v>91</v>
      </c>
      <c r="O14" s="271">
        <v>997</v>
      </c>
      <c r="P14" s="271">
        <v>865</v>
      </c>
      <c r="Q14" s="271">
        <v>1862</v>
      </c>
    </row>
    <row r="15" spans="2:17" x14ac:dyDescent="0.25">
      <c r="B15" s="314" t="s">
        <v>514</v>
      </c>
      <c r="C15" s="277">
        <v>240</v>
      </c>
      <c r="D15" s="277">
        <v>91</v>
      </c>
      <c r="E15" s="277">
        <v>331</v>
      </c>
      <c r="F15" s="277">
        <v>2506</v>
      </c>
      <c r="G15" s="277">
        <v>1942</v>
      </c>
      <c r="H15" s="277">
        <v>4448</v>
      </c>
      <c r="I15" s="274">
        <v>26</v>
      </c>
      <c r="J15" s="321">
        <v>17</v>
      </c>
      <c r="K15" s="277">
        <v>43</v>
      </c>
      <c r="L15" s="277">
        <v>59</v>
      </c>
      <c r="M15" s="274">
        <v>113</v>
      </c>
      <c r="N15" s="321">
        <v>172</v>
      </c>
      <c r="O15" s="271">
        <v>2831</v>
      </c>
      <c r="P15" s="271">
        <v>2163</v>
      </c>
      <c r="Q15" s="271">
        <v>4994</v>
      </c>
    </row>
    <row r="16" spans="2:17" x14ac:dyDescent="0.25">
      <c r="B16" s="314" t="s">
        <v>522</v>
      </c>
      <c r="C16" s="277">
        <v>645</v>
      </c>
      <c r="D16" s="277">
        <v>158</v>
      </c>
      <c r="E16" s="277">
        <v>803</v>
      </c>
      <c r="F16" s="277">
        <v>7855</v>
      </c>
      <c r="G16" s="277">
        <v>6261</v>
      </c>
      <c r="H16" s="277">
        <v>14116</v>
      </c>
      <c r="I16" s="274">
        <v>66</v>
      </c>
      <c r="J16" s="321">
        <v>60</v>
      </c>
      <c r="K16" s="277">
        <v>126</v>
      </c>
      <c r="L16" s="277">
        <v>196</v>
      </c>
      <c r="M16" s="274">
        <v>330</v>
      </c>
      <c r="N16" s="321">
        <v>526</v>
      </c>
      <c r="O16" s="271">
        <v>8762</v>
      </c>
      <c r="P16" s="271">
        <v>6809</v>
      </c>
      <c r="Q16" s="271">
        <v>15571</v>
      </c>
    </row>
    <row r="17" spans="2:17" ht="30" x14ac:dyDescent="0.25">
      <c r="B17" s="314" t="s">
        <v>515</v>
      </c>
      <c r="C17" s="277">
        <v>152</v>
      </c>
      <c r="D17" s="277">
        <v>77</v>
      </c>
      <c r="E17" s="277">
        <v>229</v>
      </c>
      <c r="F17" s="277">
        <v>1210</v>
      </c>
      <c r="G17" s="277">
        <v>1156</v>
      </c>
      <c r="H17" s="277">
        <v>2366</v>
      </c>
      <c r="I17" s="274">
        <v>26</v>
      </c>
      <c r="J17" s="321">
        <v>11</v>
      </c>
      <c r="K17" s="277">
        <v>37</v>
      </c>
      <c r="L17" s="277">
        <v>52</v>
      </c>
      <c r="M17" s="274">
        <v>92</v>
      </c>
      <c r="N17" s="321">
        <v>144</v>
      </c>
      <c r="O17" s="271">
        <v>1440</v>
      </c>
      <c r="P17" s="271">
        <v>1336</v>
      </c>
      <c r="Q17" s="271">
        <v>2776</v>
      </c>
    </row>
    <row r="18" spans="2:17" x14ac:dyDescent="0.25">
      <c r="B18" s="160" t="s">
        <v>516</v>
      </c>
      <c r="C18" s="277">
        <v>172</v>
      </c>
      <c r="D18" s="277">
        <v>116</v>
      </c>
      <c r="E18" s="277">
        <v>288</v>
      </c>
      <c r="F18" s="277">
        <v>1283</v>
      </c>
      <c r="G18" s="277">
        <v>1208</v>
      </c>
      <c r="H18" s="277">
        <v>2491</v>
      </c>
      <c r="I18" s="274">
        <v>18</v>
      </c>
      <c r="J18" s="321">
        <v>15</v>
      </c>
      <c r="K18" s="277">
        <v>33</v>
      </c>
      <c r="L18" s="277">
        <v>34</v>
      </c>
      <c r="M18" s="274">
        <v>65</v>
      </c>
      <c r="N18" s="321">
        <v>99</v>
      </c>
      <c r="O18" s="271">
        <v>1507</v>
      </c>
      <c r="P18" s="271">
        <v>1404</v>
      </c>
      <c r="Q18" s="271">
        <v>2911</v>
      </c>
    </row>
    <row r="19" spans="2:17" x14ac:dyDescent="0.25">
      <c r="B19" s="309" t="s">
        <v>865</v>
      </c>
      <c r="C19" s="277">
        <v>108</v>
      </c>
      <c r="D19" s="277">
        <v>66</v>
      </c>
      <c r="E19" s="277">
        <v>174</v>
      </c>
      <c r="F19" s="277">
        <v>558</v>
      </c>
      <c r="G19" s="277">
        <v>538</v>
      </c>
      <c r="H19" s="277">
        <v>1096</v>
      </c>
      <c r="I19" s="274">
        <v>13</v>
      </c>
      <c r="J19" s="321">
        <v>12</v>
      </c>
      <c r="K19" s="277">
        <v>25</v>
      </c>
      <c r="L19" s="277">
        <v>35</v>
      </c>
      <c r="M19" s="274">
        <v>51</v>
      </c>
      <c r="N19" s="321">
        <v>86</v>
      </c>
      <c r="O19" s="271">
        <v>714</v>
      </c>
      <c r="P19" s="271">
        <v>667</v>
      </c>
      <c r="Q19" s="271">
        <v>1381</v>
      </c>
    </row>
    <row r="20" spans="2:17" x14ac:dyDescent="0.25">
      <c r="B20" s="309" t="s">
        <v>517</v>
      </c>
      <c r="C20" s="277">
        <v>269</v>
      </c>
      <c r="D20" s="277">
        <v>103</v>
      </c>
      <c r="E20" s="277">
        <v>372</v>
      </c>
      <c r="F20" s="277">
        <v>1933</v>
      </c>
      <c r="G20" s="277">
        <v>1629</v>
      </c>
      <c r="H20" s="277">
        <v>3562</v>
      </c>
      <c r="I20" s="274">
        <v>30</v>
      </c>
      <c r="J20" s="321">
        <v>28</v>
      </c>
      <c r="K20" s="277">
        <v>58</v>
      </c>
      <c r="L20" s="277">
        <v>65</v>
      </c>
      <c r="M20" s="274">
        <v>122</v>
      </c>
      <c r="N20" s="321">
        <v>187</v>
      </c>
      <c r="O20" s="271">
        <v>2297</v>
      </c>
      <c r="P20" s="271">
        <v>1882</v>
      </c>
      <c r="Q20" s="271">
        <v>4179</v>
      </c>
    </row>
    <row r="21" spans="2:17" x14ac:dyDescent="0.25">
      <c r="B21" s="309" t="s">
        <v>518</v>
      </c>
      <c r="C21" s="277">
        <v>124</v>
      </c>
      <c r="D21" s="277">
        <v>41</v>
      </c>
      <c r="E21" s="277">
        <v>165</v>
      </c>
      <c r="F21" s="277">
        <v>1064</v>
      </c>
      <c r="G21" s="277">
        <v>1071</v>
      </c>
      <c r="H21" s="277">
        <v>2135</v>
      </c>
      <c r="I21" s="274">
        <v>14</v>
      </c>
      <c r="J21" s="321">
        <v>19</v>
      </c>
      <c r="K21" s="277">
        <v>33</v>
      </c>
      <c r="L21" s="277">
        <v>33</v>
      </c>
      <c r="M21" s="274">
        <v>78</v>
      </c>
      <c r="N21" s="321">
        <v>111</v>
      </c>
      <c r="O21" s="271">
        <v>1235</v>
      </c>
      <c r="P21" s="271">
        <v>1209</v>
      </c>
      <c r="Q21" s="271">
        <v>2444</v>
      </c>
    </row>
    <row r="22" spans="2:17" x14ac:dyDescent="0.25">
      <c r="B22" s="309" t="s">
        <v>523</v>
      </c>
      <c r="C22" s="277">
        <v>69</v>
      </c>
      <c r="D22" s="277">
        <v>21</v>
      </c>
      <c r="E22" s="277">
        <v>90</v>
      </c>
      <c r="F22" s="277">
        <v>449</v>
      </c>
      <c r="G22" s="277">
        <v>422</v>
      </c>
      <c r="H22" s="277">
        <v>871</v>
      </c>
      <c r="I22" s="274">
        <v>10</v>
      </c>
      <c r="J22" s="321">
        <v>11</v>
      </c>
      <c r="K22" s="277">
        <v>21</v>
      </c>
      <c r="L22" s="277">
        <v>25</v>
      </c>
      <c r="M22" s="274">
        <v>47</v>
      </c>
      <c r="N22" s="321">
        <v>72</v>
      </c>
      <c r="O22" s="271">
        <v>553</v>
      </c>
      <c r="P22" s="271">
        <v>501</v>
      </c>
      <c r="Q22" s="271">
        <v>1054</v>
      </c>
    </row>
    <row r="23" spans="2:17" x14ac:dyDescent="0.25">
      <c r="B23" s="309" t="s">
        <v>519</v>
      </c>
      <c r="C23" s="277">
        <v>140</v>
      </c>
      <c r="D23" s="277">
        <v>53</v>
      </c>
      <c r="E23" s="277">
        <v>193</v>
      </c>
      <c r="F23" s="277">
        <v>934</v>
      </c>
      <c r="G23" s="277">
        <v>793</v>
      </c>
      <c r="H23" s="277">
        <v>1727</v>
      </c>
      <c r="I23" s="274">
        <v>15</v>
      </c>
      <c r="J23" s="321">
        <v>15</v>
      </c>
      <c r="K23" s="277">
        <v>30</v>
      </c>
      <c r="L23" s="277">
        <v>38</v>
      </c>
      <c r="M23" s="274">
        <v>80</v>
      </c>
      <c r="N23" s="321">
        <v>118</v>
      </c>
      <c r="O23" s="271">
        <v>1127</v>
      </c>
      <c r="P23" s="271">
        <v>941</v>
      </c>
      <c r="Q23" s="271">
        <v>2068</v>
      </c>
    </row>
    <row r="24" spans="2:17" ht="30" x14ac:dyDescent="0.25">
      <c r="B24" s="160" t="s">
        <v>520</v>
      </c>
      <c r="C24" s="277">
        <v>6</v>
      </c>
      <c r="D24" s="277">
        <v>1</v>
      </c>
      <c r="E24" s="277">
        <v>7</v>
      </c>
      <c r="F24" s="277">
        <v>113</v>
      </c>
      <c r="G24" s="277">
        <v>94</v>
      </c>
      <c r="H24" s="277">
        <v>207</v>
      </c>
      <c r="I24" s="274"/>
      <c r="J24" s="321"/>
      <c r="K24" s="277"/>
      <c r="L24" s="277">
        <v>8</v>
      </c>
      <c r="M24" s="274">
        <v>3</v>
      </c>
      <c r="N24" s="321">
        <v>11</v>
      </c>
      <c r="O24" s="271">
        <v>127</v>
      </c>
      <c r="P24" s="271">
        <v>98</v>
      </c>
      <c r="Q24" s="271">
        <v>225</v>
      </c>
    </row>
    <row r="25" spans="2:17" x14ac:dyDescent="0.25">
      <c r="B25" s="309" t="s">
        <v>521</v>
      </c>
      <c r="C25" s="277">
        <v>21</v>
      </c>
      <c r="D25" s="277">
        <v>6</v>
      </c>
      <c r="E25" s="277">
        <v>27</v>
      </c>
      <c r="F25" s="277">
        <v>187</v>
      </c>
      <c r="G25" s="277">
        <v>161</v>
      </c>
      <c r="H25" s="277">
        <v>348</v>
      </c>
      <c r="I25" s="274">
        <v>2</v>
      </c>
      <c r="J25" s="321">
        <v>3</v>
      </c>
      <c r="K25" s="277">
        <v>5</v>
      </c>
      <c r="L25" s="277">
        <v>5</v>
      </c>
      <c r="M25" s="274">
        <v>11</v>
      </c>
      <c r="N25" s="321">
        <v>16</v>
      </c>
      <c r="O25" s="271">
        <v>215</v>
      </c>
      <c r="P25" s="271">
        <v>181</v>
      </c>
      <c r="Q25" s="271">
        <v>396</v>
      </c>
    </row>
    <row r="26" spans="2:17" x14ac:dyDescent="0.25">
      <c r="B26" s="315" t="s">
        <v>28</v>
      </c>
      <c r="C26" s="271">
        <v>2111</v>
      </c>
      <c r="D26" s="271">
        <v>792</v>
      </c>
      <c r="E26" s="271">
        <v>2903</v>
      </c>
      <c r="F26" s="271">
        <v>20335</v>
      </c>
      <c r="G26" s="271">
        <v>17349</v>
      </c>
      <c r="H26" s="271">
        <v>37684</v>
      </c>
      <c r="I26" s="271">
        <v>247</v>
      </c>
      <c r="J26" s="271">
        <v>207</v>
      </c>
      <c r="K26" s="271">
        <v>454</v>
      </c>
      <c r="L26" s="271">
        <v>620</v>
      </c>
      <c r="M26" s="271">
        <v>1120</v>
      </c>
      <c r="N26" s="271">
        <v>1740</v>
      </c>
      <c r="O26" s="271">
        <v>23313</v>
      </c>
      <c r="P26" s="271">
        <v>19468</v>
      </c>
      <c r="Q26" s="271">
        <v>42781</v>
      </c>
    </row>
    <row r="27" spans="2:17" ht="116.25" customHeight="1" x14ac:dyDescent="0.25">
      <c r="B27" s="440" t="s">
        <v>866</v>
      </c>
      <c r="C27" s="440"/>
      <c r="D27" s="440"/>
      <c r="E27" s="440"/>
      <c r="F27" s="440"/>
      <c r="G27" s="440"/>
      <c r="H27" s="440"/>
      <c r="I27" s="440"/>
      <c r="J27" s="440"/>
      <c r="K27" s="440"/>
      <c r="L27" s="440"/>
      <c r="M27" s="440"/>
      <c r="N27" s="440"/>
      <c r="O27" s="440"/>
      <c r="P27" s="440"/>
      <c r="Q27" s="440"/>
    </row>
    <row r="29" spans="2:17" ht="18.75" x14ac:dyDescent="0.3">
      <c r="B29" s="2" t="s">
        <v>788</v>
      </c>
      <c r="C29" s="2"/>
      <c r="D29" s="2"/>
      <c r="E29" s="8"/>
      <c r="F29" s="8"/>
      <c r="G29" s="8"/>
    </row>
    <row r="30" spans="2:17" x14ac:dyDescent="0.25">
      <c r="B30" s="15" t="s">
        <v>857</v>
      </c>
      <c r="C30"/>
      <c r="D30"/>
      <c r="E30"/>
      <c r="F30"/>
      <c r="G30"/>
    </row>
    <row r="31" spans="2:17" x14ac:dyDescent="0.25">
      <c r="B31" s="6"/>
      <c r="C31"/>
      <c r="D31"/>
      <c r="E31"/>
      <c r="F31"/>
      <c r="G31"/>
    </row>
    <row r="32" spans="2:17" x14ac:dyDescent="0.25">
      <c r="B32" s="187" t="s">
        <v>524</v>
      </c>
      <c r="C32"/>
      <c r="D32"/>
      <c r="E32"/>
      <c r="F32"/>
      <c r="G32"/>
    </row>
    <row r="33" spans="2:17" x14ac:dyDescent="0.25">
      <c r="B33" s="187"/>
      <c r="C33"/>
      <c r="D33"/>
      <c r="E33"/>
      <c r="F33"/>
      <c r="G33"/>
    </row>
    <row r="34" spans="2:17" ht="15" customHeight="1" x14ac:dyDescent="0.25">
      <c r="B34" s="430" t="s">
        <v>537</v>
      </c>
      <c r="C34" s="426" t="s">
        <v>481</v>
      </c>
      <c r="D34" s="426"/>
      <c r="E34" s="426"/>
      <c r="F34" s="426"/>
      <c r="G34" s="426"/>
      <c r="H34" s="426"/>
      <c r="I34" s="426"/>
      <c r="J34" s="426"/>
      <c r="K34" s="426"/>
      <c r="L34" s="426"/>
      <c r="M34" s="426"/>
      <c r="N34" s="426"/>
      <c r="O34" s="443" t="s">
        <v>697</v>
      </c>
      <c r="P34" s="444"/>
      <c r="Q34" s="445"/>
    </row>
    <row r="35" spans="2:17" ht="15" customHeight="1" x14ac:dyDescent="0.25">
      <c r="B35" s="431"/>
      <c r="C35" s="426" t="s">
        <v>658</v>
      </c>
      <c r="D35" s="426"/>
      <c r="E35" s="426"/>
      <c r="F35" s="426" t="s">
        <v>490</v>
      </c>
      <c r="G35" s="426"/>
      <c r="H35" s="426"/>
      <c r="I35" s="426" t="s">
        <v>4</v>
      </c>
      <c r="J35" s="426"/>
      <c r="K35" s="426"/>
      <c r="L35" s="426" t="s">
        <v>6</v>
      </c>
      <c r="M35" s="426"/>
      <c r="N35" s="426"/>
      <c r="O35" s="446"/>
      <c r="P35" s="447"/>
      <c r="Q35" s="448"/>
    </row>
    <row r="36" spans="2:17" x14ac:dyDescent="0.25">
      <c r="B36" s="432"/>
      <c r="C36" s="161" t="s">
        <v>76</v>
      </c>
      <c r="D36" s="161" t="s">
        <v>77</v>
      </c>
      <c r="E36" s="161" t="s">
        <v>28</v>
      </c>
      <c r="F36" s="161" t="s">
        <v>76</v>
      </c>
      <c r="G36" s="161" t="s">
        <v>77</v>
      </c>
      <c r="H36" s="161" t="s">
        <v>28</v>
      </c>
      <c r="I36" s="161" t="s">
        <v>76</v>
      </c>
      <c r="J36" s="161" t="s">
        <v>77</v>
      </c>
      <c r="K36" s="161" t="s">
        <v>28</v>
      </c>
      <c r="L36" s="161" t="s">
        <v>76</v>
      </c>
      <c r="M36" s="161" t="s">
        <v>77</v>
      </c>
      <c r="N36" s="161" t="s">
        <v>28</v>
      </c>
      <c r="O36" s="244" t="s">
        <v>76</v>
      </c>
      <c r="P36" s="244" t="s">
        <v>77</v>
      </c>
      <c r="Q36" s="244" t="s">
        <v>28</v>
      </c>
    </row>
    <row r="37" spans="2:17" x14ac:dyDescent="0.25">
      <c r="B37" s="236" t="s">
        <v>451</v>
      </c>
      <c r="C37" s="277">
        <v>25</v>
      </c>
      <c r="D37" s="277">
        <v>6</v>
      </c>
      <c r="E37" s="277">
        <v>31</v>
      </c>
      <c r="F37" s="277">
        <v>220</v>
      </c>
      <c r="G37" s="277">
        <v>181</v>
      </c>
      <c r="H37" s="253">
        <v>401</v>
      </c>
      <c r="I37" s="277">
        <v>3</v>
      </c>
      <c r="J37" s="253">
        <v>1</v>
      </c>
      <c r="K37" s="277">
        <v>4</v>
      </c>
      <c r="L37" s="253">
        <v>9</v>
      </c>
      <c r="M37" s="277">
        <v>12</v>
      </c>
      <c r="N37" s="253">
        <v>21</v>
      </c>
      <c r="O37" s="269">
        <v>257</v>
      </c>
      <c r="P37" s="269">
        <v>200</v>
      </c>
      <c r="Q37" s="269">
        <v>457</v>
      </c>
    </row>
    <row r="38" spans="2:17" x14ac:dyDescent="0.25">
      <c r="B38" s="236" t="s">
        <v>453</v>
      </c>
      <c r="C38" s="277"/>
      <c r="D38" s="277"/>
      <c r="E38" s="277"/>
      <c r="F38" s="277">
        <v>1</v>
      </c>
      <c r="G38" s="277"/>
      <c r="H38" s="253">
        <v>1</v>
      </c>
      <c r="I38" s="277"/>
      <c r="J38" s="253"/>
      <c r="K38" s="277"/>
      <c r="L38" s="253"/>
      <c r="M38" s="277"/>
      <c r="N38" s="253"/>
      <c r="O38" s="269">
        <v>1</v>
      </c>
      <c r="P38" s="269"/>
      <c r="Q38" s="269">
        <v>1</v>
      </c>
    </row>
    <row r="39" spans="2:17" x14ac:dyDescent="0.25">
      <c r="B39" s="236" t="s">
        <v>454</v>
      </c>
      <c r="C39" s="277"/>
      <c r="D39" s="277"/>
      <c r="E39" s="277"/>
      <c r="F39" s="277">
        <v>1</v>
      </c>
      <c r="G39" s="277">
        <v>1</v>
      </c>
      <c r="H39" s="253">
        <v>2</v>
      </c>
      <c r="I39" s="277"/>
      <c r="J39" s="253"/>
      <c r="K39" s="277"/>
      <c r="L39" s="253"/>
      <c r="M39" s="277"/>
      <c r="N39" s="253"/>
      <c r="O39" s="269">
        <v>1</v>
      </c>
      <c r="P39" s="269">
        <v>1</v>
      </c>
      <c r="Q39" s="269">
        <v>2</v>
      </c>
    </row>
    <row r="40" spans="2:17" x14ac:dyDescent="0.25">
      <c r="B40" s="311" t="s">
        <v>28</v>
      </c>
      <c r="C40" s="271">
        <v>25</v>
      </c>
      <c r="D40" s="271">
        <v>6</v>
      </c>
      <c r="E40" s="271">
        <v>31</v>
      </c>
      <c r="F40" s="271">
        <v>222</v>
      </c>
      <c r="G40" s="271">
        <v>182</v>
      </c>
      <c r="H40" s="269">
        <v>404</v>
      </c>
      <c r="I40" s="271">
        <v>3</v>
      </c>
      <c r="J40" s="269">
        <v>1</v>
      </c>
      <c r="K40" s="271">
        <v>4</v>
      </c>
      <c r="L40" s="269">
        <v>9</v>
      </c>
      <c r="M40" s="271">
        <v>12</v>
      </c>
      <c r="N40" s="269">
        <v>21</v>
      </c>
      <c r="O40" s="269">
        <v>259</v>
      </c>
      <c r="P40" s="269">
        <v>201</v>
      </c>
      <c r="Q40" s="269">
        <v>460</v>
      </c>
    </row>
    <row r="41" spans="2:17" ht="121.5" customHeight="1" x14ac:dyDescent="0.25">
      <c r="B41" s="428" t="s">
        <v>866</v>
      </c>
      <c r="C41" s="428"/>
      <c r="D41" s="428"/>
      <c r="E41" s="428"/>
      <c r="F41" s="428"/>
      <c r="G41" s="428"/>
      <c r="H41" s="428"/>
      <c r="I41" s="428"/>
      <c r="J41" s="428"/>
      <c r="K41" s="428"/>
      <c r="L41" s="428"/>
      <c r="M41" s="428"/>
      <c r="N41" s="428"/>
      <c r="O41" s="428"/>
      <c r="P41" s="428"/>
      <c r="Q41" s="428"/>
    </row>
    <row r="42" spans="2:17" x14ac:dyDescent="0.25">
      <c r="B42" s="13"/>
      <c r="C42" s="13"/>
      <c r="D42" s="13"/>
      <c r="E42" s="13"/>
      <c r="F42" s="13"/>
      <c r="G42" s="13"/>
      <c r="H42" s="13"/>
      <c r="I42" s="13"/>
      <c r="J42" s="13"/>
      <c r="K42" s="13"/>
      <c r="L42" s="13"/>
      <c r="M42" s="13"/>
      <c r="N42" s="13"/>
      <c r="O42" s="13"/>
      <c r="P42" s="13"/>
      <c r="Q42" s="13"/>
    </row>
    <row r="43" spans="2:17" x14ac:dyDescent="0.25">
      <c r="B43" s="13"/>
      <c r="C43" s="13"/>
      <c r="D43" s="13"/>
      <c r="E43" s="13"/>
      <c r="F43" s="13"/>
      <c r="G43" s="13"/>
      <c r="H43" s="13"/>
      <c r="I43" s="13"/>
      <c r="J43" s="13"/>
      <c r="K43" s="13"/>
      <c r="L43" s="13"/>
      <c r="M43" s="13"/>
      <c r="N43" s="13"/>
      <c r="O43" s="13"/>
      <c r="P43" s="13"/>
      <c r="Q43" s="13"/>
    </row>
    <row r="44" spans="2:17" x14ac:dyDescent="0.25">
      <c r="B44" s="187" t="s">
        <v>510</v>
      </c>
      <c r="C44"/>
      <c r="D44"/>
      <c r="E44"/>
      <c r="F44"/>
      <c r="G44"/>
    </row>
    <row r="45" spans="2:17" x14ac:dyDescent="0.25">
      <c r="B45" s="187"/>
      <c r="C45"/>
      <c r="D45"/>
      <c r="E45"/>
      <c r="F45"/>
      <c r="G45"/>
    </row>
    <row r="46" spans="2:17" ht="15" customHeight="1" x14ac:dyDescent="0.25">
      <c r="B46" s="430" t="s">
        <v>537</v>
      </c>
      <c r="C46" s="426" t="s">
        <v>481</v>
      </c>
      <c r="D46" s="426"/>
      <c r="E46" s="426"/>
      <c r="F46" s="426"/>
      <c r="G46" s="426"/>
      <c r="H46" s="426"/>
      <c r="I46" s="426"/>
      <c r="J46" s="426"/>
      <c r="K46" s="426"/>
      <c r="L46" s="426"/>
      <c r="M46" s="426"/>
      <c r="N46" s="426"/>
      <c r="O46" s="443" t="s">
        <v>697</v>
      </c>
      <c r="P46" s="444"/>
      <c r="Q46" s="445"/>
    </row>
    <row r="47" spans="2:17" ht="15" customHeight="1" x14ac:dyDescent="0.25">
      <c r="B47" s="431"/>
      <c r="C47" s="426" t="s">
        <v>658</v>
      </c>
      <c r="D47" s="426"/>
      <c r="E47" s="426"/>
      <c r="F47" s="426" t="s">
        <v>490</v>
      </c>
      <c r="G47" s="426"/>
      <c r="H47" s="426"/>
      <c r="I47" s="426" t="s">
        <v>4</v>
      </c>
      <c r="J47" s="426"/>
      <c r="K47" s="426"/>
      <c r="L47" s="426" t="s">
        <v>6</v>
      </c>
      <c r="M47" s="426"/>
      <c r="N47" s="426"/>
      <c r="O47" s="446"/>
      <c r="P47" s="447"/>
      <c r="Q47" s="448"/>
    </row>
    <row r="48" spans="2:17" x14ac:dyDescent="0.25">
      <c r="B48" s="432"/>
      <c r="C48" s="161" t="s">
        <v>76</v>
      </c>
      <c r="D48" s="161" t="s">
        <v>77</v>
      </c>
      <c r="E48" s="161" t="s">
        <v>28</v>
      </c>
      <c r="F48" s="161" t="s">
        <v>76</v>
      </c>
      <c r="G48" s="161" t="s">
        <v>77</v>
      </c>
      <c r="H48" s="161" t="s">
        <v>28</v>
      </c>
      <c r="I48" s="161" t="s">
        <v>76</v>
      </c>
      <c r="J48" s="161" t="s">
        <v>77</v>
      </c>
      <c r="K48" s="161" t="s">
        <v>28</v>
      </c>
      <c r="L48" s="161" t="s">
        <v>76</v>
      </c>
      <c r="M48" s="161" t="s">
        <v>77</v>
      </c>
      <c r="N48" s="161" t="s">
        <v>28</v>
      </c>
      <c r="O48" s="244" t="s">
        <v>76</v>
      </c>
      <c r="P48" s="244" t="s">
        <v>77</v>
      </c>
      <c r="Q48" s="244" t="s">
        <v>28</v>
      </c>
    </row>
    <row r="49" spans="2:17" x14ac:dyDescent="0.25">
      <c r="B49" s="236" t="s">
        <v>135</v>
      </c>
      <c r="C49" s="277">
        <v>6</v>
      </c>
      <c r="D49" s="277">
        <v>1</v>
      </c>
      <c r="E49" s="277">
        <v>7</v>
      </c>
      <c r="F49" s="277">
        <v>59</v>
      </c>
      <c r="G49" s="277">
        <v>67</v>
      </c>
      <c r="H49" s="272">
        <v>126</v>
      </c>
      <c r="I49" s="272">
        <v>1</v>
      </c>
      <c r="J49" s="267"/>
      <c r="K49" s="277">
        <v>1</v>
      </c>
      <c r="L49" s="272">
        <v>4</v>
      </c>
      <c r="M49" s="272">
        <v>4</v>
      </c>
      <c r="N49" s="267">
        <v>8</v>
      </c>
      <c r="O49" s="312">
        <v>70</v>
      </c>
      <c r="P49" s="312">
        <v>72</v>
      </c>
      <c r="Q49" s="312">
        <v>142</v>
      </c>
    </row>
    <row r="50" spans="2:17" x14ac:dyDescent="0.25">
      <c r="B50" s="237" t="s">
        <v>141</v>
      </c>
      <c r="C50" s="277"/>
      <c r="D50" s="277"/>
      <c r="E50" s="277"/>
      <c r="F50" s="277">
        <v>2</v>
      </c>
      <c r="G50" s="277">
        <v>2</v>
      </c>
      <c r="H50" s="272">
        <v>4</v>
      </c>
      <c r="I50" s="272"/>
      <c r="J50" s="267"/>
      <c r="K50" s="277"/>
      <c r="L50" s="272"/>
      <c r="M50" s="272"/>
      <c r="N50" s="267"/>
      <c r="O50" s="312">
        <v>2</v>
      </c>
      <c r="P50" s="312">
        <v>2</v>
      </c>
      <c r="Q50" s="312">
        <v>4</v>
      </c>
    </row>
    <row r="51" spans="2:17" x14ac:dyDescent="0.25">
      <c r="B51" s="237" t="s">
        <v>136</v>
      </c>
      <c r="C51" s="277"/>
      <c r="D51" s="277"/>
      <c r="E51" s="277"/>
      <c r="F51" s="277">
        <v>1</v>
      </c>
      <c r="G51" s="277"/>
      <c r="H51" s="272">
        <v>1</v>
      </c>
      <c r="I51" s="272"/>
      <c r="J51" s="267"/>
      <c r="K51" s="277"/>
      <c r="L51" s="272"/>
      <c r="M51" s="272"/>
      <c r="N51" s="267"/>
      <c r="O51" s="312">
        <v>1</v>
      </c>
      <c r="P51" s="312"/>
      <c r="Q51" s="312">
        <v>1</v>
      </c>
    </row>
    <row r="52" spans="2:17" x14ac:dyDescent="0.25">
      <c r="B52" s="237" t="s">
        <v>137</v>
      </c>
      <c r="C52" s="277"/>
      <c r="D52" s="277"/>
      <c r="E52" s="277"/>
      <c r="F52" s="277"/>
      <c r="G52" s="277">
        <v>1</v>
      </c>
      <c r="H52" s="272">
        <v>1</v>
      </c>
      <c r="I52" s="272"/>
      <c r="J52" s="267"/>
      <c r="K52" s="277"/>
      <c r="L52" s="272"/>
      <c r="M52" s="272"/>
      <c r="N52" s="267"/>
      <c r="O52" s="312"/>
      <c r="P52" s="312">
        <v>1</v>
      </c>
      <c r="Q52" s="312">
        <v>1</v>
      </c>
    </row>
    <row r="53" spans="2:17" x14ac:dyDescent="0.25">
      <c r="B53" s="238" t="s">
        <v>138</v>
      </c>
      <c r="C53" s="277">
        <v>10</v>
      </c>
      <c r="D53" s="277">
        <v>2</v>
      </c>
      <c r="E53" s="277">
        <v>12</v>
      </c>
      <c r="F53" s="277">
        <v>180</v>
      </c>
      <c r="G53" s="277">
        <v>182</v>
      </c>
      <c r="H53" s="272">
        <v>362</v>
      </c>
      <c r="I53" s="272">
        <v>2</v>
      </c>
      <c r="J53" s="267">
        <v>2</v>
      </c>
      <c r="K53" s="277">
        <v>4</v>
      </c>
      <c r="L53" s="272">
        <v>9</v>
      </c>
      <c r="M53" s="272">
        <v>16</v>
      </c>
      <c r="N53" s="267">
        <v>25</v>
      </c>
      <c r="O53" s="312">
        <v>201</v>
      </c>
      <c r="P53" s="312">
        <v>202</v>
      </c>
      <c r="Q53" s="312">
        <v>403</v>
      </c>
    </row>
    <row r="54" spans="2:17" x14ac:dyDescent="0.25">
      <c r="B54" s="176" t="s">
        <v>139</v>
      </c>
      <c r="C54" s="277">
        <v>1</v>
      </c>
      <c r="D54" s="277"/>
      <c r="E54" s="277">
        <v>1</v>
      </c>
      <c r="F54" s="277">
        <v>8</v>
      </c>
      <c r="G54" s="277">
        <v>5</v>
      </c>
      <c r="H54" s="272">
        <v>13</v>
      </c>
      <c r="I54" s="272"/>
      <c r="J54" s="267"/>
      <c r="K54" s="277"/>
      <c r="L54" s="272"/>
      <c r="M54" s="272"/>
      <c r="N54" s="267"/>
      <c r="O54" s="312">
        <v>9</v>
      </c>
      <c r="P54" s="312">
        <v>5</v>
      </c>
      <c r="Q54" s="312">
        <v>14</v>
      </c>
    </row>
    <row r="55" spans="2:17" x14ac:dyDescent="0.25">
      <c r="B55" s="176" t="s">
        <v>140</v>
      </c>
      <c r="C55" s="277"/>
      <c r="D55" s="277"/>
      <c r="E55" s="277"/>
      <c r="F55" s="277">
        <v>15</v>
      </c>
      <c r="G55" s="277">
        <v>14</v>
      </c>
      <c r="H55" s="272">
        <v>29</v>
      </c>
      <c r="I55" s="272"/>
      <c r="J55" s="267"/>
      <c r="K55" s="277"/>
      <c r="L55" s="272">
        <v>1</v>
      </c>
      <c r="M55" s="272">
        <v>1</v>
      </c>
      <c r="N55" s="267">
        <v>2</v>
      </c>
      <c r="O55" s="312">
        <v>16</v>
      </c>
      <c r="P55" s="312">
        <v>15</v>
      </c>
      <c r="Q55" s="312">
        <v>31</v>
      </c>
    </row>
    <row r="56" spans="2:17" x14ac:dyDescent="0.25">
      <c r="B56" s="311" t="s">
        <v>28</v>
      </c>
      <c r="C56" s="271">
        <v>17</v>
      </c>
      <c r="D56" s="271">
        <v>3</v>
      </c>
      <c r="E56" s="271">
        <v>20</v>
      </c>
      <c r="F56" s="271">
        <v>265</v>
      </c>
      <c r="G56" s="271">
        <v>271</v>
      </c>
      <c r="H56" s="269">
        <v>536</v>
      </c>
      <c r="I56" s="269">
        <v>3</v>
      </c>
      <c r="J56" s="269">
        <v>2</v>
      </c>
      <c r="K56" s="271">
        <v>5</v>
      </c>
      <c r="L56" s="269">
        <v>14</v>
      </c>
      <c r="M56" s="269">
        <v>21</v>
      </c>
      <c r="N56" s="269">
        <v>35</v>
      </c>
      <c r="O56" s="312">
        <v>299</v>
      </c>
      <c r="P56" s="312">
        <v>297</v>
      </c>
      <c r="Q56" s="312">
        <v>596</v>
      </c>
    </row>
    <row r="57" spans="2:17" ht="127.5" customHeight="1" x14ac:dyDescent="0.25">
      <c r="B57" s="428" t="s">
        <v>866</v>
      </c>
      <c r="C57" s="428"/>
      <c r="D57" s="428"/>
      <c r="E57" s="428"/>
      <c r="F57" s="428"/>
      <c r="G57" s="428"/>
      <c r="H57" s="428"/>
      <c r="I57" s="428"/>
      <c r="J57" s="428"/>
      <c r="K57" s="428"/>
      <c r="L57" s="428"/>
      <c r="M57" s="428"/>
      <c r="N57" s="428"/>
      <c r="O57" s="428"/>
      <c r="P57" s="428"/>
      <c r="Q57" s="428"/>
    </row>
    <row r="58" spans="2:17" x14ac:dyDescent="0.25">
      <c r="B58" s="158"/>
      <c r="C58" s="158"/>
      <c r="D58" s="158"/>
      <c r="E58" s="158"/>
      <c r="F58" s="158"/>
      <c r="G58"/>
    </row>
    <row r="59" spans="2:17" x14ac:dyDescent="0.25">
      <c r="B59" s="187" t="s">
        <v>511</v>
      </c>
      <c r="C59"/>
      <c r="D59"/>
      <c r="E59"/>
      <c r="F59"/>
      <c r="G59"/>
    </row>
    <row r="60" spans="2:17" x14ac:dyDescent="0.25">
      <c r="B60" s="187"/>
      <c r="C60"/>
      <c r="D60"/>
      <c r="E60"/>
      <c r="F60"/>
      <c r="G60"/>
    </row>
    <row r="61" spans="2:17" ht="15" customHeight="1" x14ac:dyDescent="0.25">
      <c r="B61" s="430" t="s">
        <v>537</v>
      </c>
      <c r="C61" s="426" t="s">
        <v>481</v>
      </c>
      <c r="D61" s="426"/>
      <c r="E61" s="426"/>
      <c r="F61" s="426"/>
      <c r="G61" s="426"/>
      <c r="H61" s="426"/>
      <c r="I61" s="426"/>
      <c r="J61" s="426"/>
      <c r="K61" s="426"/>
      <c r="L61" s="426"/>
      <c r="M61" s="426"/>
      <c r="N61" s="426"/>
      <c r="O61" s="443" t="s">
        <v>697</v>
      </c>
      <c r="P61" s="444"/>
      <c r="Q61" s="445"/>
    </row>
    <row r="62" spans="2:17" ht="15" customHeight="1" x14ac:dyDescent="0.25">
      <c r="B62" s="431"/>
      <c r="C62" s="426" t="s">
        <v>658</v>
      </c>
      <c r="D62" s="426"/>
      <c r="E62" s="426"/>
      <c r="F62" s="426" t="s">
        <v>490</v>
      </c>
      <c r="G62" s="426"/>
      <c r="H62" s="426"/>
      <c r="I62" s="426" t="s">
        <v>4</v>
      </c>
      <c r="J62" s="426"/>
      <c r="K62" s="426"/>
      <c r="L62" s="426" t="s">
        <v>6</v>
      </c>
      <c r="M62" s="426"/>
      <c r="N62" s="426"/>
      <c r="O62" s="446"/>
      <c r="P62" s="447"/>
      <c r="Q62" s="448"/>
    </row>
    <row r="63" spans="2:17" x14ac:dyDescent="0.25">
      <c r="B63" s="432"/>
      <c r="C63" s="161" t="s">
        <v>76</v>
      </c>
      <c r="D63" s="161" t="s">
        <v>77</v>
      </c>
      <c r="E63" s="161" t="s">
        <v>28</v>
      </c>
      <c r="F63" s="161" t="s">
        <v>76</v>
      </c>
      <c r="G63" s="161" t="s">
        <v>77</v>
      </c>
      <c r="H63" s="161" t="s">
        <v>28</v>
      </c>
      <c r="I63" s="161" t="s">
        <v>76</v>
      </c>
      <c r="J63" s="161" t="s">
        <v>77</v>
      </c>
      <c r="K63" s="161" t="s">
        <v>28</v>
      </c>
      <c r="L63" s="161" t="s">
        <v>76</v>
      </c>
      <c r="M63" s="161" t="s">
        <v>77</v>
      </c>
      <c r="N63" s="161" t="s">
        <v>28</v>
      </c>
      <c r="O63" s="244" t="s">
        <v>76</v>
      </c>
      <c r="P63" s="244" t="s">
        <v>77</v>
      </c>
      <c r="Q63" s="244" t="s">
        <v>28</v>
      </c>
    </row>
    <row r="64" spans="2:17" x14ac:dyDescent="0.25">
      <c r="B64" s="236" t="s">
        <v>143</v>
      </c>
      <c r="C64" s="277">
        <v>8</v>
      </c>
      <c r="D64" s="277">
        <v>2</v>
      </c>
      <c r="E64" s="277">
        <v>10</v>
      </c>
      <c r="F64" s="277">
        <v>344</v>
      </c>
      <c r="G64" s="277">
        <v>312</v>
      </c>
      <c r="H64" s="253">
        <v>656</v>
      </c>
      <c r="I64" s="277">
        <v>1</v>
      </c>
      <c r="J64" s="253">
        <v>2</v>
      </c>
      <c r="K64" s="277">
        <v>3</v>
      </c>
      <c r="L64" s="253">
        <v>8</v>
      </c>
      <c r="M64" s="277">
        <v>13</v>
      </c>
      <c r="N64" s="253">
        <v>21</v>
      </c>
      <c r="O64" s="269">
        <v>361</v>
      </c>
      <c r="P64" s="269">
        <v>329</v>
      </c>
      <c r="Q64" s="269">
        <v>690</v>
      </c>
    </row>
    <row r="65" spans="2:17" x14ac:dyDescent="0.25">
      <c r="B65" s="237" t="s">
        <v>144</v>
      </c>
      <c r="C65" s="277">
        <v>5</v>
      </c>
      <c r="D65" s="277"/>
      <c r="E65" s="277">
        <v>5</v>
      </c>
      <c r="F65" s="277">
        <v>141</v>
      </c>
      <c r="G65" s="277">
        <v>178</v>
      </c>
      <c r="H65" s="253">
        <v>319</v>
      </c>
      <c r="I65" s="277">
        <v>2</v>
      </c>
      <c r="J65" s="253"/>
      <c r="K65" s="277">
        <v>2</v>
      </c>
      <c r="L65" s="253">
        <v>1</v>
      </c>
      <c r="M65" s="277">
        <v>2</v>
      </c>
      <c r="N65" s="253">
        <v>3</v>
      </c>
      <c r="O65" s="269">
        <v>149</v>
      </c>
      <c r="P65" s="269">
        <v>180</v>
      </c>
      <c r="Q65" s="269">
        <v>329</v>
      </c>
    </row>
    <row r="66" spans="2:17" x14ac:dyDescent="0.25">
      <c r="B66" s="237" t="s">
        <v>145</v>
      </c>
      <c r="C66" s="277">
        <v>1</v>
      </c>
      <c r="D66" s="277"/>
      <c r="E66" s="277">
        <v>1</v>
      </c>
      <c r="F66" s="277">
        <v>4</v>
      </c>
      <c r="G66" s="277">
        <v>6</v>
      </c>
      <c r="H66" s="253">
        <v>10</v>
      </c>
      <c r="I66" s="277"/>
      <c r="J66" s="253"/>
      <c r="K66" s="277"/>
      <c r="L66" s="253"/>
      <c r="M66" s="277"/>
      <c r="N66" s="253"/>
      <c r="O66" s="269">
        <v>5</v>
      </c>
      <c r="P66" s="269">
        <v>6</v>
      </c>
      <c r="Q66" s="269">
        <v>11</v>
      </c>
    </row>
    <row r="67" spans="2:17" x14ac:dyDescent="0.25">
      <c r="B67" s="237" t="s">
        <v>146</v>
      </c>
      <c r="C67" s="277"/>
      <c r="D67" s="277"/>
      <c r="E67" s="277"/>
      <c r="F67" s="277">
        <v>7</v>
      </c>
      <c r="G67" s="277">
        <v>5</v>
      </c>
      <c r="H67" s="253">
        <v>12</v>
      </c>
      <c r="I67" s="277"/>
      <c r="J67" s="253"/>
      <c r="K67" s="277"/>
      <c r="L67" s="253"/>
      <c r="M67" s="277"/>
      <c r="N67" s="253"/>
      <c r="O67" s="269">
        <v>7</v>
      </c>
      <c r="P67" s="269">
        <v>5</v>
      </c>
      <c r="Q67" s="269">
        <v>12</v>
      </c>
    </row>
    <row r="68" spans="2:17" x14ac:dyDescent="0.25">
      <c r="B68" s="237" t="s">
        <v>147</v>
      </c>
      <c r="C68" s="277"/>
      <c r="D68" s="277"/>
      <c r="E68" s="277"/>
      <c r="F68" s="277">
        <v>1</v>
      </c>
      <c r="G68" s="277"/>
      <c r="H68" s="253">
        <v>1</v>
      </c>
      <c r="I68" s="277"/>
      <c r="J68" s="253"/>
      <c r="K68" s="277"/>
      <c r="L68" s="253"/>
      <c r="M68" s="277"/>
      <c r="N68" s="253"/>
      <c r="O68" s="269">
        <v>1</v>
      </c>
      <c r="P68" s="269"/>
      <c r="Q68" s="269">
        <v>1</v>
      </c>
    </row>
    <row r="69" spans="2:17" x14ac:dyDescent="0.25">
      <c r="B69" s="237" t="s">
        <v>148</v>
      </c>
      <c r="C69" s="277">
        <v>1</v>
      </c>
      <c r="D69" s="277"/>
      <c r="E69" s="277">
        <v>1</v>
      </c>
      <c r="F69" s="277">
        <v>10</v>
      </c>
      <c r="G69" s="277">
        <v>9</v>
      </c>
      <c r="H69" s="253">
        <v>19</v>
      </c>
      <c r="I69" s="277"/>
      <c r="J69" s="253"/>
      <c r="K69" s="277"/>
      <c r="L69" s="253"/>
      <c r="M69" s="277"/>
      <c r="N69" s="253"/>
      <c r="O69" s="269">
        <v>11</v>
      </c>
      <c r="P69" s="269">
        <v>9</v>
      </c>
      <c r="Q69" s="269">
        <v>20</v>
      </c>
    </row>
    <row r="70" spans="2:17" x14ac:dyDescent="0.25">
      <c r="B70" s="237" t="s">
        <v>149</v>
      </c>
      <c r="C70" s="277"/>
      <c r="D70" s="277"/>
      <c r="E70" s="277"/>
      <c r="F70" s="277">
        <v>1</v>
      </c>
      <c r="G70" s="277">
        <v>1</v>
      </c>
      <c r="H70" s="253">
        <v>2</v>
      </c>
      <c r="I70" s="277"/>
      <c r="J70" s="253"/>
      <c r="K70" s="277"/>
      <c r="L70" s="253"/>
      <c r="M70" s="277"/>
      <c r="N70" s="253"/>
      <c r="O70" s="269">
        <v>1</v>
      </c>
      <c r="P70" s="269">
        <v>1</v>
      </c>
      <c r="Q70" s="269">
        <v>2</v>
      </c>
    </row>
    <row r="71" spans="2:17" x14ac:dyDescent="0.25">
      <c r="B71" s="237" t="s">
        <v>150</v>
      </c>
      <c r="C71" s="277">
        <v>1</v>
      </c>
      <c r="D71" s="277">
        <v>1</v>
      </c>
      <c r="E71" s="277">
        <v>2</v>
      </c>
      <c r="F71" s="277">
        <v>16</v>
      </c>
      <c r="G71" s="277">
        <v>10</v>
      </c>
      <c r="H71" s="253">
        <v>26</v>
      </c>
      <c r="I71" s="277"/>
      <c r="J71" s="253"/>
      <c r="K71" s="277"/>
      <c r="L71" s="253">
        <v>1</v>
      </c>
      <c r="M71" s="277">
        <v>1</v>
      </c>
      <c r="N71" s="253">
        <v>2</v>
      </c>
      <c r="O71" s="269">
        <v>18</v>
      </c>
      <c r="P71" s="269">
        <v>12</v>
      </c>
      <c r="Q71" s="269">
        <v>30</v>
      </c>
    </row>
    <row r="72" spans="2:17" x14ac:dyDescent="0.25">
      <c r="B72" s="237" t="s">
        <v>151</v>
      </c>
      <c r="C72" s="277">
        <v>4</v>
      </c>
      <c r="D72" s="277"/>
      <c r="E72" s="277">
        <v>4</v>
      </c>
      <c r="F72" s="277">
        <v>27</v>
      </c>
      <c r="G72" s="277">
        <v>18</v>
      </c>
      <c r="H72" s="253">
        <v>45</v>
      </c>
      <c r="I72" s="277">
        <v>1</v>
      </c>
      <c r="J72" s="253"/>
      <c r="K72" s="277">
        <v>1</v>
      </c>
      <c r="L72" s="253"/>
      <c r="M72" s="277"/>
      <c r="N72" s="253"/>
      <c r="O72" s="269">
        <v>32</v>
      </c>
      <c r="P72" s="269">
        <v>18</v>
      </c>
      <c r="Q72" s="269">
        <v>50</v>
      </c>
    </row>
    <row r="73" spans="2:17" x14ac:dyDescent="0.25">
      <c r="B73" s="311" t="s">
        <v>28</v>
      </c>
      <c r="C73" s="271">
        <v>20</v>
      </c>
      <c r="D73" s="271">
        <v>3</v>
      </c>
      <c r="E73" s="271">
        <v>23</v>
      </c>
      <c r="F73" s="271">
        <v>551</v>
      </c>
      <c r="G73" s="271">
        <v>539</v>
      </c>
      <c r="H73" s="269">
        <v>1090</v>
      </c>
      <c r="I73" s="271">
        <v>4</v>
      </c>
      <c r="J73" s="269">
        <v>2</v>
      </c>
      <c r="K73" s="271">
        <v>6</v>
      </c>
      <c r="L73" s="269">
        <v>10</v>
      </c>
      <c r="M73" s="271">
        <v>16</v>
      </c>
      <c r="N73" s="269">
        <v>26</v>
      </c>
      <c r="O73" s="269">
        <v>585</v>
      </c>
      <c r="P73" s="269">
        <v>560</v>
      </c>
      <c r="Q73" s="269">
        <v>1145</v>
      </c>
    </row>
    <row r="74" spans="2:17" ht="126" customHeight="1" x14ac:dyDescent="0.25">
      <c r="B74" s="428" t="s">
        <v>866</v>
      </c>
      <c r="C74" s="428"/>
      <c r="D74" s="428"/>
      <c r="E74" s="428"/>
      <c r="F74" s="428"/>
      <c r="G74" s="428"/>
      <c r="H74" s="428"/>
      <c r="I74" s="428"/>
      <c r="J74" s="428"/>
      <c r="K74" s="428"/>
      <c r="L74" s="428"/>
      <c r="M74" s="428"/>
      <c r="N74" s="428"/>
      <c r="O74" s="428"/>
      <c r="P74" s="428"/>
      <c r="Q74" s="428"/>
    </row>
    <row r="75" spans="2:17" x14ac:dyDescent="0.25">
      <c r="B75" s="158"/>
      <c r="C75" s="158"/>
      <c r="D75" s="158"/>
      <c r="E75"/>
      <c r="F75"/>
      <c r="G75"/>
    </row>
    <row r="76" spans="2:17" x14ac:dyDescent="0.25">
      <c r="B76" s="187" t="s">
        <v>512</v>
      </c>
      <c r="C76"/>
      <c r="D76"/>
      <c r="E76"/>
      <c r="F76"/>
      <c r="G76"/>
    </row>
    <row r="77" spans="2:17" x14ac:dyDescent="0.25">
      <c r="B77" s="187"/>
      <c r="C77"/>
      <c r="D77"/>
      <c r="E77"/>
      <c r="F77"/>
      <c r="G77"/>
    </row>
    <row r="78" spans="2:17" ht="15" customHeight="1" x14ac:dyDescent="0.25">
      <c r="B78" s="430" t="s">
        <v>537</v>
      </c>
      <c r="C78" s="426" t="s">
        <v>481</v>
      </c>
      <c r="D78" s="426"/>
      <c r="E78" s="426"/>
      <c r="F78" s="426"/>
      <c r="G78" s="426"/>
      <c r="H78" s="426"/>
      <c r="I78" s="426"/>
      <c r="J78" s="426"/>
      <c r="K78" s="426"/>
      <c r="L78" s="426"/>
      <c r="M78" s="426"/>
      <c r="N78" s="426"/>
      <c r="O78" s="443" t="s">
        <v>697</v>
      </c>
      <c r="P78" s="444"/>
      <c r="Q78" s="445"/>
    </row>
    <row r="79" spans="2:17" ht="15" customHeight="1" x14ac:dyDescent="0.25">
      <c r="B79" s="431"/>
      <c r="C79" s="426" t="s">
        <v>658</v>
      </c>
      <c r="D79" s="426"/>
      <c r="E79" s="426"/>
      <c r="F79" s="426" t="s">
        <v>490</v>
      </c>
      <c r="G79" s="426"/>
      <c r="H79" s="426"/>
      <c r="I79" s="426" t="s">
        <v>4</v>
      </c>
      <c r="J79" s="426"/>
      <c r="K79" s="426"/>
      <c r="L79" s="426" t="s">
        <v>6</v>
      </c>
      <c r="M79" s="426"/>
      <c r="N79" s="426"/>
      <c r="O79" s="446"/>
      <c r="P79" s="447"/>
      <c r="Q79" s="448"/>
    </row>
    <row r="80" spans="2:17" x14ac:dyDescent="0.25">
      <c r="B80" s="432"/>
      <c r="C80" s="161" t="s">
        <v>76</v>
      </c>
      <c r="D80" s="161" t="s">
        <v>77</v>
      </c>
      <c r="E80" s="161" t="s">
        <v>28</v>
      </c>
      <c r="F80" s="161" t="s">
        <v>76</v>
      </c>
      <c r="G80" s="161" t="s">
        <v>77</v>
      </c>
      <c r="H80" s="161" t="s">
        <v>28</v>
      </c>
      <c r="I80" s="161" t="s">
        <v>76</v>
      </c>
      <c r="J80" s="161" t="s">
        <v>77</v>
      </c>
      <c r="K80" s="161" t="s">
        <v>28</v>
      </c>
      <c r="L80" s="161" t="s">
        <v>76</v>
      </c>
      <c r="M80" s="161" t="s">
        <v>77</v>
      </c>
      <c r="N80" s="161" t="s">
        <v>28</v>
      </c>
      <c r="O80" s="244" t="s">
        <v>76</v>
      </c>
      <c r="P80" s="244" t="s">
        <v>77</v>
      </c>
      <c r="Q80" s="244" t="s">
        <v>28</v>
      </c>
    </row>
    <row r="81" spans="2:17" x14ac:dyDescent="0.25">
      <c r="B81" s="347" t="s">
        <v>152</v>
      </c>
      <c r="C81" s="277"/>
      <c r="D81" s="277"/>
      <c r="E81" s="277"/>
      <c r="F81" s="277">
        <v>5</v>
      </c>
      <c r="G81" s="277">
        <v>10</v>
      </c>
      <c r="H81" s="253">
        <v>15</v>
      </c>
      <c r="I81" s="277"/>
      <c r="J81" s="253"/>
      <c r="K81" s="277"/>
      <c r="L81" s="253"/>
      <c r="M81" s="277">
        <v>1</v>
      </c>
      <c r="N81" s="253">
        <v>1</v>
      </c>
      <c r="O81" s="269">
        <v>5</v>
      </c>
      <c r="P81" s="269">
        <v>11</v>
      </c>
      <c r="Q81" s="269">
        <v>16</v>
      </c>
    </row>
    <row r="82" spans="2:17" x14ac:dyDescent="0.25">
      <c r="B82" s="347" t="s">
        <v>153</v>
      </c>
      <c r="C82" s="277">
        <v>1</v>
      </c>
      <c r="D82" s="277">
        <v>1</v>
      </c>
      <c r="E82" s="277">
        <v>2</v>
      </c>
      <c r="F82" s="277">
        <v>33</v>
      </c>
      <c r="G82" s="277">
        <v>29</v>
      </c>
      <c r="H82" s="253">
        <v>62</v>
      </c>
      <c r="I82" s="277">
        <v>1</v>
      </c>
      <c r="J82" s="253"/>
      <c r="K82" s="277">
        <v>1</v>
      </c>
      <c r="L82" s="253"/>
      <c r="M82" s="277">
        <v>1</v>
      </c>
      <c r="N82" s="253">
        <v>1</v>
      </c>
      <c r="O82" s="269">
        <v>35</v>
      </c>
      <c r="P82" s="269">
        <v>31</v>
      </c>
      <c r="Q82" s="269">
        <v>66</v>
      </c>
    </row>
    <row r="83" spans="2:17" x14ac:dyDescent="0.25">
      <c r="B83" s="347" t="s">
        <v>495</v>
      </c>
      <c r="C83" s="277">
        <v>3</v>
      </c>
      <c r="D83" s="277">
        <v>1</v>
      </c>
      <c r="E83" s="277">
        <v>4</v>
      </c>
      <c r="F83" s="277">
        <v>23</v>
      </c>
      <c r="G83" s="277">
        <v>12</v>
      </c>
      <c r="H83" s="253">
        <v>35</v>
      </c>
      <c r="I83" s="277"/>
      <c r="J83" s="253">
        <v>1</v>
      </c>
      <c r="K83" s="277">
        <v>1</v>
      </c>
      <c r="L83" s="253"/>
      <c r="M83" s="277">
        <v>2</v>
      </c>
      <c r="N83" s="253">
        <v>2</v>
      </c>
      <c r="O83" s="269">
        <v>26</v>
      </c>
      <c r="P83" s="269">
        <v>16</v>
      </c>
      <c r="Q83" s="269">
        <v>42</v>
      </c>
    </row>
    <row r="84" spans="2:17" x14ac:dyDescent="0.25">
      <c r="B84" s="347" t="s">
        <v>154</v>
      </c>
      <c r="C84" s="277">
        <v>16</v>
      </c>
      <c r="D84" s="277">
        <v>5</v>
      </c>
      <c r="E84" s="277">
        <v>21</v>
      </c>
      <c r="F84" s="277">
        <v>159</v>
      </c>
      <c r="G84" s="277">
        <v>170</v>
      </c>
      <c r="H84" s="253">
        <v>329</v>
      </c>
      <c r="I84" s="277"/>
      <c r="J84" s="253">
        <v>2</v>
      </c>
      <c r="K84" s="277">
        <v>2</v>
      </c>
      <c r="L84" s="253">
        <v>5</v>
      </c>
      <c r="M84" s="277">
        <v>14</v>
      </c>
      <c r="N84" s="253">
        <v>19</v>
      </c>
      <c r="O84" s="269">
        <v>180</v>
      </c>
      <c r="P84" s="269">
        <v>191</v>
      </c>
      <c r="Q84" s="269">
        <v>371</v>
      </c>
    </row>
    <row r="85" spans="2:17" x14ac:dyDescent="0.25">
      <c r="B85" s="347" t="s">
        <v>155</v>
      </c>
      <c r="C85" s="277"/>
      <c r="D85" s="277"/>
      <c r="E85" s="277"/>
      <c r="F85" s="277">
        <v>15</v>
      </c>
      <c r="G85" s="277">
        <v>14</v>
      </c>
      <c r="H85" s="253">
        <v>29</v>
      </c>
      <c r="I85" s="277"/>
      <c r="J85" s="253"/>
      <c r="K85" s="277"/>
      <c r="L85" s="253"/>
      <c r="M85" s="277"/>
      <c r="N85" s="253"/>
      <c r="O85" s="269">
        <v>15</v>
      </c>
      <c r="P85" s="269">
        <v>14</v>
      </c>
      <c r="Q85" s="269">
        <v>29</v>
      </c>
    </row>
    <row r="86" spans="2:17" x14ac:dyDescent="0.25">
      <c r="B86" s="347" t="s">
        <v>156</v>
      </c>
      <c r="C86" s="277">
        <v>1</v>
      </c>
      <c r="D86" s="277">
        <v>2</v>
      </c>
      <c r="E86" s="277">
        <v>3</v>
      </c>
      <c r="F86" s="277">
        <v>4</v>
      </c>
      <c r="G86" s="277">
        <v>7</v>
      </c>
      <c r="H86" s="253">
        <v>11</v>
      </c>
      <c r="I86" s="277"/>
      <c r="J86" s="253"/>
      <c r="K86" s="277"/>
      <c r="L86" s="253"/>
      <c r="M86" s="277"/>
      <c r="N86" s="253"/>
      <c r="O86" s="269">
        <v>5</v>
      </c>
      <c r="P86" s="269">
        <v>9</v>
      </c>
      <c r="Q86" s="269">
        <v>14</v>
      </c>
    </row>
    <row r="87" spans="2:17" x14ac:dyDescent="0.25">
      <c r="B87" s="347" t="s">
        <v>157</v>
      </c>
      <c r="C87" s="277">
        <v>2</v>
      </c>
      <c r="D87" s="277">
        <v>1</v>
      </c>
      <c r="E87" s="277">
        <v>3</v>
      </c>
      <c r="F87" s="277">
        <v>16</v>
      </c>
      <c r="G87" s="277">
        <v>10</v>
      </c>
      <c r="H87" s="253">
        <v>26</v>
      </c>
      <c r="I87" s="277"/>
      <c r="J87" s="253"/>
      <c r="K87" s="277"/>
      <c r="L87" s="253"/>
      <c r="M87" s="277"/>
      <c r="N87" s="253"/>
      <c r="O87" s="269">
        <v>18</v>
      </c>
      <c r="P87" s="269">
        <v>11</v>
      </c>
      <c r="Q87" s="269">
        <v>29</v>
      </c>
    </row>
    <row r="88" spans="2:17" x14ac:dyDescent="0.25">
      <c r="B88" s="347" t="s">
        <v>158</v>
      </c>
      <c r="C88" s="277">
        <v>1</v>
      </c>
      <c r="D88" s="277"/>
      <c r="E88" s="277">
        <v>1</v>
      </c>
      <c r="F88" s="277">
        <v>12</v>
      </c>
      <c r="G88" s="277">
        <v>10</v>
      </c>
      <c r="H88" s="253">
        <v>22</v>
      </c>
      <c r="I88" s="277"/>
      <c r="J88" s="253"/>
      <c r="K88" s="277"/>
      <c r="L88" s="253"/>
      <c r="M88" s="277"/>
      <c r="N88" s="253"/>
      <c r="O88" s="269">
        <v>13</v>
      </c>
      <c r="P88" s="269">
        <v>10</v>
      </c>
      <c r="Q88" s="269">
        <v>23</v>
      </c>
    </row>
    <row r="89" spans="2:17" x14ac:dyDescent="0.25">
      <c r="B89" s="348" t="s">
        <v>159</v>
      </c>
      <c r="C89" s="277">
        <v>2</v>
      </c>
      <c r="D89" s="277"/>
      <c r="E89" s="277">
        <v>2</v>
      </c>
      <c r="F89" s="277">
        <v>64</v>
      </c>
      <c r="G89" s="277">
        <v>59</v>
      </c>
      <c r="H89" s="253">
        <v>123</v>
      </c>
      <c r="I89" s="277">
        <v>2</v>
      </c>
      <c r="J89" s="253"/>
      <c r="K89" s="277">
        <v>2</v>
      </c>
      <c r="L89" s="253"/>
      <c r="M89" s="277">
        <v>2</v>
      </c>
      <c r="N89" s="253">
        <v>2</v>
      </c>
      <c r="O89" s="269">
        <v>68</v>
      </c>
      <c r="P89" s="269">
        <v>61</v>
      </c>
      <c r="Q89" s="269">
        <v>129</v>
      </c>
    </row>
    <row r="90" spans="2:17" x14ac:dyDescent="0.25">
      <c r="B90" s="349" t="s">
        <v>28</v>
      </c>
      <c r="C90" s="271">
        <v>26</v>
      </c>
      <c r="D90" s="271">
        <v>10</v>
      </c>
      <c r="E90" s="271">
        <v>36</v>
      </c>
      <c r="F90" s="271">
        <v>331</v>
      </c>
      <c r="G90" s="271">
        <v>321</v>
      </c>
      <c r="H90" s="269">
        <v>652</v>
      </c>
      <c r="I90" s="271">
        <v>3</v>
      </c>
      <c r="J90" s="269">
        <v>3</v>
      </c>
      <c r="K90" s="271">
        <v>6</v>
      </c>
      <c r="L90" s="269">
        <v>5</v>
      </c>
      <c r="M90" s="271">
        <v>20</v>
      </c>
      <c r="N90" s="269">
        <v>25</v>
      </c>
      <c r="O90" s="269">
        <v>365</v>
      </c>
      <c r="P90" s="269">
        <v>354</v>
      </c>
      <c r="Q90" s="269">
        <v>719</v>
      </c>
    </row>
    <row r="91" spans="2:17" ht="122.25" customHeight="1" x14ac:dyDescent="0.25">
      <c r="B91" s="428" t="s">
        <v>866</v>
      </c>
      <c r="C91" s="428"/>
      <c r="D91" s="428"/>
      <c r="E91" s="428"/>
      <c r="F91" s="428"/>
      <c r="G91" s="428"/>
      <c r="H91" s="428"/>
      <c r="I91" s="428"/>
      <c r="J91" s="428"/>
      <c r="K91" s="428"/>
      <c r="L91" s="428"/>
      <c r="M91" s="428"/>
      <c r="N91" s="428"/>
      <c r="O91" s="428"/>
      <c r="P91" s="428"/>
      <c r="Q91" s="428"/>
    </row>
    <row r="92" spans="2:17" x14ac:dyDescent="0.25">
      <c r="B92" s="158"/>
      <c r="C92" s="158"/>
      <c r="D92" s="158"/>
      <c r="E92"/>
      <c r="F92"/>
      <c r="G92"/>
    </row>
    <row r="93" spans="2:17" x14ac:dyDescent="0.25">
      <c r="B93" s="187" t="s">
        <v>513</v>
      </c>
      <c r="C93"/>
      <c r="D93"/>
      <c r="E93"/>
      <c r="F93"/>
      <c r="G93"/>
    </row>
    <row r="94" spans="2:17" x14ac:dyDescent="0.25">
      <c r="B94" s="187"/>
      <c r="C94"/>
      <c r="D94"/>
      <c r="E94"/>
      <c r="F94"/>
      <c r="G94"/>
    </row>
    <row r="95" spans="2:17" ht="15" customHeight="1" x14ac:dyDescent="0.25">
      <c r="B95" s="430" t="s">
        <v>537</v>
      </c>
      <c r="C95" s="426" t="s">
        <v>481</v>
      </c>
      <c r="D95" s="426"/>
      <c r="E95" s="426"/>
      <c r="F95" s="426"/>
      <c r="G95" s="426"/>
      <c r="H95" s="426"/>
      <c r="I95" s="426"/>
      <c r="J95" s="426"/>
      <c r="K95" s="426"/>
      <c r="L95" s="426"/>
      <c r="M95" s="426"/>
      <c r="N95" s="426"/>
      <c r="O95" s="443" t="s">
        <v>697</v>
      </c>
      <c r="P95" s="444"/>
      <c r="Q95" s="445"/>
    </row>
    <row r="96" spans="2:17" ht="15" customHeight="1" x14ac:dyDescent="0.25">
      <c r="B96" s="431"/>
      <c r="C96" s="426" t="s">
        <v>658</v>
      </c>
      <c r="D96" s="426"/>
      <c r="E96" s="426"/>
      <c r="F96" s="426" t="s">
        <v>490</v>
      </c>
      <c r="G96" s="426"/>
      <c r="H96" s="426"/>
      <c r="I96" s="426" t="s">
        <v>4</v>
      </c>
      <c r="J96" s="426"/>
      <c r="K96" s="426"/>
      <c r="L96" s="426" t="s">
        <v>6</v>
      </c>
      <c r="M96" s="426"/>
      <c r="N96" s="426"/>
      <c r="O96" s="446"/>
      <c r="P96" s="447"/>
      <c r="Q96" s="448"/>
    </row>
    <row r="97" spans="2:17" x14ac:dyDescent="0.25">
      <c r="B97" s="432"/>
      <c r="C97" s="161" t="s">
        <v>76</v>
      </c>
      <c r="D97" s="161" t="s">
        <v>77</v>
      </c>
      <c r="E97" s="161" t="s">
        <v>28</v>
      </c>
      <c r="F97" s="161" t="s">
        <v>76</v>
      </c>
      <c r="G97" s="161" t="s">
        <v>77</v>
      </c>
      <c r="H97" s="161" t="s">
        <v>28</v>
      </c>
      <c r="I97" s="161" t="s">
        <v>76</v>
      </c>
      <c r="J97" s="161" t="s">
        <v>77</v>
      </c>
      <c r="K97" s="161" t="s">
        <v>28</v>
      </c>
      <c r="L97" s="161" t="s">
        <v>76</v>
      </c>
      <c r="M97" s="161" t="s">
        <v>77</v>
      </c>
      <c r="N97" s="161" t="s">
        <v>28</v>
      </c>
      <c r="O97" s="244" t="s">
        <v>76</v>
      </c>
      <c r="P97" s="244" t="s">
        <v>77</v>
      </c>
      <c r="Q97" s="244" t="s">
        <v>28</v>
      </c>
    </row>
    <row r="98" spans="2:17" x14ac:dyDescent="0.25">
      <c r="B98" s="236" t="s">
        <v>160</v>
      </c>
      <c r="C98" s="277"/>
      <c r="D98" s="277"/>
      <c r="E98" s="277"/>
      <c r="F98" s="277">
        <v>14</v>
      </c>
      <c r="G98" s="277">
        <v>19</v>
      </c>
      <c r="H98" s="253">
        <v>33</v>
      </c>
      <c r="I98" s="277"/>
      <c r="J98" s="253">
        <v>1</v>
      </c>
      <c r="K98" s="277">
        <v>1</v>
      </c>
      <c r="L98" s="253">
        <v>1</v>
      </c>
      <c r="M98" s="277">
        <v>2</v>
      </c>
      <c r="N98" s="253">
        <v>3</v>
      </c>
      <c r="O98" s="312">
        <v>15</v>
      </c>
      <c r="P98" s="312">
        <v>22</v>
      </c>
      <c r="Q98" s="312">
        <v>37</v>
      </c>
    </row>
    <row r="99" spans="2:17" x14ac:dyDescent="0.25">
      <c r="B99" s="237" t="s">
        <v>161</v>
      </c>
      <c r="C99" s="277"/>
      <c r="D99" s="277"/>
      <c r="E99" s="277"/>
      <c r="F99" s="277">
        <v>9</v>
      </c>
      <c r="G99" s="277">
        <v>17</v>
      </c>
      <c r="H99" s="253">
        <v>26</v>
      </c>
      <c r="I99" s="277">
        <v>1</v>
      </c>
      <c r="J99" s="253"/>
      <c r="K99" s="277">
        <v>1</v>
      </c>
      <c r="L99" s="253">
        <v>1</v>
      </c>
      <c r="M99" s="277">
        <v>1</v>
      </c>
      <c r="N99" s="253">
        <v>2</v>
      </c>
      <c r="O99" s="312">
        <v>11</v>
      </c>
      <c r="P99" s="312">
        <v>18</v>
      </c>
      <c r="Q99" s="312">
        <v>29</v>
      </c>
    </row>
    <row r="100" spans="2:17" x14ac:dyDescent="0.25">
      <c r="B100" s="237" t="s">
        <v>162</v>
      </c>
      <c r="C100" s="277"/>
      <c r="D100" s="277">
        <v>1</v>
      </c>
      <c r="E100" s="277">
        <v>1</v>
      </c>
      <c r="F100" s="277">
        <v>22</v>
      </c>
      <c r="G100" s="277">
        <v>22</v>
      </c>
      <c r="H100" s="253">
        <v>44</v>
      </c>
      <c r="I100" s="277"/>
      <c r="J100" s="253"/>
      <c r="K100" s="277"/>
      <c r="L100" s="253"/>
      <c r="M100" s="277">
        <v>3</v>
      </c>
      <c r="N100" s="253">
        <v>3</v>
      </c>
      <c r="O100" s="312">
        <v>22</v>
      </c>
      <c r="P100" s="312">
        <v>26</v>
      </c>
      <c r="Q100" s="312">
        <v>48</v>
      </c>
    </row>
    <row r="101" spans="2:17" x14ac:dyDescent="0.25">
      <c r="B101" s="237" t="s">
        <v>163</v>
      </c>
      <c r="C101" s="277">
        <v>19</v>
      </c>
      <c r="D101" s="277">
        <v>9</v>
      </c>
      <c r="E101" s="277">
        <v>28</v>
      </c>
      <c r="F101" s="277">
        <v>234</v>
      </c>
      <c r="G101" s="277">
        <v>211</v>
      </c>
      <c r="H101" s="253">
        <v>445</v>
      </c>
      <c r="I101" s="277">
        <v>2</v>
      </c>
      <c r="J101" s="253">
        <v>1</v>
      </c>
      <c r="K101" s="277">
        <v>3</v>
      </c>
      <c r="L101" s="253">
        <v>11</v>
      </c>
      <c r="M101" s="277">
        <v>16</v>
      </c>
      <c r="N101" s="253">
        <v>27</v>
      </c>
      <c r="O101" s="312">
        <v>266</v>
      </c>
      <c r="P101" s="312">
        <v>237</v>
      </c>
      <c r="Q101" s="312">
        <v>503</v>
      </c>
    </row>
    <row r="102" spans="2:17" x14ac:dyDescent="0.25">
      <c r="B102" s="237" t="s">
        <v>164</v>
      </c>
      <c r="C102" s="277">
        <v>7</v>
      </c>
      <c r="D102" s="277">
        <v>1</v>
      </c>
      <c r="E102" s="277">
        <v>8</v>
      </c>
      <c r="F102" s="277">
        <v>42</v>
      </c>
      <c r="G102" s="277">
        <v>26</v>
      </c>
      <c r="H102" s="253">
        <v>68</v>
      </c>
      <c r="I102" s="277"/>
      <c r="J102" s="253"/>
      <c r="K102" s="277"/>
      <c r="L102" s="253">
        <v>1</v>
      </c>
      <c r="M102" s="277">
        <v>2</v>
      </c>
      <c r="N102" s="253">
        <v>3</v>
      </c>
      <c r="O102" s="312">
        <v>50</v>
      </c>
      <c r="P102" s="312">
        <v>29</v>
      </c>
      <c r="Q102" s="312">
        <v>79</v>
      </c>
    </row>
    <row r="103" spans="2:17" x14ac:dyDescent="0.25">
      <c r="B103" s="237" t="s">
        <v>165</v>
      </c>
      <c r="C103" s="277">
        <v>1</v>
      </c>
      <c r="D103" s="277"/>
      <c r="E103" s="277">
        <v>1</v>
      </c>
      <c r="F103" s="277">
        <v>8</v>
      </c>
      <c r="G103" s="277">
        <v>5</v>
      </c>
      <c r="H103" s="253">
        <v>13</v>
      </c>
      <c r="I103" s="277"/>
      <c r="J103" s="253">
        <v>1</v>
      </c>
      <c r="K103" s="277">
        <v>1</v>
      </c>
      <c r="L103" s="253">
        <v>1</v>
      </c>
      <c r="M103" s="277">
        <v>1</v>
      </c>
      <c r="N103" s="253">
        <v>2</v>
      </c>
      <c r="O103" s="312">
        <v>10</v>
      </c>
      <c r="P103" s="312">
        <v>7</v>
      </c>
      <c r="Q103" s="312">
        <v>17</v>
      </c>
    </row>
    <row r="104" spans="2:17" x14ac:dyDescent="0.25">
      <c r="B104" s="237" t="s">
        <v>166</v>
      </c>
      <c r="C104" s="277">
        <v>18</v>
      </c>
      <c r="D104" s="277">
        <v>7</v>
      </c>
      <c r="E104" s="277">
        <v>25</v>
      </c>
      <c r="F104" s="277">
        <v>280</v>
      </c>
      <c r="G104" s="277">
        <v>198</v>
      </c>
      <c r="H104" s="253">
        <v>478</v>
      </c>
      <c r="I104" s="277">
        <v>2</v>
      </c>
      <c r="J104" s="253">
        <v>1</v>
      </c>
      <c r="K104" s="277">
        <v>3</v>
      </c>
      <c r="L104" s="253">
        <v>8</v>
      </c>
      <c r="M104" s="277">
        <v>18</v>
      </c>
      <c r="N104" s="253">
        <v>26</v>
      </c>
      <c r="O104" s="312">
        <v>308</v>
      </c>
      <c r="P104" s="312">
        <v>224</v>
      </c>
      <c r="Q104" s="312">
        <v>532</v>
      </c>
    </row>
    <row r="105" spans="2:17" x14ac:dyDescent="0.25">
      <c r="B105" s="237" t="s">
        <v>167</v>
      </c>
      <c r="C105" s="277">
        <v>4</v>
      </c>
      <c r="D105" s="277"/>
      <c r="E105" s="277">
        <v>4</v>
      </c>
      <c r="F105" s="277">
        <v>34</v>
      </c>
      <c r="G105" s="277">
        <v>17</v>
      </c>
      <c r="H105" s="253">
        <v>51</v>
      </c>
      <c r="I105" s="277"/>
      <c r="J105" s="253"/>
      <c r="K105" s="277"/>
      <c r="L105" s="253">
        <v>1</v>
      </c>
      <c r="M105" s="277">
        <v>2</v>
      </c>
      <c r="N105" s="253">
        <v>3</v>
      </c>
      <c r="O105" s="312">
        <v>39</v>
      </c>
      <c r="P105" s="312">
        <v>19</v>
      </c>
      <c r="Q105" s="312">
        <v>58</v>
      </c>
    </row>
    <row r="106" spans="2:17" x14ac:dyDescent="0.25">
      <c r="B106" s="237" t="s">
        <v>168</v>
      </c>
      <c r="C106" s="277">
        <v>2</v>
      </c>
      <c r="D106" s="277">
        <v>2</v>
      </c>
      <c r="E106" s="277">
        <v>4</v>
      </c>
      <c r="F106" s="277">
        <v>31</v>
      </c>
      <c r="G106" s="277">
        <v>35</v>
      </c>
      <c r="H106" s="253">
        <v>66</v>
      </c>
      <c r="I106" s="277"/>
      <c r="J106" s="253"/>
      <c r="K106" s="277"/>
      <c r="L106" s="253">
        <v>2</v>
      </c>
      <c r="M106" s="277">
        <v>2</v>
      </c>
      <c r="N106" s="253">
        <v>4</v>
      </c>
      <c r="O106" s="312">
        <v>35</v>
      </c>
      <c r="P106" s="312">
        <v>39</v>
      </c>
      <c r="Q106" s="312">
        <v>74</v>
      </c>
    </row>
    <row r="107" spans="2:17" x14ac:dyDescent="0.25">
      <c r="B107" s="237" t="s">
        <v>169</v>
      </c>
      <c r="C107" s="277">
        <v>15</v>
      </c>
      <c r="D107" s="277">
        <v>10</v>
      </c>
      <c r="E107" s="277">
        <v>25</v>
      </c>
      <c r="F107" s="277">
        <v>129</v>
      </c>
      <c r="G107" s="277">
        <v>136</v>
      </c>
      <c r="H107" s="253">
        <v>265</v>
      </c>
      <c r="I107" s="277">
        <v>4</v>
      </c>
      <c r="J107" s="253">
        <v>3</v>
      </c>
      <c r="K107" s="277">
        <v>7</v>
      </c>
      <c r="L107" s="253">
        <v>2</v>
      </c>
      <c r="M107" s="277">
        <v>7</v>
      </c>
      <c r="N107" s="253">
        <v>9</v>
      </c>
      <c r="O107" s="312">
        <v>150</v>
      </c>
      <c r="P107" s="312">
        <v>156</v>
      </c>
      <c r="Q107" s="312">
        <v>306</v>
      </c>
    </row>
    <row r="108" spans="2:17" x14ac:dyDescent="0.25">
      <c r="B108" s="237" t="s">
        <v>170</v>
      </c>
      <c r="C108" s="277">
        <v>1</v>
      </c>
      <c r="D108" s="277">
        <v>1</v>
      </c>
      <c r="E108" s="277">
        <v>2</v>
      </c>
      <c r="F108" s="277">
        <v>6</v>
      </c>
      <c r="G108" s="277">
        <v>3</v>
      </c>
      <c r="H108" s="253">
        <v>9</v>
      </c>
      <c r="I108" s="277"/>
      <c r="J108" s="253"/>
      <c r="K108" s="277"/>
      <c r="L108" s="253"/>
      <c r="M108" s="277"/>
      <c r="N108" s="253"/>
      <c r="O108" s="312">
        <v>7</v>
      </c>
      <c r="P108" s="312">
        <v>4</v>
      </c>
      <c r="Q108" s="312">
        <v>11</v>
      </c>
    </row>
    <row r="109" spans="2:17" x14ac:dyDescent="0.25">
      <c r="B109" s="237" t="s">
        <v>171</v>
      </c>
      <c r="C109" s="277"/>
      <c r="D109" s="277"/>
      <c r="E109" s="277"/>
      <c r="F109" s="277">
        <v>11</v>
      </c>
      <c r="G109" s="277">
        <v>13</v>
      </c>
      <c r="H109" s="253">
        <v>24</v>
      </c>
      <c r="I109" s="277">
        <v>1</v>
      </c>
      <c r="J109" s="253"/>
      <c r="K109" s="277">
        <v>1</v>
      </c>
      <c r="L109" s="253"/>
      <c r="M109" s="277">
        <v>1</v>
      </c>
      <c r="N109" s="253">
        <v>1</v>
      </c>
      <c r="O109" s="312">
        <v>12</v>
      </c>
      <c r="P109" s="312">
        <v>14</v>
      </c>
      <c r="Q109" s="312">
        <v>26</v>
      </c>
    </row>
    <row r="110" spans="2:17" x14ac:dyDescent="0.25">
      <c r="B110" s="237" t="s">
        <v>172</v>
      </c>
      <c r="C110" s="277"/>
      <c r="D110" s="277"/>
      <c r="E110" s="277"/>
      <c r="F110" s="277">
        <v>4</v>
      </c>
      <c r="G110" s="277">
        <v>5</v>
      </c>
      <c r="H110" s="253">
        <v>9</v>
      </c>
      <c r="I110" s="277"/>
      <c r="J110" s="253">
        <v>1</v>
      </c>
      <c r="K110" s="277">
        <v>1</v>
      </c>
      <c r="L110" s="253"/>
      <c r="M110" s="277"/>
      <c r="N110" s="253"/>
      <c r="O110" s="312">
        <v>4</v>
      </c>
      <c r="P110" s="312">
        <v>6</v>
      </c>
      <c r="Q110" s="312">
        <v>10</v>
      </c>
    </row>
    <row r="111" spans="2:17" x14ac:dyDescent="0.25">
      <c r="B111" s="238" t="s">
        <v>173</v>
      </c>
      <c r="C111" s="277">
        <v>4</v>
      </c>
      <c r="D111" s="277">
        <v>3</v>
      </c>
      <c r="E111" s="277">
        <v>7</v>
      </c>
      <c r="F111" s="277">
        <v>18</v>
      </c>
      <c r="G111" s="277">
        <v>29</v>
      </c>
      <c r="H111" s="253">
        <v>47</v>
      </c>
      <c r="I111" s="277">
        <v>2</v>
      </c>
      <c r="J111" s="253"/>
      <c r="K111" s="277">
        <v>2</v>
      </c>
      <c r="L111" s="253">
        <v>1</v>
      </c>
      <c r="M111" s="277">
        <v>2</v>
      </c>
      <c r="N111" s="253">
        <v>3</v>
      </c>
      <c r="O111" s="312">
        <v>25</v>
      </c>
      <c r="P111" s="312">
        <v>34</v>
      </c>
      <c r="Q111" s="312">
        <v>59</v>
      </c>
    </row>
    <row r="112" spans="2:17" x14ac:dyDescent="0.25">
      <c r="B112" s="176" t="s">
        <v>496</v>
      </c>
      <c r="C112" s="277">
        <v>6</v>
      </c>
      <c r="D112" s="277">
        <v>3</v>
      </c>
      <c r="E112" s="277">
        <v>9</v>
      </c>
      <c r="F112" s="277">
        <v>32</v>
      </c>
      <c r="G112" s="277">
        <v>25</v>
      </c>
      <c r="H112" s="253">
        <v>57</v>
      </c>
      <c r="I112" s="277">
        <v>2</v>
      </c>
      <c r="J112" s="253"/>
      <c r="K112" s="277">
        <v>2</v>
      </c>
      <c r="L112" s="253">
        <v>3</v>
      </c>
      <c r="M112" s="277">
        <v>2</v>
      </c>
      <c r="N112" s="253">
        <v>5</v>
      </c>
      <c r="O112" s="312">
        <v>43</v>
      </c>
      <c r="P112" s="312">
        <v>30</v>
      </c>
      <c r="Q112" s="312">
        <v>73</v>
      </c>
    </row>
    <row r="113" spans="2:17" x14ac:dyDescent="0.25">
      <c r="B113" s="311" t="s">
        <v>28</v>
      </c>
      <c r="C113" s="271">
        <v>77</v>
      </c>
      <c r="D113" s="271">
        <v>37</v>
      </c>
      <c r="E113" s="271">
        <v>114</v>
      </c>
      <c r="F113" s="271">
        <v>874</v>
      </c>
      <c r="G113" s="271">
        <v>761</v>
      </c>
      <c r="H113" s="269">
        <v>1635</v>
      </c>
      <c r="I113" s="271">
        <v>14</v>
      </c>
      <c r="J113" s="269">
        <v>8</v>
      </c>
      <c r="K113" s="271">
        <v>22</v>
      </c>
      <c r="L113" s="269">
        <v>32</v>
      </c>
      <c r="M113" s="271">
        <v>59</v>
      </c>
      <c r="N113" s="269">
        <v>91</v>
      </c>
      <c r="O113" s="312">
        <v>997</v>
      </c>
      <c r="P113" s="312">
        <v>865</v>
      </c>
      <c r="Q113" s="312">
        <v>1862</v>
      </c>
    </row>
    <row r="114" spans="2:17" ht="123" customHeight="1" x14ac:dyDescent="0.25">
      <c r="B114" s="428" t="s">
        <v>866</v>
      </c>
      <c r="C114" s="428"/>
      <c r="D114" s="428"/>
      <c r="E114" s="428"/>
      <c r="F114" s="428"/>
      <c r="G114" s="428"/>
      <c r="H114" s="428"/>
      <c r="I114" s="428"/>
      <c r="J114" s="428"/>
      <c r="K114" s="428"/>
      <c r="L114" s="428"/>
      <c r="M114" s="428"/>
      <c r="N114" s="428"/>
      <c r="O114" s="428"/>
      <c r="P114" s="428"/>
      <c r="Q114" s="428"/>
    </row>
    <row r="115" spans="2:17" x14ac:dyDescent="0.25">
      <c r="B115" s="158"/>
      <c r="C115" s="190"/>
      <c r="D115" s="190"/>
      <c r="E115" s="190"/>
      <c r="F115" s="190"/>
      <c r="G115"/>
    </row>
    <row r="116" spans="2:17" x14ac:dyDescent="0.25">
      <c r="B116" s="187" t="s">
        <v>514</v>
      </c>
      <c r="C116"/>
      <c r="D116"/>
      <c r="E116"/>
      <c r="F116"/>
      <c r="G116"/>
    </row>
    <row r="117" spans="2:17" x14ac:dyDescent="0.25">
      <c r="B117" s="187"/>
      <c r="C117"/>
      <c r="D117"/>
      <c r="E117"/>
      <c r="F117"/>
      <c r="G117"/>
    </row>
    <row r="118" spans="2:17" ht="15" customHeight="1" x14ac:dyDescent="0.25">
      <c r="B118" s="430" t="s">
        <v>537</v>
      </c>
      <c r="C118" s="426" t="s">
        <v>481</v>
      </c>
      <c r="D118" s="426"/>
      <c r="E118" s="426"/>
      <c r="F118" s="426"/>
      <c r="G118" s="426"/>
      <c r="H118" s="426"/>
      <c r="I118" s="426"/>
      <c r="J118" s="426"/>
      <c r="K118" s="426"/>
      <c r="L118" s="426"/>
      <c r="M118" s="426"/>
      <c r="N118" s="426"/>
      <c r="O118" s="443" t="s">
        <v>697</v>
      </c>
      <c r="P118" s="444"/>
      <c r="Q118" s="445"/>
    </row>
    <row r="119" spans="2:17" ht="15" customHeight="1" x14ac:dyDescent="0.25">
      <c r="B119" s="431"/>
      <c r="C119" s="426" t="s">
        <v>658</v>
      </c>
      <c r="D119" s="426"/>
      <c r="E119" s="426"/>
      <c r="F119" s="426" t="s">
        <v>490</v>
      </c>
      <c r="G119" s="426"/>
      <c r="H119" s="426"/>
      <c r="I119" s="426" t="s">
        <v>4</v>
      </c>
      <c r="J119" s="426"/>
      <c r="K119" s="426"/>
      <c r="L119" s="426" t="s">
        <v>6</v>
      </c>
      <c r="M119" s="426"/>
      <c r="N119" s="426"/>
      <c r="O119" s="446"/>
      <c r="P119" s="447"/>
      <c r="Q119" s="448"/>
    </row>
    <row r="120" spans="2:17" x14ac:dyDescent="0.25">
      <c r="B120" s="432"/>
      <c r="C120" s="161" t="s">
        <v>76</v>
      </c>
      <c r="D120" s="161" t="s">
        <v>77</v>
      </c>
      <c r="E120" s="161" t="s">
        <v>28</v>
      </c>
      <c r="F120" s="161" t="s">
        <v>76</v>
      </c>
      <c r="G120" s="161" t="s">
        <v>77</v>
      </c>
      <c r="H120" s="161" t="s">
        <v>28</v>
      </c>
      <c r="I120" s="161" t="s">
        <v>76</v>
      </c>
      <c r="J120" s="161" t="s">
        <v>77</v>
      </c>
      <c r="K120" s="161" t="s">
        <v>28</v>
      </c>
      <c r="L120" s="161" t="s">
        <v>76</v>
      </c>
      <c r="M120" s="161" t="s">
        <v>77</v>
      </c>
      <c r="N120" s="161" t="s">
        <v>28</v>
      </c>
      <c r="O120" s="244" t="s">
        <v>76</v>
      </c>
      <c r="P120" s="244" t="s">
        <v>77</v>
      </c>
      <c r="Q120" s="244" t="s">
        <v>28</v>
      </c>
    </row>
    <row r="121" spans="2:17" x14ac:dyDescent="0.25">
      <c r="B121" s="237" t="s">
        <v>174</v>
      </c>
      <c r="C121" s="277"/>
      <c r="D121" s="277">
        <v>2</v>
      </c>
      <c r="E121" s="277">
        <v>2</v>
      </c>
      <c r="F121" s="277">
        <v>29</v>
      </c>
      <c r="G121" s="277">
        <v>20</v>
      </c>
      <c r="H121" s="253">
        <v>49</v>
      </c>
      <c r="I121" s="277"/>
      <c r="J121" s="253"/>
      <c r="K121" s="277"/>
      <c r="L121" s="277">
        <v>2</v>
      </c>
      <c r="M121" s="253">
        <v>2</v>
      </c>
      <c r="N121" s="277">
        <v>4</v>
      </c>
      <c r="O121" s="269">
        <v>31</v>
      </c>
      <c r="P121" s="269">
        <v>24</v>
      </c>
      <c r="Q121" s="269">
        <v>55</v>
      </c>
    </row>
    <row r="122" spans="2:17" x14ac:dyDescent="0.25">
      <c r="B122" s="237" t="s">
        <v>175</v>
      </c>
      <c r="C122" s="277">
        <v>1</v>
      </c>
      <c r="D122" s="277">
        <v>2</v>
      </c>
      <c r="E122" s="277">
        <v>3</v>
      </c>
      <c r="F122" s="277">
        <v>22</v>
      </c>
      <c r="G122" s="277">
        <v>25</v>
      </c>
      <c r="H122" s="253">
        <v>47</v>
      </c>
      <c r="I122" s="277">
        <v>1</v>
      </c>
      <c r="J122" s="253"/>
      <c r="K122" s="277">
        <v>1</v>
      </c>
      <c r="L122" s="277"/>
      <c r="M122" s="253">
        <v>1</v>
      </c>
      <c r="N122" s="277">
        <v>1</v>
      </c>
      <c r="O122" s="269">
        <v>24</v>
      </c>
      <c r="P122" s="269">
        <v>28</v>
      </c>
      <c r="Q122" s="269">
        <v>52</v>
      </c>
    </row>
    <row r="123" spans="2:17" x14ac:dyDescent="0.25">
      <c r="B123" s="237" t="s">
        <v>176</v>
      </c>
      <c r="C123" s="277">
        <v>2</v>
      </c>
      <c r="D123" s="277">
        <v>1</v>
      </c>
      <c r="E123" s="277">
        <v>3</v>
      </c>
      <c r="F123" s="277">
        <v>19</v>
      </c>
      <c r="G123" s="277">
        <v>14</v>
      </c>
      <c r="H123" s="253">
        <v>33</v>
      </c>
      <c r="I123" s="277"/>
      <c r="J123" s="253"/>
      <c r="K123" s="277"/>
      <c r="L123" s="277"/>
      <c r="M123" s="253"/>
      <c r="N123" s="277"/>
      <c r="O123" s="269">
        <v>21</v>
      </c>
      <c r="P123" s="269">
        <v>15</v>
      </c>
      <c r="Q123" s="269">
        <v>36</v>
      </c>
    </row>
    <row r="124" spans="2:17" x14ac:dyDescent="0.25">
      <c r="B124" s="237" t="s">
        <v>177</v>
      </c>
      <c r="C124" s="277">
        <v>5</v>
      </c>
      <c r="D124" s="277">
        <v>1</v>
      </c>
      <c r="E124" s="277">
        <v>6</v>
      </c>
      <c r="F124" s="277">
        <v>30</v>
      </c>
      <c r="G124" s="277">
        <v>28</v>
      </c>
      <c r="H124" s="253">
        <v>58</v>
      </c>
      <c r="I124" s="277"/>
      <c r="J124" s="253">
        <v>1</v>
      </c>
      <c r="K124" s="277">
        <v>1</v>
      </c>
      <c r="L124" s="277">
        <v>2</v>
      </c>
      <c r="M124" s="253">
        <v>1</v>
      </c>
      <c r="N124" s="277">
        <v>3</v>
      </c>
      <c r="O124" s="269">
        <v>37</v>
      </c>
      <c r="P124" s="269">
        <v>31</v>
      </c>
      <c r="Q124" s="269">
        <v>68</v>
      </c>
    </row>
    <row r="125" spans="2:17" x14ac:dyDescent="0.25">
      <c r="B125" s="237" t="s">
        <v>178</v>
      </c>
      <c r="C125" s="277">
        <v>1</v>
      </c>
      <c r="D125" s="277"/>
      <c r="E125" s="277">
        <v>1</v>
      </c>
      <c r="F125" s="277">
        <v>45</v>
      </c>
      <c r="G125" s="277">
        <v>36</v>
      </c>
      <c r="H125" s="253">
        <v>81</v>
      </c>
      <c r="I125" s="277"/>
      <c r="J125" s="253"/>
      <c r="K125" s="277"/>
      <c r="L125" s="277">
        <v>2</v>
      </c>
      <c r="M125" s="253">
        <v>2</v>
      </c>
      <c r="N125" s="277">
        <v>4</v>
      </c>
      <c r="O125" s="269">
        <v>48</v>
      </c>
      <c r="P125" s="269">
        <v>38</v>
      </c>
      <c r="Q125" s="269">
        <v>86</v>
      </c>
    </row>
    <row r="126" spans="2:17" x14ac:dyDescent="0.25">
      <c r="B126" s="237" t="s">
        <v>179</v>
      </c>
      <c r="C126" s="277">
        <v>3</v>
      </c>
      <c r="D126" s="277">
        <v>2</v>
      </c>
      <c r="E126" s="277">
        <v>5</v>
      </c>
      <c r="F126" s="277">
        <v>6</v>
      </c>
      <c r="G126" s="277">
        <v>14</v>
      </c>
      <c r="H126" s="253">
        <v>20</v>
      </c>
      <c r="I126" s="277">
        <v>1</v>
      </c>
      <c r="J126" s="253"/>
      <c r="K126" s="277">
        <v>1</v>
      </c>
      <c r="L126" s="277">
        <v>1</v>
      </c>
      <c r="M126" s="253">
        <v>1</v>
      </c>
      <c r="N126" s="277">
        <v>2</v>
      </c>
      <c r="O126" s="269">
        <v>11</v>
      </c>
      <c r="P126" s="269">
        <v>17</v>
      </c>
      <c r="Q126" s="269">
        <v>28</v>
      </c>
    </row>
    <row r="127" spans="2:17" x14ac:dyDescent="0.25">
      <c r="B127" s="237" t="s">
        <v>180</v>
      </c>
      <c r="C127" s="277">
        <v>2</v>
      </c>
      <c r="D127" s="277">
        <v>1</v>
      </c>
      <c r="E127" s="277">
        <v>3</v>
      </c>
      <c r="F127" s="277">
        <v>74</v>
      </c>
      <c r="G127" s="277">
        <v>45</v>
      </c>
      <c r="H127" s="253">
        <v>119</v>
      </c>
      <c r="I127" s="277"/>
      <c r="J127" s="253">
        <v>1</v>
      </c>
      <c r="K127" s="277">
        <v>1</v>
      </c>
      <c r="L127" s="277"/>
      <c r="M127" s="253">
        <v>1</v>
      </c>
      <c r="N127" s="277">
        <v>1</v>
      </c>
      <c r="O127" s="269">
        <v>76</v>
      </c>
      <c r="P127" s="269">
        <v>48</v>
      </c>
      <c r="Q127" s="269">
        <v>124</v>
      </c>
    </row>
    <row r="128" spans="2:17" x14ac:dyDescent="0.25">
      <c r="B128" s="237" t="s">
        <v>181</v>
      </c>
      <c r="C128" s="277">
        <v>3</v>
      </c>
      <c r="D128" s="277"/>
      <c r="E128" s="277">
        <v>3</v>
      </c>
      <c r="F128" s="277">
        <v>23</v>
      </c>
      <c r="G128" s="277">
        <v>29</v>
      </c>
      <c r="H128" s="253">
        <v>52</v>
      </c>
      <c r="I128" s="277"/>
      <c r="J128" s="253">
        <v>1</v>
      </c>
      <c r="K128" s="277">
        <v>1</v>
      </c>
      <c r="L128" s="277"/>
      <c r="M128" s="253">
        <v>2</v>
      </c>
      <c r="N128" s="277">
        <v>2</v>
      </c>
      <c r="O128" s="269">
        <v>26</v>
      </c>
      <c r="P128" s="269">
        <v>32</v>
      </c>
      <c r="Q128" s="269">
        <v>58</v>
      </c>
    </row>
    <row r="129" spans="2:17" x14ac:dyDescent="0.25">
      <c r="B129" s="237" t="s">
        <v>182</v>
      </c>
      <c r="C129" s="277">
        <v>4</v>
      </c>
      <c r="D129" s="277">
        <v>2</v>
      </c>
      <c r="E129" s="277">
        <v>6</v>
      </c>
      <c r="F129" s="277">
        <v>34</v>
      </c>
      <c r="G129" s="277">
        <v>33</v>
      </c>
      <c r="H129" s="253">
        <v>67</v>
      </c>
      <c r="I129" s="277"/>
      <c r="J129" s="253"/>
      <c r="K129" s="277"/>
      <c r="L129" s="277"/>
      <c r="M129" s="253">
        <v>1</v>
      </c>
      <c r="N129" s="277">
        <v>1</v>
      </c>
      <c r="O129" s="269">
        <v>38</v>
      </c>
      <c r="P129" s="269">
        <v>36</v>
      </c>
      <c r="Q129" s="269">
        <v>74</v>
      </c>
    </row>
    <row r="130" spans="2:17" x14ac:dyDescent="0.25">
      <c r="B130" s="237" t="s">
        <v>183</v>
      </c>
      <c r="C130" s="277">
        <v>3</v>
      </c>
      <c r="D130" s="277"/>
      <c r="E130" s="277">
        <v>3</v>
      </c>
      <c r="F130" s="277">
        <v>19</v>
      </c>
      <c r="G130" s="277">
        <v>18</v>
      </c>
      <c r="H130" s="253">
        <v>37</v>
      </c>
      <c r="I130" s="277">
        <v>1</v>
      </c>
      <c r="J130" s="253"/>
      <c r="K130" s="277">
        <v>1</v>
      </c>
      <c r="L130" s="277">
        <v>1</v>
      </c>
      <c r="M130" s="253">
        <v>1</v>
      </c>
      <c r="N130" s="277">
        <v>2</v>
      </c>
      <c r="O130" s="269">
        <v>24</v>
      </c>
      <c r="P130" s="269">
        <v>19</v>
      </c>
      <c r="Q130" s="269">
        <v>43</v>
      </c>
    </row>
    <row r="131" spans="2:17" x14ac:dyDescent="0.25">
      <c r="B131" s="237" t="s">
        <v>184</v>
      </c>
      <c r="C131" s="277"/>
      <c r="D131" s="277"/>
      <c r="E131" s="277"/>
      <c r="F131" s="277"/>
      <c r="G131" s="277">
        <v>3</v>
      </c>
      <c r="H131" s="253">
        <v>3</v>
      </c>
      <c r="I131" s="277"/>
      <c r="J131" s="253"/>
      <c r="K131" s="277"/>
      <c r="L131" s="277"/>
      <c r="M131" s="253"/>
      <c r="N131" s="277"/>
      <c r="O131" s="269"/>
      <c r="P131" s="269">
        <v>3</v>
      </c>
      <c r="Q131" s="269">
        <v>3</v>
      </c>
    </row>
    <row r="132" spans="2:17" x14ac:dyDescent="0.25">
      <c r="B132" s="237" t="s">
        <v>185</v>
      </c>
      <c r="C132" s="277"/>
      <c r="D132" s="277"/>
      <c r="E132" s="277"/>
      <c r="F132" s="277">
        <v>1</v>
      </c>
      <c r="G132" s="277">
        <v>3</v>
      </c>
      <c r="H132" s="253">
        <v>4</v>
      </c>
      <c r="I132" s="277"/>
      <c r="J132" s="253"/>
      <c r="K132" s="277"/>
      <c r="L132" s="277"/>
      <c r="M132" s="253"/>
      <c r="N132" s="277"/>
      <c r="O132" s="269">
        <v>1</v>
      </c>
      <c r="P132" s="269">
        <v>3</v>
      </c>
      <c r="Q132" s="269">
        <v>4</v>
      </c>
    </row>
    <row r="133" spans="2:17" x14ac:dyDescent="0.25">
      <c r="B133" s="237" t="s">
        <v>186</v>
      </c>
      <c r="C133" s="277">
        <v>3</v>
      </c>
      <c r="D133" s="277">
        <v>3</v>
      </c>
      <c r="E133" s="277">
        <v>6</v>
      </c>
      <c r="F133" s="277">
        <v>58</v>
      </c>
      <c r="G133" s="277">
        <v>57</v>
      </c>
      <c r="H133" s="253">
        <v>115</v>
      </c>
      <c r="I133" s="277">
        <v>1</v>
      </c>
      <c r="J133" s="253">
        <v>1</v>
      </c>
      <c r="K133" s="277">
        <v>2</v>
      </c>
      <c r="L133" s="277">
        <v>1</v>
      </c>
      <c r="M133" s="253">
        <v>4</v>
      </c>
      <c r="N133" s="277">
        <v>5</v>
      </c>
      <c r="O133" s="269">
        <v>63</v>
      </c>
      <c r="P133" s="269">
        <v>65</v>
      </c>
      <c r="Q133" s="269">
        <v>128</v>
      </c>
    </row>
    <row r="134" spans="2:17" x14ac:dyDescent="0.25">
      <c r="B134" s="237" t="s">
        <v>187</v>
      </c>
      <c r="C134" s="277">
        <v>2</v>
      </c>
      <c r="D134" s="277">
        <v>1</v>
      </c>
      <c r="E134" s="277">
        <v>3</v>
      </c>
      <c r="F134" s="277">
        <v>13</v>
      </c>
      <c r="G134" s="277">
        <v>19</v>
      </c>
      <c r="H134" s="253">
        <v>32</v>
      </c>
      <c r="I134" s="277"/>
      <c r="J134" s="253"/>
      <c r="K134" s="277"/>
      <c r="L134" s="277"/>
      <c r="M134" s="253"/>
      <c r="N134" s="277"/>
      <c r="O134" s="269">
        <v>15</v>
      </c>
      <c r="P134" s="269">
        <v>20</v>
      </c>
      <c r="Q134" s="269">
        <v>35</v>
      </c>
    </row>
    <row r="135" spans="2:17" x14ac:dyDescent="0.25">
      <c r="B135" s="237" t="s">
        <v>188</v>
      </c>
      <c r="C135" s="277">
        <v>5</v>
      </c>
      <c r="D135" s="277">
        <v>2</v>
      </c>
      <c r="E135" s="277">
        <v>7</v>
      </c>
      <c r="F135" s="277">
        <v>50</v>
      </c>
      <c r="G135" s="277">
        <v>38</v>
      </c>
      <c r="H135" s="253">
        <v>88</v>
      </c>
      <c r="I135" s="277">
        <v>1</v>
      </c>
      <c r="J135" s="253"/>
      <c r="K135" s="277">
        <v>1</v>
      </c>
      <c r="L135" s="277">
        <v>1</v>
      </c>
      <c r="M135" s="253"/>
      <c r="N135" s="277">
        <v>1</v>
      </c>
      <c r="O135" s="269">
        <v>57</v>
      </c>
      <c r="P135" s="269">
        <v>40</v>
      </c>
      <c r="Q135" s="269">
        <v>97</v>
      </c>
    </row>
    <row r="136" spans="2:17" x14ac:dyDescent="0.25">
      <c r="B136" s="237" t="s">
        <v>189</v>
      </c>
      <c r="C136" s="277">
        <v>13</v>
      </c>
      <c r="D136" s="277">
        <v>10</v>
      </c>
      <c r="E136" s="277">
        <v>23</v>
      </c>
      <c r="F136" s="277">
        <v>77</v>
      </c>
      <c r="G136" s="277">
        <v>38</v>
      </c>
      <c r="H136" s="253">
        <v>115</v>
      </c>
      <c r="I136" s="277">
        <v>2</v>
      </c>
      <c r="J136" s="253">
        <v>2</v>
      </c>
      <c r="K136" s="277">
        <v>4</v>
      </c>
      <c r="L136" s="277">
        <v>1</v>
      </c>
      <c r="M136" s="253">
        <v>3</v>
      </c>
      <c r="N136" s="277">
        <v>4</v>
      </c>
      <c r="O136" s="269">
        <v>93</v>
      </c>
      <c r="P136" s="269">
        <v>53</v>
      </c>
      <c r="Q136" s="269">
        <v>146</v>
      </c>
    </row>
    <row r="137" spans="2:17" x14ac:dyDescent="0.25">
      <c r="B137" s="237" t="s">
        <v>190</v>
      </c>
      <c r="C137" s="277">
        <v>2</v>
      </c>
      <c r="D137" s="277">
        <v>2</v>
      </c>
      <c r="E137" s="277">
        <v>4</v>
      </c>
      <c r="F137" s="277">
        <v>33</v>
      </c>
      <c r="G137" s="277">
        <v>27</v>
      </c>
      <c r="H137" s="253">
        <v>60</v>
      </c>
      <c r="I137" s="277"/>
      <c r="J137" s="253"/>
      <c r="K137" s="277"/>
      <c r="L137" s="277"/>
      <c r="M137" s="253">
        <v>2</v>
      </c>
      <c r="N137" s="277">
        <v>2</v>
      </c>
      <c r="O137" s="269">
        <v>35</v>
      </c>
      <c r="P137" s="269">
        <v>31</v>
      </c>
      <c r="Q137" s="269">
        <v>66</v>
      </c>
    </row>
    <row r="138" spans="2:17" x14ac:dyDescent="0.25">
      <c r="B138" s="237" t="s">
        <v>191</v>
      </c>
      <c r="C138" s="277">
        <v>16</v>
      </c>
      <c r="D138" s="277"/>
      <c r="E138" s="277">
        <v>16</v>
      </c>
      <c r="F138" s="277">
        <v>96</v>
      </c>
      <c r="G138" s="277">
        <v>71</v>
      </c>
      <c r="H138" s="253">
        <v>167</v>
      </c>
      <c r="I138" s="277"/>
      <c r="J138" s="253"/>
      <c r="K138" s="277"/>
      <c r="L138" s="277">
        <v>5</v>
      </c>
      <c r="M138" s="253"/>
      <c r="N138" s="277">
        <v>5</v>
      </c>
      <c r="O138" s="269">
        <v>117</v>
      </c>
      <c r="P138" s="269">
        <v>71</v>
      </c>
      <c r="Q138" s="269">
        <v>188</v>
      </c>
    </row>
    <row r="139" spans="2:17" x14ac:dyDescent="0.25">
      <c r="B139" s="237" t="s">
        <v>192</v>
      </c>
      <c r="C139" s="277">
        <v>2</v>
      </c>
      <c r="D139" s="277">
        <v>2</v>
      </c>
      <c r="E139" s="277">
        <v>4</v>
      </c>
      <c r="F139" s="277">
        <v>30</v>
      </c>
      <c r="G139" s="277">
        <v>30</v>
      </c>
      <c r="H139" s="253">
        <v>60</v>
      </c>
      <c r="I139" s="277"/>
      <c r="J139" s="253"/>
      <c r="K139" s="277"/>
      <c r="L139" s="277">
        <v>1</v>
      </c>
      <c r="M139" s="253"/>
      <c r="N139" s="277">
        <v>1</v>
      </c>
      <c r="O139" s="269">
        <v>33</v>
      </c>
      <c r="P139" s="269">
        <v>32</v>
      </c>
      <c r="Q139" s="269">
        <v>65</v>
      </c>
    </row>
    <row r="140" spans="2:17" x14ac:dyDescent="0.25">
      <c r="B140" s="237" t="s">
        <v>193</v>
      </c>
      <c r="C140" s="277">
        <v>3</v>
      </c>
      <c r="D140" s="277">
        <v>5</v>
      </c>
      <c r="E140" s="277">
        <v>8</v>
      </c>
      <c r="F140" s="277">
        <v>27</v>
      </c>
      <c r="G140" s="277">
        <v>29</v>
      </c>
      <c r="H140" s="253">
        <v>56</v>
      </c>
      <c r="I140" s="277"/>
      <c r="J140" s="253"/>
      <c r="K140" s="277"/>
      <c r="L140" s="277"/>
      <c r="M140" s="253">
        <v>1</v>
      </c>
      <c r="N140" s="277">
        <v>1</v>
      </c>
      <c r="O140" s="269">
        <v>30</v>
      </c>
      <c r="P140" s="269">
        <v>35</v>
      </c>
      <c r="Q140" s="269">
        <v>65</v>
      </c>
    </row>
    <row r="141" spans="2:17" x14ac:dyDescent="0.25">
      <c r="B141" s="237" t="s">
        <v>194</v>
      </c>
      <c r="C141" s="277">
        <v>1</v>
      </c>
      <c r="D141" s="277">
        <v>2</v>
      </c>
      <c r="E141" s="277">
        <v>3</v>
      </c>
      <c r="F141" s="277">
        <v>7</v>
      </c>
      <c r="G141" s="277">
        <v>8</v>
      </c>
      <c r="H141" s="253">
        <v>15</v>
      </c>
      <c r="I141" s="277"/>
      <c r="J141" s="253"/>
      <c r="K141" s="277"/>
      <c r="L141" s="277"/>
      <c r="M141" s="253"/>
      <c r="N141" s="277"/>
      <c r="O141" s="269">
        <v>8</v>
      </c>
      <c r="P141" s="269">
        <v>10</v>
      </c>
      <c r="Q141" s="269">
        <v>18</v>
      </c>
    </row>
    <row r="142" spans="2:17" x14ac:dyDescent="0.25">
      <c r="B142" s="237" t="s">
        <v>195</v>
      </c>
      <c r="C142" s="277">
        <v>2</v>
      </c>
      <c r="D142" s="277"/>
      <c r="E142" s="277">
        <v>2</v>
      </c>
      <c r="F142" s="277">
        <v>17</v>
      </c>
      <c r="G142" s="277">
        <v>10</v>
      </c>
      <c r="H142" s="253">
        <v>27</v>
      </c>
      <c r="I142" s="277"/>
      <c r="J142" s="253"/>
      <c r="K142" s="277"/>
      <c r="L142" s="277"/>
      <c r="M142" s="253"/>
      <c r="N142" s="277"/>
      <c r="O142" s="269">
        <v>19</v>
      </c>
      <c r="P142" s="269">
        <v>10</v>
      </c>
      <c r="Q142" s="269">
        <v>29</v>
      </c>
    </row>
    <row r="143" spans="2:17" x14ac:dyDescent="0.25">
      <c r="B143" s="237" t="s">
        <v>196</v>
      </c>
      <c r="C143" s="277">
        <v>2</v>
      </c>
      <c r="D143" s="277"/>
      <c r="E143" s="277">
        <v>2</v>
      </c>
      <c r="F143" s="277">
        <v>10</v>
      </c>
      <c r="G143" s="277">
        <v>11</v>
      </c>
      <c r="H143" s="253">
        <v>21</v>
      </c>
      <c r="I143" s="277"/>
      <c r="J143" s="253"/>
      <c r="K143" s="277"/>
      <c r="L143" s="277"/>
      <c r="M143" s="253">
        <v>2</v>
      </c>
      <c r="N143" s="277">
        <v>2</v>
      </c>
      <c r="O143" s="269">
        <v>12</v>
      </c>
      <c r="P143" s="269">
        <v>13</v>
      </c>
      <c r="Q143" s="269">
        <v>25</v>
      </c>
    </row>
    <row r="144" spans="2:17" x14ac:dyDescent="0.25">
      <c r="B144" s="237" t="s">
        <v>197</v>
      </c>
      <c r="C144" s="277">
        <v>1</v>
      </c>
      <c r="D144" s="277">
        <v>2</v>
      </c>
      <c r="E144" s="277">
        <v>3</v>
      </c>
      <c r="F144" s="277">
        <v>35</v>
      </c>
      <c r="G144" s="277">
        <v>29</v>
      </c>
      <c r="H144" s="253">
        <v>64</v>
      </c>
      <c r="I144" s="277"/>
      <c r="J144" s="253"/>
      <c r="K144" s="277"/>
      <c r="L144" s="277">
        <v>1</v>
      </c>
      <c r="M144" s="253"/>
      <c r="N144" s="277">
        <v>1</v>
      </c>
      <c r="O144" s="269">
        <v>37</v>
      </c>
      <c r="P144" s="269">
        <v>31</v>
      </c>
      <c r="Q144" s="269">
        <v>68</v>
      </c>
    </row>
    <row r="145" spans="2:17" x14ac:dyDescent="0.25">
      <c r="B145" s="237" t="s">
        <v>198</v>
      </c>
      <c r="C145" s="277">
        <v>2</v>
      </c>
      <c r="D145" s="277">
        <v>1</v>
      </c>
      <c r="E145" s="277">
        <v>3</v>
      </c>
      <c r="F145" s="277">
        <v>18</v>
      </c>
      <c r="G145" s="277">
        <v>15</v>
      </c>
      <c r="H145" s="253">
        <v>33</v>
      </c>
      <c r="I145" s="277"/>
      <c r="J145" s="253">
        <v>1</v>
      </c>
      <c r="K145" s="277">
        <v>1</v>
      </c>
      <c r="L145" s="277"/>
      <c r="M145" s="253">
        <v>1</v>
      </c>
      <c r="N145" s="277">
        <v>1</v>
      </c>
      <c r="O145" s="269">
        <v>20</v>
      </c>
      <c r="P145" s="269">
        <v>18</v>
      </c>
      <c r="Q145" s="269">
        <v>38</v>
      </c>
    </row>
    <row r="146" spans="2:17" x14ac:dyDescent="0.25">
      <c r="B146" s="237" t="s">
        <v>199</v>
      </c>
      <c r="C146" s="277">
        <v>15</v>
      </c>
      <c r="D146" s="277">
        <v>9</v>
      </c>
      <c r="E146" s="277">
        <v>24</v>
      </c>
      <c r="F146" s="277">
        <v>112</v>
      </c>
      <c r="G146" s="277">
        <v>92</v>
      </c>
      <c r="H146" s="253">
        <v>204</v>
      </c>
      <c r="I146" s="277">
        <v>3</v>
      </c>
      <c r="J146" s="253">
        <v>1</v>
      </c>
      <c r="K146" s="277">
        <v>4</v>
      </c>
      <c r="L146" s="277">
        <v>6</v>
      </c>
      <c r="M146" s="253">
        <v>4</v>
      </c>
      <c r="N146" s="277">
        <v>10</v>
      </c>
      <c r="O146" s="269">
        <v>136</v>
      </c>
      <c r="P146" s="269">
        <v>106</v>
      </c>
      <c r="Q146" s="269">
        <v>242</v>
      </c>
    </row>
    <row r="147" spans="2:17" x14ac:dyDescent="0.25">
      <c r="B147" s="237" t="s">
        <v>200</v>
      </c>
      <c r="C147" s="277">
        <v>23</v>
      </c>
      <c r="D147" s="277">
        <v>3</v>
      </c>
      <c r="E147" s="277">
        <v>26</v>
      </c>
      <c r="F147" s="277">
        <v>215</v>
      </c>
      <c r="G147" s="277">
        <v>166</v>
      </c>
      <c r="H147" s="253">
        <v>381</v>
      </c>
      <c r="I147" s="277">
        <v>1</v>
      </c>
      <c r="J147" s="253">
        <v>1</v>
      </c>
      <c r="K147" s="277">
        <v>2</v>
      </c>
      <c r="L147" s="277">
        <v>1</v>
      </c>
      <c r="M147" s="253">
        <v>17</v>
      </c>
      <c r="N147" s="277">
        <v>18</v>
      </c>
      <c r="O147" s="269">
        <v>240</v>
      </c>
      <c r="P147" s="269">
        <v>187</v>
      </c>
      <c r="Q147" s="269">
        <v>427</v>
      </c>
    </row>
    <row r="148" spans="2:17" x14ac:dyDescent="0.25">
      <c r="B148" s="237" t="s">
        <v>201</v>
      </c>
      <c r="C148" s="277">
        <v>3</v>
      </c>
      <c r="D148" s="277">
        <v>3</v>
      </c>
      <c r="E148" s="277">
        <v>6</v>
      </c>
      <c r="F148" s="277">
        <v>47</v>
      </c>
      <c r="G148" s="277">
        <v>52</v>
      </c>
      <c r="H148" s="253">
        <v>99</v>
      </c>
      <c r="I148" s="277"/>
      <c r="J148" s="253"/>
      <c r="K148" s="277"/>
      <c r="L148" s="277">
        <v>1</v>
      </c>
      <c r="M148" s="253">
        <v>1</v>
      </c>
      <c r="N148" s="277">
        <v>2</v>
      </c>
      <c r="O148" s="269">
        <v>51</v>
      </c>
      <c r="P148" s="269">
        <v>56</v>
      </c>
      <c r="Q148" s="269">
        <v>107</v>
      </c>
    </row>
    <row r="149" spans="2:17" x14ac:dyDescent="0.25">
      <c r="B149" s="237" t="s">
        <v>202</v>
      </c>
      <c r="C149" s="277"/>
      <c r="D149" s="277">
        <v>2</v>
      </c>
      <c r="E149" s="277">
        <v>2</v>
      </c>
      <c r="F149" s="277">
        <v>13</v>
      </c>
      <c r="G149" s="277">
        <v>10</v>
      </c>
      <c r="H149" s="253">
        <v>23</v>
      </c>
      <c r="I149" s="277"/>
      <c r="J149" s="253"/>
      <c r="K149" s="277"/>
      <c r="L149" s="277"/>
      <c r="M149" s="253"/>
      <c r="N149" s="277"/>
      <c r="O149" s="269">
        <v>13</v>
      </c>
      <c r="P149" s="269">
        <v>12</v>
      </c>
      <c r="Q149" s="269">
        <v>25</v>
      </c>
    </row>
    <row r="150" spans="2:17" x14ac:dyDescent="0.25">
      <c r="B150" s="237" t="s">
        <v>203</v>
      </c>
      <c r="C150" s="277">
        <v>3</v>
      </c>
      <c r="D150" s="277">
        <v>3</v>
      </c>
      <c r="E150" s="277">
        <v>6</v>
      </c>
      <c r="F150" s="277">
        <v>116</v>
      </c>
      <c r="G150" s="277">
        <v>111</v>
      </c>
      <c r="H150" s="253">
        <v>227</v>
      </c>
      <c r="I150" s="277">
        <v>4</v>
      </c>
      <c r="J150" s="253">
        <v>2</v>
      </c>
      <c r="K150" s="277">
        <v>6</v>
      </c>
      <c r="L150" s="277">
        <v>3</v>
      </c>
      <c r="M150" s="253">
        <v>7</v>
      </c>
      <c r="N150" s="277">
        <v>10</v>
      </c>
      <c r="O150" s="269">
        <v>126</v>
      </c>
      <c r="P150" s="269">
        <v>123</v>
      </c>
      <c r="Q150" s="269">
        <v>249</v>
      </c>
    </row>
    <row r="151" spans="2:17" x14ac:dyDescent="0.25">
      <c r="B151" s="237" t="s">
        <v>204</v>
      </c>
      <c r="C151" s="277">
        <v>1</v>
      </c>
      <c r="D151" s="277">
        <v>1</v>
      </c>
      <c r="E151" s="277">
        <v>2</v>
      </c>
      <c r="F151" s="277">
        <v>18</v>
      </c>
      <c r="G151" s="277">
        <v>21</v>
      </c>
      <c r="H151" s="253">
        <v>39</v>
      </c>
      <c r="I151" s="277">
        <v>1</v>
      </c>
      <c r="J151" s="253"/>
      <c r="K151" s="277">
        <v>1</v>
      </c>
      <c r="L151" s="277"/>
      <c r="M151" s="253"/>
      <c r="N151" s="277"/>
      <c r="O151" s="269">
        <v>20</v>
      </c>
      <c r="P151" s="269">
        <v>22</v>
      </c>
      <c r="Q151" s="269">
        <v>42</v>
      </c>
    </row>
    <row r="152" spans="2:17" x14ac:dyDescent="0.25">
      <c r="B152" s="237" t="s">
        <v>205</v>
      </c>
      <c r="C152" s="277">
        <v>21</v>
      </c>
      <c r="D152" s="277">
        <v>4</v>
      </c>
      <c r="E152" s="277">
        <v>25</v>
      </c>
      <c r="F152" s="277">
        <v>102</v>
      </c>
      <c r="G152" s="277">
        <v>79</v>
      </c>
      <c r="H152" s="253">
        <v>181</v>
      </c>
      <c r="I152" s="277">
        <v>2</v>
      </c>
      <c r="J152" s="253"/>
      <c r="K152" s="277">
        <v>2</v>
      </c>
      <c r="L152" s="277">
        <v>6</v>
      </c>
      <c r="M152" s="253">
        <v>7</v>
      </c>
      <c r="N152" s="277">
        <v>13</v>
      </c>
      <c r="O152" s="269">
        <v>131</v>
      </c>
      <c r="P152" s="269">
        <v>90</v>
      </c>
      <c r="Q152" s="269">
        <v>221</v>
      </c>
    </row>
    <row r="153" spans="2:17" x14ac:dyDescent="0.25">
      <c r="B153" s="237" t="s">
        <v>206</v>
      </c>
      <c r="C153" s="277">
        <v>3</v>
      </c>
      <c r="D153" s="277">
        <v>1</v>
      </c>
      <c r="E153" s="277">
        <v>4</v>
      </c>
      <c r="F153" s="277">
        <v>12</v>
      </c>
      <c r="G153" s="277">
        <v>13</v>
      </c>
      <c r="H153" s="253">
        <v>25</v>
      </c>
      <c r="I153" s="277"/>
      <c r="J153" s="253"/>
      <c r="K153" s="277"/>
      <c r="L153" s="277">
        <v>1</v>
      </c>
      <c r="M153" s="253">
        <v>1</v>
      </c>
      <c r="N153" s="277">
        <v>2</v>
      </c>
      <c r="O153" s="269">
        <v>16</v>
      </c>
      <c r="P153" s="269">
        <v>15</v>
      </c>
      <c r="Q153" s="269">
        <v>31</v>
      </c>
    </row>
    <row r="154" spans="2:17" x14ac:dyDescent="0.25">
      <c r="B154" s="237" t="s">
        <v>207</v>
      </c>
      <c r="C154" s="277">
        <v>4</v>
      </c>
      <c r="D154" s="277"/>
      <c r="E154" s="277">
        <v>4</v>
      </c>
      <c r="F154" s="277">
        <v>20</v>
      </c>
      <c r="G154" s="277">
        <v>12</v>
      </c>
      <c r="H154" s="253">
        <v>32</v>
      </c>
      <c r="I154" s="277"/>
      <c r="J154" s="253"/>
      <c r="K154" s="277"/>
      <c r="L154" s="277"/>
      <c r="M154" s="253">
        <v>1</v>
      </c>
      <c r="N154" s="277">
        <v>1</v>
      </c>
      <c r="O154" s="269">
        <v>24</v>
      </c>
      <c r="P154" s="269">
        <v>13</v>
      </c>
      <c r="Q154" s="269">
        <v>37</v>
      </c>
    </row>
    <row r="155" spans="2:17" x14ac:dyDescent="0.25">
      <c r="B155" s="237" t="s">
        <v>208</v>
      </c>
      <c r="C155" s="277">
        <v>35</v>
      </c>
      <c r="D155" s="277">
        <v>10</v>
      </c>
      <c r="E155" s="277">
        <v>45</v>
      </c>
      <c r="F155" s="277">
        <v>344</v>
      </c>
      <c r="G155" s="277">
        <v>285</v>
      </c>
      <c r="H155" s="253">
        <v>629</v>
      </c>
      <c r="I155" s="277">
        <v>1</v>
      </c>
      <c r="J155" s="253">
        <v>3</v>
      </c>
      <c r="K155" s="277">
        <v>4</v>
      </c>
      <c r="L155" s="277">
        <v>10</v>
      </c>
      <c r="M155" s="253">
        <v>18</v>
      </c>
      <c r="N155" s="277">
        <v>28</v>
      </c>
      <c r="O155" s="269">
        <v>390</v>
      </c>
      <c r="P155" s="269">
        <v>316</v>
      </c>
      <c r="Q155" s="269">
        <v>706</v>
      </c>
    </row>
    <row r="156" spans="2:17" x14ac:dyDescent="0.25">
      <c r="B156" s="237" t="s">
        <v>209</v>
      </c>
      <c r="C156" s="277">
        <v>17</v>
      </c>
      <c r="D156" s="277">
        <v>5</v>
      </c>
      <c r="E156" s="277">
        <v>22</v>
      </c>
      <c r="F156" s="277">
        <v>210</v>
      </c>
      <c r="G156" s="277">
        <v>149</v>
      </c>
      <c r="H156" s="253">
        <v>359</v>
      </c>
      <c r="I156" s="277">
        <v>2</v>
      </c>
      <c r="J156" s="253"/>
      <c r="K156" s="277">
        <v>2</v>
      </c>
      <c r="L156" s="277">
        <v>4</v>
      </c>
      <c r="M156" s="253">
        <v>9</v>
      </c>
      <c r="N156" s="277">
        <v>13</v>
      </c>
      <c r="O156" s="269">
        <v>233</v>
      </c>
      <c r="P156" s="269">
        <v>163</v>
      </c>
      <c r="Q156" s="269">
        <v>396</v>
      </c>
    </row>
    <row r="157" spans="2:17" x14ac:dyDescent="0.25">
      <c r="B157" s="238" t="s">
        <v>497</v>
      </c>
      <c r="C157" s="277">
        <v>37</v>
      </c>
      <c r="D157" s="277">
        <v>9</v>
      </c>
      <c r="E157" s="277">
        <v>46</v>
      </c>
      <c r="F157" s="277">
        <v>512</v>
      </c>
      <c r="G157" s="277">
        <v>294</v>
      </c>
      <c r="H157" s="253">
        <v>806</v>
      </c>
      <c r="I157" s="277">
        <v>5</v>
      </c>
      <c r="J157" s="253">
        <v>3</v>
      </c>
      <c r="K157" s="277">
        <v>8</v>
      </c>
      <c r="L157" s="277">
        <v>8</v>
      </c>
      <c r="M157" s="253">
        <v>23</v>
      </c>
      <c r="N157" s="277">
        <v>31</v>
      </c>
      <c r="O157" s="269">
        <v>562</v>
      </c>
      <c r="P157" s="269">
        <v>329</v>
      </c>
      <c r="Q157" s="269">
        <v>891</v>
      </c>
    </row>
    <row r="158" spans="2:17" x14ac:dyDescent="0.25">
      <c r="B158" s="176" t="s">
        <v>210</v>
      </c>
      <c r="C158" s="277"/>
      <c r="D158" s="277"/>
      <c r="E158" s="277"/>
      <c r="F158" s="277">
        <v>12</v>
      </c>
      <c r="G158" s="277">
        <v>8</v>
      </c>
      <c r="H158" s="253">
        <v>20</v>
      </c>
      <c r="I158" s="277"/>
      <c r="J158" s="253"/>
      <c r="K158" s="277"/>
      <c r="L158" s="277">
        <v>1</v>
      </c>
      <c r="M158" s="253"/>
      <c r="N158" s="277">
        <v>1</v>
      </c>
      <c r="O158" s="269">
        <v>13</v>
      </c>
      <c r="P158" s="269">
        <v>8</v>
      </c>
      <c r="Q158" s="269">
        <v>21</v>
      </c>
    </row>
    <row r="159" spans="2:17" x14ac:dyDescent="0.25">
      <c r="B159" s="311" t="s">
        <v>28</v>
      </c>
      <c r="C159" s="271">
        <v>240</v>
      </c>
      <c r="D159" s="271">
        <v>91</v>
      </c>
      <c r="E159" s="271">
        <v>331</v>
      </c>
      <c r="F159" s="271">
        <v>2506</v>
      </c>
      <c r="G159" s="271">
        <v>1942</v>
      </c>
      <c r="H159" s="269">
        <v>4448</v>
      </c>
      <c r="I159" s="271">
        <v>26</v>
      </c>
      <c r="J159" s="269">
        <v>17</v>
      </c>
      <c r="K159" s="271">
        <v>43</v>
      </c>
      <c r="L159" s="271">
        <v>59</v>
      </c>
      <c r="M159" s="269">
        <v>113</v>
      </c>
      <c r="N159" s="271">
        <v>172</v>
      </c>
      <c r="O159" s="269">
        <v>2831</v>
      </c>
      <c r="P159" s="269">
        <v>2163</v>
      </c>
      <c r="Q159" s="269">
        <v>4994</v>
      </c>
    </row>
    <row r="160" spans="2:17" ht="123" customHeight="1" x14ac:dyDescent="0.25">
      <c r="B160" s="428" t="s">
        <v>866</v>
      </c>
      <c r="C160" s="428"/>
      <c r="D160" s="428"/>
      <c r="E160" s="428"/>
      <c r="F160" s="428"/>
      <c r="G160" s="428"/>
      <c r="H160" s="428"/>
      <c r="I160" s="428"/>
      <c r="J160" s="428"/>
      <c r="K160" s="428"/>
      <c r="L160" s="428"/>
      <c r="M160" s="428"/>
      <c r="N160" s="428"/>
      <c r="O160" s="428"/>
      <c r="P160" s="428"/>
      <c r="Q160" s="428"/>
    </row>
    <row r="161" spans="2:17" x14ac:dyDescent="0.25">
      <c r="B161" s="158"/>
      <c r="C161" s="158"/>
      <c r="D161" s="158"/>
      <c r="E161" s="158"/>
      <c r="F161" s="158"/>
      <c r="G161"/>
    </row>
    <row r="162" spans="2:17" x14ac:dyDescent="0.25">
      <c r="B162" s="187" t="s">
        <v>522</v>
      </c>
      <c r="C162"/>
      <c r="D162"/>
      <c r="E162"/>
      <c r="F162"/>
      <c r="G162"/>
    </row>
    <row r="163" spans="2:17" x14ac:dyDescent="0.25">
      <c r="B163" s="187"/>
      <c r="C163"/>
      <c r="D163"/>
      <c r="E163"/>
      <c r="F163"/>
      <c r="G163"/>
    </row>
    <row r="164" spans="2:17" ht="15" customHeight="1" x14ac:dyDescent="0.25">
      <c r="B164" s="430" t="s">
        <v>537</v>
      </c>
      <c r="C164" s="426" t="s">
        <v>481</v>
      </c>
      <c r="D164" s="426"/>
      <c r="E164" s="426"/>
      <c r="F164" s="426"/>
      <c r="G164" s="426"/>
      <c r="H164" s="426"/>
      <c r="I164" s="426"/>
      <c r="J164" s="426"/>
      <c r="K164" s="426"/>
      <c r="L164" s="426"/>
      <c r="M164" s="426"/>
      <c r="N164" s="426"/>
      <c r="O164" s="443" t="s">
        <v>697</v>
      </c>
      <c r="P164" s="444"/>
      <c r="Q164" s="445"/>
    </row>
    <row r="165" spans="2:17" ht="15" customHeight="1" x14ac:dyDescent="0.25">
      <c r="B165" s="431"/>
      <c r="C165" s="426" t="s">
        <v>658</v>
      </c>
      <c r="D165" s="426"/>
      <c r="E165" s="426"/>
      <c r="F165" s="426" t="s">
        <v>490</v>
      </c>
      <c r="G165" s="426"/>
      <c r="H165" s="426"/>
      <c r="I165" s="426" t="s">
        <v>4</v>
      </c>
      <c r="J165" s="426"/>
      <c r="K165" s="426"/>
      <c r="L165" s="426" t="s">
        <v>6</v>
      </c>
      <c r="M165" s="426"/>
      <c r="N165" s="426"/>
      <c r="O165" s="446"/>
      <c r="P165" s="447"/>
      <c r="Q165" s="448"/>
    </row>
    <row r="166" spans="2:17" x14ac:dyDescent="0.25">
      <c r="B166" s="432"/>
      <c r="C166" s="161" t="s">
        <v>76</v>
      </c>
      <c r="D166" s="161" t="s">
        <v>77</v>
      </c>
      <c r="E166" s="161" t="s">
        <v>28</v>
      </c>
      <c r="F166" s="161" t="s">
        <v>76</v>
      </c>
      <c r="G166" s="161" t="s">
        <v>77</v>
      </c>
      <c r="H166" s="161" t="s">
        <v>28</v>
      </c>
      <c r="I166" s="161" t="s">
        <v>76</v>
      </c>
      <c r="J166" s="161" t="s">
        <v>77</v>
      </c>
      <c r="K166" s="161" t="s">
        <v>28</v>
      </c>
      <c r="L166" s="161" t="s">
        <v>76</v>
      </c>
      <c r="M166" s="161" t="s">
        <v>77</v>
      </c>
      <c r="N166" s="161" t="s">
        <v>28</v>
      </c>
      <c r="O166" s="244" t="s">
        <v>76</v>
      </c>
      <c r="P166" s="244" t="s">
        <v>77</v>
      </c>
      <c r="Q166" s="244" t="s">
        <v>28</v>
      </c>
    </row>
    <row r="167" spans="2:17" x14ac:dyDescent="0.25">
      <c r="B167" s="236" t="s">
        <v>389</v>
      </c>
      <c r="C167" s="277">
        <v>1</v>
      </c>
      <c r="D167" s="277">
        <v>1</v>
      </c>
      <c r="E167" s="277">
        <v>2</v>
      </c>
      <c r="F167" s="277">
        <v>7</v>
      </c>
      <c r="G167" s="277">
        <v>3</v>
      </c>
      <c r="H167" s="253">
        <v>10</v>
      </c>
      <c r="I167" s="277"/>
      <c r="J167" s="253"/>
      <c r="K167" s="277"/>
      <c r="L167" s="253"/>
      <c r="M167" s="277">
        <v>1</v>
      </c>
      <c r="N167" s="253">
        <v>1</v>
      </c>
      <c r="O167" s="269">
        <v>8</v>
      </c>
      <c r="P167" s="269">
        <v>5</v>
      </c>
      <c r="Q167" s="269">
        <v>13</v>
      </c>
    </row>
    <row r="168" spans="2:17" x14ac:dyDescent="0.25">
      <c r="B168" s="237" t="s">
        <v>390</v>
      </c>
      <c r="C168" s="277">
        <v>10</v>
      </c>
      <c r="D168" s="277">
        <v>2</v>
      </c>
      <c r="E168" s="277">
        <v>12</v>
      </c>
      <c r="F168" s="277">
        <v>128</v>
      </c>
      <c r="G168" s="277">
        <v>101</v>
      </c>
      <c r="H168" s="253">
        <v>229</v>
      </c>
      <c r="I168" s="277">
        <v>1</v>
      </c>
      <c r="J168" s="253">
        <v>2</v>
      </c>
      <c r="K168" s="277">
        <v>3</v>
      </c>
      <c r="L168" s="253">
        <v>5</v>
      </c>
      <c r="M168" s="277">
        <v>6</v>
      </c>
      <c r="N168" s="253">
        <v>11</v>
      </c>
      <c r="O168" s="269">
        <v>144</v>
      </c>
      <c r="P168" s="269">
        <v>111</v>
      </c>
      <c r="Q168" s="269">
        <v>255</v>
      </c>
    </row>
    <row r="169" spans="2:17" x14ac:dyDescent="0.25">
      <c r="B169" s="237" t="s">
        <v>391</v>
      </c>
      <c r="C169" s="277">
        <v>2</v>
      </c>
      <c r="D169" s="277">
        <v>1</v>
      </c>
      <c r="E169" s="277">
        <v>3</v>
      </c>
      <c r="F169" s="277">
        <v>27</v>
      </c>
      <c r="G169" s="277">
        <v>23</v>
      </c>
      <c r="H169" s="253">
        <v>50</v>
      </c>
      <c r="I169" s="277"/>
      <c r="J169" s="253"/>
      <c r="K169" s="277"/>
      <c r="L169" s="253">
        <v>1</v>
      </c>
      <c r="M169" s="277">
        <v>2</v>
      </c>
      <c r="N169" s="253">
        <v>3</v>
      </c>
      <c r="O169" s="269">
        <v>30</v>
      </c>
      <c r="P169" s="269">
        <v>26</v>
      </c>
      <c r="Q169" s="269">
        <v>56</v>
      </c>
    </row>
    <row r="170" spans="2:17" x14ac:dyDescent="0.25">
      <c r="B170" s="237" t="s">
        <v>392</v>
      </c>
      <c r="C170" s="277">
        <v>6</v>
      </c>
      <c r="D170" s="277"/>
      <c r="E170" s="277">
        <v>6</v>
      </c>
      <c r="F170" s="277">
        <v>63</v>
      </c>
      <c r="G170" s="277">
        <v>73</v>
      </c>
      <c r="H170" s="253">
        <v>136</v>
      </c>
      <c r="I170" s="277">
        <v>2</v>
      </c>
      <c r="J170" s="253"/>
      <c r="K170" s="277">
        <v>2</v>
      </c>
      <c r="L170" s="253">
        <v>1</v>
      </c>
      <c r="M170" s="277">
        <v>1</v>
      </c>
      <c r="N170" s="253">
        <v>2</v>
      </c>
      <c r="O170" s="269">
        <v>72</v>
      </c>
      <c r="P170" s="269">
        <v>74</v>
      </c>
      <c r="Q170" s="269">
        <v>146</v>
      </c>
    </row>
    <row r="171" spans="2:17" x14ac:dyDescent="0.25">
      <c r="B171" s="237" t="s">
        <v>393</v>
      </c>
      <c r="C171" s="277">
        <v>13</v>
      </c>
      <c r="D171" s="277">
        <v>1</v>
      </c>
      <c r="E171" s="277">
        <v>14</v>
      </c>
      <c r="F171" s="277">
        <v>143</v>
      </c>
      <c r="G171" s="277">
        <v>124</v>
      </c>
      <c r="H171" s="253">
        <v>267</v>
      </c>
      <c r="I171" s="277"/>
      <c r="J171" s="253">
        <v>2</v>
      </c>
      <c r="K171" s="277">
        <v>2</v>
      </c>
      <c r="L171" s="253">
        <v>1</v>
      </c>
      <c r="M171" s="277">
        <v>6</v>
      </c>
      <c r="N171" s="253">
        <v>7</v>
      </c>
      <c r="O171" s="269">
        <v>157</v>
      </c>
      <c r="P171" s="269">
        <v>133</v>
      </c>
      <c r="Q171" s="269">
        <v>290</v>
      </c>
    </row>
    <row r="172" spans="2:17" x14ac:dyDescent="0.25">
      <c r="B172" s="237" t="s">
        <v>394</v>
      </c>
      <c r="C172" s="277">
        <v>7</v>
      </c>
      <c r="D172" s="277">
        <v>4</v>
      </c>
      <c r="E172" s="277">
        <v>11</v>
      </c>
      <c r="F172" s="277">
        <v>102</v>
      </c>
      <c r="G172" s="277">
        <v>95</v>
      </c>
      <c r="H172" s="253">
        <v>197</v>
      </c>
      <c r="I172" s="277">
        <v>1</v>
      </c>
      <c r="J172" s="253"/>
      <c r="K172" s="277">
        <v>1</v>
      </c>
      <c r="L172" s="253">
        <v>2</v>
      </c>
      <c r="M172" s="277">
        <v>5</v>
      </c>
      <c r="N172" s="253">
        <v>7</v>
      </c>
      <c r="O172" s="269">
        <v>112</v>
      </c>
      <c r="P172" s="269">
        <v>104</v>
      </c>
      <c r="Q172" s="269">
        <v>216</v>
      </c>
    </row>
    <row r="173" spans="2:17" x14ac:dyDescent="0.25">
      <c r="B173" s="237" t="s">
        <v>395</v>
      </c>
      <c r="C173" s="277">
        <v>14</v>
      </c>
      <c r="D173" s="277">
        <v>1</v>
      </c>
      <c r="E173" s="277">
        <v>15</v>
      </c>
      <c r="F173" s="277">
        <v>135</v>
      </c>
      <c r="G173" s="277">
        <v>139</v>
      </c>
      <c r="H173" s="253">
        <v>274</v>
      </c>
      <c r="I173" s="277">
        <v>1</v>
      </c>
      <c r="J173" s="253"/>
      <c r="K173" s="277">
        <v>1</v>
      </c>
      <c r="L173" s="253">
        <v>4</v>
      </c>
      <c r="M173" s="277">
        <v>4</v>
      </c>
      <c r="N173" s="253">
        <v>8</v>
      </c>
      <c r="O173" s="269">
        <v>154</v>
      </c>
      <c r="P173" s="269">
        <v>144</v>
      </c>
      <c r="Q173" s="269">
        <v>298</v>
      </c>
    </row>
    <row r="174" spans="2:17" x14ac:dyDescent="0.25">
      <c r="B174" s="237" t="s">
        <v>396</v>
      </c>
      <c r="C174" s="277">
        <v>9</v>
      </c>
      <c r="D174" s="277">
        <v>1</v>
      </c>
      <c r="E174" s="277">
        <v>10</v>
      </c>
      <c r="F174" s="277">
        <v>44</v>
      </c>
      <c r="G174" s="277">
        <v>46</v>
      </c>
      <c r="H174" s="253">
        <v>90</v>
      </c>
      <c r="I174" s="277"/>
      <c r="J174" s="253">
        <v>1</v>
      </c>
      <c r="K174" s="277">
        <v>1</v>
      </c>
      <c r="L174" s="253"/>
      <c r="M174" s="277">
        <v>1</v>
      </c>
      <c r="N174" s="253">
        <v>1</v>
      </c>
      <c r="O174" s="269">
        <v>53</v>
      </c>
      <c r="P174" s="269">
        <v>49</v>
      </c>
      <c r="Q174" s="269">
        <v>102</v>
      </c>
    </row>
    <row r="175" spans="2:17" x14ac:dyDescent="0.25">
      <c r="B175" s="237" t="s">
        <v>397</v>
      </c>
      <c r="C175" s="277">
        <v>25</v>
      </c>
      <c r="D175" s="277">
        <v>5</v>
      </c>
      <c r="E175" s="277">
        <v>30</v>
      </c>
      <c r="F175" s="277">
        <v>189</v>
      </c>
      <c r="G175" s="277">
        <v>172</v>
      </c>
      <c r="H175" s="253">
        <v>361</v>
      </c>
      <c r="I175" s="277"/>
      <c r="J175" s="253">
        <v>4</v>
      </c>
      <c r="K175" s="277">
        <v>4</v>
      </c>
      <c r="L175" s="253">
        <v>4</v>
      </c>
      <c r="M175" s="277">
        <v>14</v>
      </c>
      <c r="N175" s="253">
        <v>18</v>
      </c>
      <c r="O175" s="269">
        <v>218</v>
      </c>
      <c r="P175" s="269">
        <v>195</v>
      </c>
      <c r="Q175" s="269">
        <v>413</v>
      </c>
    </row>
    <row r="176" spans="2:17" x14ac:dyDescent="0.25">
      <c r="B176" s="237" t="s">
        <v>398</v>
      </c>
      <c r="C176" s="277">
        <v>5</v>
      </c>
      <c r="D176" s="277">
        <v>2</v>
      </c>
      <c r="E176" s="277">
        <v>7</v>
      </c>
      <c r="F176" s="277">
        <v>37</v>
      </c>
      <c r="G176" s="277">
        <v>42</v>
      </c>
      <c r="H176" s="253">
        <v>79</v>
      </c>
      <c r="I176" s="277"/>
      <c r="J176" s="253">
        <v>1</v>
      </c>
      <c r="K176" s="277">
        <v>1</v>
      </c>
      <c r="L176" s="253"/>
      <c r="M176" s="277">
        <v>3</v>
      </c>
      <c r="N176" s="253">
        <v>3</v>
      </c>
      <c r="O176" s="269">
        <v>42</v>
      </c>
      <c r="P176" s="269">
        <v>48</v>
      </c>
      <c r="Q176" s="269">
        <v>90</v>
      </c>
    </row>
    <row r="177" spans="2:17" x14ac:dyDescent="0.25">
      <c r="B177" s="237" t="s">
        <v>399</v>
      </c>
      <c r="C177" s="277">
        <v>15</v>
      </c>
      <c r="D177" s="277">
        <v>3</v>
      </c>
      <c r="E177" s="277">
        <v>18</v>
      </c>
      <c r="F177" s="277">
        <v>164</v>
      </c>
      <c r="G177" s="277">
        <v>125</v>
      </c>
      <c r="H177" s="253">
        <v>289</v>
      </c>
      <c r="I177" s="277">
        <v>1</v>
      </c>
      <c r="J177" s="253">
        <v>2</v>
      </c>
      <c r="K177" s="277">
        <v>3</v>
      </c>
      <c r="L177" s="253">
        <v>7</v>
      </c>
      <c r="M177" s="277">
        <v>6</v>
      </c>
      <c r="N177" s="253">
        <v>13</v>
      </c>
      <c r="O177" s="269">
        <v>187</v>
      </c>
      <c r="P177" s="269">
        <v>136</v>
      </c>
      <c r="Q177" s="269">
        <v>323</v>
      </c>
    </row>
    <row r="178" spans="2:17" x14ac:dyDescent="0.25">
      <c r="B178" s="237" t="s">
        <v>400</v>
      </c>
      <c r="C178" s="277">
        <v>10</v>
      </c>
      <c r="D178" s="277">
        <v>3</v>
      </c>
      <c r="E178" s="277">
        <v>13</v>
      </c>
      <c r="F178" s="277">
        <v>73</v>
      </c>
      <c r="G178" s="277">
        <v>53</v>
      </c>
      <c r="H178" s="253">
        <v>126</v>
      </c>
      <c r="I178" s="277"/>
      <c r="J178" s="253">
        <v>1</v>
      </c>
      <c r="K178" s="277">
        <v>1</v>
      </c>
      <c r="L178" s="253">
        <v>3</v>
      </c>
      <c r="M178" s="277">
        <v>1</v>
      </c>
      <c r="N178" s="253">
        <v>4</v>
      </c>
      <c r="O178" s="269">
        <v>86</v>
      </c>
      <c r="P178" s="269">
        <v>58</v>
      </c>
      <c r="Q178" s="269">
        <v>144</v>
      </c>
    </row>
    <row r="179" spans="2:17" x14ac:dyDescent="0.25">
      <c r="B179" s="237" t="s">
        <v>401</v>
      </c>
      <c r="C179" s="277">
        <v>8</v>
      </c>
      <c r="D179" s="277">
        <v>3</v>
      </c>
      <c r="E179" s="277">
        <v>11</v>
      </c>
      <c r="F179" s="277">
        <v>81</v>
      </c>
      <c r="G179" s="277">
        <v>75</v>
      </c>
      <c r="H179" s="253">
        <v>156</v>
      </c>
      <c r="I179" s="277">
        <v>2</v>
      </c>
      <c r="J179" s="253"/>
      <c r="K179" s="277">
        <v>2</v>
      </c>
      <c r="L179" s="253">
        <v>2</v>
      </c>
      <c r="M179" s="277">
        <v>4</v>
      </c>
      <c r="N179" s="253">
        <v>6</v>
      </c>
      <c r="O179" s="269">
        <v>93</v>
      </c>
      <c r="P179" s="269">
        <v>82</v>
      </c>
      <c r="Q179" s="269">
        <v>175</v>
      </c>
    </row>
    <row r="180" spans="2:17" x14ac:dyDescent="0.25">
      <c r="B180" s="237" t="s">
        <v>402</v>
      </c>
      <c r="C180" s="277">
        <v>3</v>
      </c>
      <c r="D180" s="277">
        <v>3</v>
      </c>
      <c r="E180" s="277">
        <v>6</v>
      </c>
      <c r="F180" s="277">
        <v>40</v>
      </c>
      <c r="G180" s="277">
        <v>41</v>
      </c>
      <c r="H180" s="253">
        <v>81</v>
      </c>
      <c r="I180" s="277"/>
      <c r="J180" s="253"/>
      <c r="K180" s="277"/>
      <c r="L180" s="253">
        <v>1</v>
      </c>
      <c r="M180" s="277"/>
      <c r="N180" s="253">
        <v>1</v>
      </c>
      <c r="O180" s="269">
        <v>44</v>
      </c>
      <c r="P180" s="269">
        <v>44</v>
      </c>
      <c r="Q180" s="269">
        <v>88</v>
      </c>
    </row>
    <row r="181" spans="2:17" x14ac:dyDescent="0.25">
      <c r="B181" s="237" t="s">
        <v>403</v>
      </c>
      <c r="C181" s="277">
        <v>9</v>
      </c>
      <c r="D181" s="277">
        <v>3</v>
      </c>
      <c r="E181" s="277">
        <v>12</v>
      </c>
      <c r="F181" s="277">
        <v>105</v>
      </c>
      <c r="G181" s="277">
        <v>95</v>
      </c>
      <c r="H181" s="253">
        <v>200</v>
      </c>
      <c r="I181" s="277">
        <v>3</v>
      </c>
      <c r="J181" s="253"/>
      <c r="K181" s="277">
        <v>3</v>
      </c>
      <c r="L181" s="253">
        <v>1</v>
      </c>
      <c r="M181" s="277">
        <v>3</v>
      </c>
      <c r="N181" s="253">
        <v>4</v>
      </c>
      <c r="O181" s="269">
        <v>118</v>
      </c>
      <c r="P181" s="269">
        <v>101</v>
      </c>
      <c r="Q181" s="269">
        <v>219</v>
      </c>
    </row>
    <row r="182" spans="2:17" x14ac:dyDescent="0.25">
      <c r="B182" s="237" t="s">
        <v>404</v>
      </c>
      <c r="C182" s="277">
        <v>43</v>
      </c>
      <c r="D182" s="277">
        <v>14</v>
      </c>
      <c r="E182" s="277">
        <v>57</v>
      </c>
      <c r="F182" s="277">
        <v>492</v>
      </c>
      <c r="G182" s="277">
        <v>325</v>
      </c>
      <c r="H182" s="253">
        <v>817</v>
      </c>
      <c r="I182" s="277">
        <v>4</v>
      </c>
      <c r="J182" s="253">
        <v>2</v>
      </c>
      <c r="K182" s="277">
        <v>6</v>
      </c>
      <c r="L182" s="253">
        <v>10</v>
      </c>
      <c r="M182" s="277">
        <v>16</v>
      </c>
      <c r="N182" s="253">
        <v>26</v>
      </c>
      <c r="O182" s="269">
        <v>549</v>
      </c>
      <c r="P182" s="269">
        <v>357</v>
      </c>
      <c r="Q182" s="269">
        <v>906</v>
      </c>
    </row>
    <row r="183" spans="2:17" x14ac:dyDescent="0.25">
      <c r="B183" s="237" t="s">
        <v>405</v>
      </c>
      <c r="C183" s="277">
        <v>10</v>
      </c>
      <c r="D183" s="277">
        <v>1</v>
      </c>
      <c r="E183" s="277">
        <v>11</v>
      </c>
      <c r="F183" s="277">
        <v>172</v>
      </c>
      <c r="G183" s="277">
        <v>136</v>
      </c>
      <c r="H183" s="253">
        <v>308</v>
      </c>
      <c r="I183" s="277">
        <v>2</v>
      </c>
      <c r="J183" s="253">
        <v>1</v>
      </c>
      <c r="K183" s="277">
        <v>3</v>
      </c>
      <c r="L183" s="253">
        <v>4</v>
      </c>
      <c r="M183" s="277">
        <v>8</v>
      </c>
      <c r="N183" s="253">
        <v>12</v>
      </c>
      <c r="O183" s="269">
        <v>188</v>
      </c>
      <c r="P183" s="269">
        <v>146</v>
      </c>
      <c r="Q183" s="269">
        <v>334</v>
      </c>
    </row>
    <row r="184" spans="2:17" x14ac:dyDescent="0.25">
      <c r="B184" s="237" t="s">
        <v>406</v>
      </c>
      <c r="C184" s="277">
        <v>19</v>
      </c>
      <c r="D184" s="277">
        <v>4</v>
      </c>
      <c r="E184" s="277">
        <v>23</v>
      </c>
      <c r="F184" s="277">
        <v>191</v>
      </c>
      <c r="G184" s="277">
        <v>165</v>
      </c>
      <c r="H184" s="253">
        <v>356</v>
      </c>
      <c r="I184" s="277">
        <v>2</v>
      </c>
      <c r="J184" s="253">
        <v>3</v>
      </c>
      <c r="K184" s="277">
        <v>5</v>
      </c>
      <c r="L184" s="253">
        <v>10</v>
      </c>
      <c r="M184" s="277">
        <v>12</v>
      </c>
      <c r="N184" s="253">
        <v>22</v>
      </c>
      <c r="O184" s="269">
        <v>222</v>
      </c>
      <c r="P184" s="269">
        <v>184</v>
      </c>
      <c r="Q184" s="269">
        <v>406</v>
      </c>
    </row>
    <row r="185" spans="2:17" x14ac:dyDescent="0.25">
      <c r="B185" s="237" t="s">
        <v>407</v>
      </c>
      <c r="C185" s="277">
        <v>8</v>
      </c>
      <c r="D185" s="277">
        <v>2</v>
      </c>
      <c r="E185" s="277">
        <v>10</v>
      </c>
      <c r="F185" s="277">
        <v>114</v>
      </c>
      <c r="G185" s="277">
        <v>51</v>
      </c>
      <c r="H185" s="253">
        <v>165</v>
      </c>
      <c r="I185" s="277">
        <v>2</v>
      </c>
      <c r="J185" s="253">
        <v>2</v>
      </c>
      <c r="K185" s="277">
        <v>4</v>
      </c>
      <c r="L185" s="253"/>
      <c r="M185" s="277"/>
      <c r="N185" s="253"/>
      <c r="O185" s="269">
        <v>124</v>
      </c>
      <c r="P185" s="269">
        <v>55</v>
      </c>
      <c r="Q185" s="269">
        <v>179</v>
      </c>
    </row>
    <row r="186" spans="2:17" x14ac:dyDescent="0.25">
      <c r="B186" s="237" t="s">
        <v>408</v>
      </c>
      <c r="C186" s="277">
        <v>5</v>
      </c>
      <c r="D186" s="277">
        <v>2</v>
      </c>
      <c r="E186" s="277">
        <v>7</v>
      </c>
      <c r="F186" s="277">
        <v>69</v>
      </c>
      <c r="G186" s="277">
        <v>59</v>
      </c>
      <c r="H186" s="253">
        <v>128</v>
      </c>
      <c r="I186" s="277">
        <v>1</v>
      </c>
      <c r="J186" s="253">
        <v>2</v>
      </c>
      <c r="K186" s="277">
        <v>3</v>
      </c>
      <c r="L186" s="253">
        <v>2</v>
      </c>
      <c r="M186" s="277">
        <v>4</v>
      </c>
      <c r="N186" s="253">
        <v>6</v>
      </c>
      <c r="O186" s="269">
        <v>77</v>
      </c>
      <c r="P186" s="269">
        <v>67</v>
      </c>
      <c r="Q186" s="269">
        <v>144</v>
      </c>
    </row>
    <row r="187" spans="2:17" x14ac:dyDescent="0.25">
      <c r="B187" s="237" t="s">
        <v>409</v>
      </c>
      <c r="C187" s="277">
        <v>17</v>
      </c>
      <c r="D187" s="277">
        <v>1</v>
      </c>
      <c r="E187" s="277">
        <v>18</v>
      </c>
      <c r="F187" s="277">
        <v>405</v>
      </c>
      <c r="G187" s="277">
        <v>186</v>
      </c>
      <c r="H187" s="253">
        <v>591</v>
      </c>
      <c r="I187" s="277">
        <v>2</v>
      </c>
      <c r="J187" s="253">
        <v>1</v>
      </c>
      <c r="K187" s="277">
        <v>3</v>
      </c>
      <c r="L187" s="253">
        <v>2</v>
      </c>
      <c r="M187" s="277">
        <v>4</v>
      </c>
      <c r="N187" s="253">
        <v>6</v>
      </c>
      <c r="O187" s="269">
        <v>426</v>
      </c>
      <c r="P187" s="269">
        <v>192</v>
      </c>
      <c r="Q187" s="269">
        <v>618</v>
      </c>
    </row>
    <row r="188" spans="2:17" x14ac:dyDescent="0.25">
      <c r="B188" s="237" t="s">
        <v>410</v>
      </c>
      <c r="C188" s="277">
        <v>4</v>
      </c>
      <c r="D188" s="277">
        <v>1</v>
      </c>
      <c r="E188" s="277">
        <v>5</v>
      </c>
      <c r="F188" s="277">
        <v>78</v>
      </c>
      <c r="G188" s="277">
        <v>55</v>
      </c>
      <c r="H188" s="253">
        <v>133</v>
      </c>
      <c r="I188" s="277"/>
      <c r="J188" s="253"/>
      <c r="K188" s="277"/>
      <c r="L188" s="253"/>
      <c r="M188" s="277">
        <v>2</v>
      </c>
      <c r="N188" s="253">
        <v>2</v>
      </c>
      <c r="O188" s="269">
        <v>82</v>
      </c>
      <c r="P188" s="269">
        <v>58</v>
      </c>
      <c r="Q188" s="269">
        <v>140</v>
      </c>
    </row>
    <row r="189" spans="2:17" x14ac:dyDescent="0.25">
      <c r="B189" s="237" t="s">
        <v>411</v>
      </c>
      <c r="C189" s="277">
        <v>8</v>
      </c>
      <c r="D189" s="277">
        <v>2</v>
      </c>
      <c r="E189" s="277">
        <v>10</v>
      </c>
      <c r="F189" s="277">
        <v>107</v>
      </c>
      <c r="G189" s="277">
        <v>115</v>
      </c>
      <c r="H189" s="253">
        <v>222</v>
      </c>
      <c r="I189" s="277">
        <v>3</v>
      </c>
      <c r="J189" s="253">
        <v>2</v>
      </c>
      <c r="K189" s="277">
        <v>5</v>
      </c>
      <c r="L189" s="253">
        <v>5</v>
      </c>
      <c r="M189" s="277">
        <v>7</v>
      </c>
      <c r="N189" s="253">
        <v>12</v>
      </c>
      <c r="O189" s="269">
        <v>123</v>
      </c>
      <c r="P189" s="269">
        <v>126</v>
      </c>
      <c r="Q189" s="269">
        <v>249</v>
      </c>
    </row>
    <row r="190" spans="2:17" x14ac:dyDescent="0.25">
      <c r="B190" s="237" t="s">
        <v>412</v>
      </c>
      <c r="C190" s="277">
        <v>22</v>
      </c>
      <c r="D190" s="277">
        <v>3</v>
      </c>
      <c r="E190" s="277">
        <v>25</v>
      </c>
      <c r="F190" s="277">
        <v>99</v>
      </c>
      <c r="G190" s="277">
        <v>86</v>
      </c>
      <c r="H190" s="253">
        <v>185</v>
      </c>
      <c r="I190" s="277">
        <v>1</v>
      </c>
      <c r="J190" s="253">
        <v>1</v>
      </c>
      <c r="K190" s="277">
        <v>2</v>
      </c>
      <c r="L190" s="253">
        <v>5</v>
      </c>
      <c r="M190" s="277">
        <v>4</v>
      </c>
      <c r="N190" s="253">
        <v>9</v>
      </c>
      <c r="O190" s="269">
        <v>127</v>
      </c>
      <c r="P190" s="269">
        <v>94</v>
      </c>
      <c r="Q190" s="269">
        <v>221</v>
      </c>
    </row>
    <row r="191" spans="2:17" x14ac:dyDescent="0.25">
      <c r="B191" s="237" t="s">
        <v>413</v>
      </c>
      <c r="C191" s="277">
        <v>13</v>
      </c>
      <c r="D191" s="277">
        <v>3</v>
      </c>
      <c r="E191" s="277">
        <v>16</v>
      </c>
      <c r="F191" s="277">
        <v>159</v>
      </c>
      <c r="G191" s="277">
        <v>95</v>
      </c>
      <c r="H191" s="253">
        <v>254</v>
      </c>
      <c r="I191" s="277">
        <v>1</v>
      </c>
      <c r="J191" s="253"/>
      <c r="K191" s="277">
        <v>1</v>
      </c>
      <c r="L191" s="253"/>
      <c r="M191" s="277">
        <v>4</v>
      </c>
      <c r="N191" s="253">
        <v>4</v>
      </c>
      <c r="O191" s="269">
        <v>173</v>
      </c>
      <c r="P191" s="269">
        <v>102</v>
      </c>
      <c r="Q191" s="269">
        <v>275</v>
      </c>
    </row>
    <row r="192" spans="2:17" x14ac:dyDescent="0.25">
      <c r="B192" s="237" t="s">
        <v>414</v>
      </c>
      <c r="C192" s="277">
        <v>41</v>
      </c>
      <c r="D192" s="277">
        <v>6</v>
      </c>
      <c r="E192" s="277">
        <v>47</v>
      </c>
      <c r="F192" s="277">
        <v>654</v>
      </c>
      <c r="G192" s="277">
        <v>526</v>
      </c>
      <c r="H192" s="253">
        <v>1180</v>
      </c>
      <c r="I192" s="277">
        <v>3</v>
      </c>
      <c r="J192" s="253">
        <v>1</v>
      </c>
      <c r="K192" s="277">
        <v>4</v>
      </c>
      <c r="L192" s="253">
        <v>20</v>
      </c>
      <c r="M192" s="277">
        <v>26</v>
      </c>
      <c r="N192" s="253">
        <v>46</v>
      </c>
      <c r="O192" s="269">
        <v>718</v>
      </c>
      <c r="P192" s="269">
        <v>559</v>
      </c>
      <c r="Q192" s="269">
        <v>1277</v>
      </c>
    </row>
    <row r="193" spans="2:17" x14ac:dyDescent="0.25">
      <c r="B193" s="237" t="s">
        <v>415</v>
      </c>
      <c r="C193" s="277"/>
      <c r="D193" s="277"/>
      <c r="E193" s="277"/>
      <c r="F193" s="277">
        <v>24</v>
      </c>
      <c r="G193" s="277">
        <v>14</v>
      </c>
      <c r="H193" s="253">
        <v>38</v>
      </c>
      <c r="I193" s="277"/>
      <c r="J193" s="253"/>
      <c r="K193" s="277"/>
      <c r="L193" s="253">
        <v>1</v>
      </c>
      <c r="M193" s="277">
        <v>1</v>
      </c>
      <c r="N193" s="253">
        <v>2</v>
      </c>
      <c r="O193" s="269">
        <v>25</v>
      </c>
      <c r="P193" s="269">
        <v>15</v>
      </c>
      <c r="Q193" s="269">
        <v>40</v>
      </c>
    </row>
    <row r="194" spans="2:17" x14ac:dyDescent="0.25">
      <c r="B194" s="237" t="s">
        <v>416</v>
      </c>
      <c r="C194" s="277">
        <v>18</v>
      </c>
      <c r="D194" s="277">
        <v>8</v>
      </c>
      <c r="E194" s="277">
        <v>26</v>
      </c>
      <c r="F194" s="277">
        <v>154</v>
      </c>
      <c r="G194" s="277">
        <v>151</v>
      </c>
      <c r="H194" s="253">
        <v>305</v>
      </c>
      <c r="I194" s="277">
        <v>1</v>
      </c>
      <c r="J194" s="253">
        <v>3</v>
      </c>
      <c r="K194" s="277">
        <v>4</v>
      </c>
      <c r="L194" s="253">
        <v>4</v>
      </c>
      <c r="M194" s="277">
        <v>12</v>
      </c>
      <c r="N194" s="253">
        <v>16</v>
      </c>
      <c r="O194" s="269">
        <v>177</v>
      </c>
      <c r="P194" s="269">
        <v>174</v>
      </c>
      <c r="Q194" s="269">
        <v>351</v>
      </c>
    </row>
    <row r="195" spans="2:17" x14ac:dyDescent="0.25">
      <c r="B195" s="237" t="s">
        <v>417</v>
      </c>
      <c r="C195" s="277">
        <v>3</v>
      </c>
      <c r="D195" s="277">
        <v>2</v>
      </c>
      <c r="E195" s="277">
        <v>5</v>
      </c>
      <c r="F195" s="277">
        <v>54</v>
      </c>
      <c r="G195" s="277">
        <v>53</v>
      </c>
      <c r="H195" s="253">
        <v>107</v>
      </c>
      <c r="I195" s="277">
        <v>2</v>
      </c>
      <c r="J195" s="253">
        <v>2</v>
      </c>
      <c r="K195" s="277">
        <v>4</v>
      </c>
      <c r="L195" s="253">
        <v>4</v>
      </c>
      <c r="M195" s="277">
        <v>3</v>
      </c>
      <c r="N195" s="253">
        <v>7</v>
      </c>
      <c r="O195" s="269">
        <v>63</v>
      </c>
      <c r="P195" s="269">
        <v>60</v>
      </c>
      <c r="Q195" s="269">
        <v>123</v>
      </c>
    </row>
    <row r="196" spans="2:17" x14ac:dyDescent="0.25">
      <c r="B196" s="237" t="s">
        <v>418</v>
      </c>
      <c r="C196" s="277">
        <v>7</v>
      </c>
      <c r="D196" s="277">
        <v>5</v>
      </c>
      <c r="E196" s="277">
        <v>12</v>
      </c>
      <c r="F196" s="277">
        <v>94</v>
      </c>
      <c r="G196" s="277">
        <v>80</v>
      </c>
      <c r="H196" s="253">
        <v>174</v>
      </c>
      <c r="I196" s="277">
        <v>2</v>
      </c>
      <c r="J196" s="253">
        <v>2</v>
      </c>
      <c r="K196" s="277">
        <v>4</v>
      </c>
      <c r="L196" s="253">
        <v>3</v>
      </c>
      <c r="M196" s="277">
        <v>6</v>
      </c>
      <c r="N196" s="253">
        <v>9</v>
      </c>
      <c r="O196" s="269">
        <v>106</v>
      </c>
      <c r="P196" s="269">
        <v>93</v>
      </c>
      <c r="Q196" s="269">
        <v>199</v>
      </c>
    </row>
    <row r="197" spans="2:17" x14ac:dyDescent="0.25">
      <c r="B197" s="237" t="s">
        <v>419</v>
      </c>
      <c r="C197" s="277">
        <v>14</v>
      </c>
      <c r="D197" s="277">
        <v>1</v>
      </c>
      <c r="E197" s="277">
        <v>15</v>
      </c>
      <c r="F197" s="277">
        <v>156</v>
      </c>
      <c r="G197" s="277">
        <v>144</v>
      </c>
      <c r="H197" s="253">
        <v>300</v>
      </c>
      <c r="I197" s="277"/>
      <c r="J197" s="253">
        <v>2</v>
      </c>
      <c r="K197" s="277">
        <v>2</v>
      </c>
      <c r="L197" s="253">
        <v>2</v>
      </c>
      <c r="M197" s="277">
        <v>4</v>
      </c>
      <c r="N197" s="253">
        <v>6</v>
      </c>
      <c r="O197" s="269">
        <v>172</v>
      </c>
      <c r="P197" s="269">
        <v>151</v>
      </c>
      <c r="Q197" s="269">
        <v>323</v>
      </c>
    </row>
    <row r="198" spans="2:17" x14ac:dyDescent="0.25">
      <c r="B198" s="237" t="s">
        <v>502</v>
      </c>
      <c r="C198" s="277">
        <v>4</v>
      </c>
      <c r="D198" s="277">
        <v>5</v>
      </c>
      <c r="E198" s="277">
        <v>9</v>
      </c>
      <c r="F198" s="277">
        <v>104</v>
      </c>
      <c r="G198" s="277">
        <v>96</v>
      </c>
      <c r="H198" s="253">
        <v>200</v>
      </c>
      <c r="I198" s="277"/>
      <c r="J198" s="253">
        <v>1</v>
      </c>
      <c r="K198" s="277">
        <v>1</v>
      </c>
      <c r="L198" s="253">
        <v>2</v>
      </c>
      <c r="M198" s="277">
        <v>4</v>
      </c>
      <c r="N198" s="253">
        <v>6</v>
      </c>
      <c r="O198" s="269">
        <v>110</v>
      </c>
      <c r="P198" s="269">
        <v>106</v>
      </c>
      <c r="Q198" s="269">
        <v>216</v>
      </c>
    </row>
    <row r="199" spans="2:17" x14ac:dyDescent="0.25">
      <c r="B199" s="237" t="s">
        <v>503</v>
      </c>
      <c r="C199" s="277">
        <v>24</v>
      </c>
      <c r="D199" s="277">
        <v>3</v>
      </c>
      <c r="E199" s="277">
        <v>27</v>
      </c>
      <c r="F199" s="277">
        <v>243</v>
      </c>
      <c r="G199" s="277">
        <v>184</v>
      </c>
      <c r="H199" s="253">
        <v>427</v>
      </c>
      <c r="I199" s="277">
        <v>2</v>
      </c>
      <c r="J199" s="253">
        <v>4</v>
      </c>
      <c r="K199" s="277">
        <v>6</v>
      </c>
      <c r="L199" s="253">
        <v>12</v>
      </c>
      <c r="M199" s="277">
        <v>7</v>
      </c>
      <c r="N199" s="253">
        <v>19</v>
      </c>
      <c r="O199" s="269">
        <v>281</v>
      </c>
      <c r="P199" s="269">
        <v>198</v>
      </c>
      <c r="Q199" s="269">
        <v>479</v>
      </c>
    </row>
    <row r="200" spans="2:17" x14ac:dyDescent="0.25">
      <c r="B200" s="237" t="s">
        <v>420</v>
      </c>
      <c r="C200" s="277">
        <v>1</v>
      </c>
      <c r="D200" s="277">
        <v>1</v>
      </c>
      <c r="E200" s="277">
        <v>2</v>
      </c>
      <c r="F200" s="277">
        <v>27</v>
      </c>
      <c r="G200" s="277">
        <v>23</v>
      </c>
      <c r="H200" s="253">
        <v>50</v>
      </c>
      <c r="I200" s="277"/>
      <c r="J200" s="253"/>
      <c r="K200" s="277"/>
      <c r="L200" s="253">
        <v>1</v>
      </c>
      <c r="M200" s="277">
        <v>2</v>
      </c>
      <c r="N200" s="253">
        <v>3</v>
      </c>
      <c r="O200" s="269">
        <v>29</v>
      </c>
      <c r="P200" s="269">
        <v>26</v>
      </c>
      <c r="Q200" s="269">
        <v>55</v>
      </c>
    </row>
    <row r="201" spans="2:17" x14ac:dyDescent="0.25">
      <c r="B201" s="237" t="s">
        <v>421</v>
      </c>
      <c r="C201" s="277">
        <v>13</v>
      </c>
      <c r="D201" s="277">
        <v>1</v>
      </c>
      <c r="E201" s="277">
        <v>14</v>
      </c>
      <c r="F201" s="277">
        <v>143</v>
      </c>
      <c r="G201" s="277">
        <v>67</v>
      </c>
      <c r="H201" s="253">
        <v>210</v>
      </c>
      <c r="I201" s="277"/>
      <c r="J201" s="253">
        <v>1</v>
      </c>
      <c r="K201" s="277">
        <v>1</v>
      </c>
      <c r="L201" s="253"/>
      <c r="M201" s="277">
        <v>4</v>
      </c>
      <c r="N201" s="253">
        <v>4</v>
      </c>
      <c r="O201" s="269">
        <v>156</v>
      </c>
      <c r="P201" s="269">
        <v>73</v>
      </c>
      <c r="Q201" s="269">
        <v>229</v>
      </c>
    </row>
    <row r="202" spans="2:17" x14ac:dyDescent="0.25">
      <c r="B202" s="237" t="s">
        <v>422</v>
      </c>
      <c r="C202" s="277">
        <v>13</v>
      </c>
      <c r="D202" s="277">
        <v>5</v>
      </c>
      <c r="E202" s="277">
        <v>18</v>
      </c>
      <c r="F202" s="277">
        <v>248</v>
      </c>
      <c r="G202" s="277">
        <v>220</v>
      </c>
      <c r="H202" s="253">
        <v>468</v>
      </c>
      <c r="I202" s="277">
        <v>1</v>
      </c>
      <c r="J202" s="253">
        <v>2</v>
      </c>
      <c r="K202" s="277">
        <v>3</v>
      </c>
      <c r="L202" s="253">
        <v>5</v>
      </c>
      <c r="M202" s="277">
        <v>16</v>
      </c>
      <c r="N202" s="253">
        <v>21</v>
      </c>
      <c r="O202" s="269">
        <v>267</v>
      </c>
      <c r="P202" s="269">
        <v>243</v>
      </c>
      <c r="Q202" s="269">
        <v>510</v>
      </c>
    </row>
    <row r="203" spans="2:17" x14ac:dyDescent="0.25">
      <c r="B203" s="237" t="s">
        <v>423</v>
      </c>
      <c r="C203" s="277">
        <v>46</v>
      </c>
      <c r="D203" s="277">
        <v>13</v>
      </c>
      <c r="E203" s="277">
        <v>59</v>
      </c>
      <c r="F203" s="277">
        <v>676</v>
      </c>
      <c r="G203" s="277">
        <v>571</v>
      </c>
      <c r="H203" s="253">
        <v>1247</v>
      </c>
      <c r="I203" s="277">
        <v>10</v>
      </c>
      <c r="J203" s="253">
        <v>1</v>
      </c>
      <c r="K203" s="277">
        <v>11</v>
      </c>
      <c r="L203" s="253">
        <v>17</v>
      </c>
      <c r="M203" s="277">
        <v>32</v>
      </c>
      <c r="N203" s="253">
        <v>49</v>
      </c>
      <c r="O203" s="269">
        <v>749</v>
      </c>
      <c r="P203" s="269">
        <v>617</v>
      </c>
      <c r="Q203" s="269">
        <v>1366</v>
      </c>
    </row>
    <row r="204" spans="2:17" x14ac:dyDescent="0.25">
      <c r="B204" s="237" t="s">
        <v>424</v>
      </c>
      <c r="C204" s="277">
        <v>11</v>
      </c>
      <c r="D204" s="277">
        <v>2</v>
      </c>
      <c r="E204" s="277">
        <v>13</v>
      </c>
      <c r="F204" s="277">
        <v>202</v>
      </c>
      <c r="G204" s="277">
        <v>159</v>
      </c>
      <c r="H204" s="253">
        <v>361</v>
      </c>
      <c r="I204" s="277">
        <v>1</v>
      </c>
      <c r="J204" s="253"/>
      <c r="K204" s="277">
        <v>1</v>
      </c>
      <c r="L204" s="253">
        <v>8</v>
      </c>
      <c r="M204" s="277">
        <v>12</v>
      </c>
      <c r="N204" s="253">
        <v>20</v>
      </c>
      <c r="O204" s="269">
        <v>222</v>
      </c>
      <c r="P204" s="269">
        <v>173</v>
      </c>
      <c r="Q204" s="269">
        <v>395</v>
      </c>
    </row>
    <row r="205" spans="2:17" x14ac:dyDescent="0.25">
      <c r="B205" s="237" t="s">
        <v>425</v>
      </c>
      <c r="C205" s="277">
        <v>11</v>
      </c>
      <c r="D205" s="277">
        <v>3</v>
      </c>
      <c r="E205" s="277">
        <v>14</v>
      </c>
      <c r="F205" s="277">
        <v>121</v>
      </c>
      <c r="G205" s="277">
        <v>119</v>
      </c>
      <c r="H205" s="253">
        <v>240</v>
      </c>
      <c r="I205" s="277"/>
      <c r="J205" s="253">
        <v>1</v>
      </c>
      <c r="K205" s="277">
        <v>1</v>
      </c>
      <c r="L205" s="253">
        <v>7</v>
      </c>
      <c r="M205" s="277">
        <v>9</v>
      </c>
      <c r="N205" s="253">
        <v>16</v>
      </c>
      <c r="O205" s="269">
        <v>139</v>
      </c>
      <c r="P205" s="269">
        <v>132</v>
      </c>
      <c r="Q205" s="269">
        <v>271</v>
      </c>
    </row>
    <row r="206" spans="2:17" x14ac:dyDescent="0.25">
      <c r="B206" s="237" t="s">
        <v>426</v>
      </c>
      <c r="C206" s="277">
        <v>14</v>
      </c>
      <c r="D206" s="277">
        <v>5</v>
      </c>
      <c r="E206" s="277">
        <v>19</v>
      </c>
      <c r="F206" s="277">
        <v>166</v>
      </c>
      <c r="G206" s="277">
        <v>140</v>
      </c>
      <c r="H206" s="253">
        <v>306</v>
      </c>
      <c r="I206" s="277">
        <v>1</v>
      </c>
      <c r="J206" s="253">
        <v>2</v>
      </c>
      <c r="K206" s="277">
        <v>3</v>
      </c>
      <c r="L206" s="253">
        <v>3</v>
      </c>
      <c r="M206" s="277">
        <v>9</v>
      </c>
      <c r="N206" s="253">
        <v>12</v>
      </c>
      <c r="O206" s="269">
        <v>184</v>
      </c>
      <c r="P206" s="269">
        <v>156</v>
      </c>
      <c r="Q206" s="269">
        <v>340</v>
      </c>
    </row>
    <row r="207" spans="2:17" x14ac:dyDescent="0.25">
      <c r="B207" s="237" t="s">
        <v>427</v>
      </c>
      <c r="C207" s="277">
        <v>25</v>
      </c>
      <c r="D207" s="277">
        <v>3</v>
      </c>
      <c r="E207" s="277">
        <v>28</v>
      </c>
      <c r="F207" s="277">
        <v>153</v>
      </c>
      <c r="G207" s="277">
        <v>140</v>
      </c>
      <c r="H207" s="253">
        <v>293</v>
      </c>
      <c r="I207" s="277">
        <v>2</v>
      </c>
      <c r="J207" s="253">
        <v>1</v>
      </c>
      <c r="K207" s="277">
        <v>3</v>
      </c>
      <c r="L207" s="253">
        <v>5</v>
      </c>
      <c r="M207" s="277">
        <v>9</v>
      </c>
      <c r="N207" s="253">
        <v>14</v>
      </c>
      <c r="O207" s="269">
        <v>185</v>
      </c>
      <c r="P207" s="269">
        <v>153</v>
      </c>
      <c r="Q207" s="269">
        <v>338</v>
      </c>
    </row>
    <row r="208" spans="2:17" x14ac:dyDescent="0.25">
      <c r="B208" s="237" t="s">
        <v>428</v>
      </c>
      <c r="C208" s="277">
        <v>29</v>
      </c>
      <c r="D208" s="277">
        <v>11</v>
      </c>
      <c r="E208" s="277">
        <v>40</v>
      </c>
      <c r="F208" s="277">
        <v>302</v>
      </c>
      <c r="G208" s="277">
        <v>270</v>
      </c>
      <c r="H208" s="253">
        <v>572</v>
      </c>
      <c r="I208" s="277">
        <v>2</v>
      </c>
      <c r="J208" s="253">
        <v>3</v>
      </c>
      <c r="K208" s="277">
        <v>5</v>
      </c>
      <c r="L208" s="253">
        <v>11</v>
      </c>
      <c r="M208" s="277">
        <v>16</v>
      </c>
      <c r="N208" s="253">
        <v>27</v>
      </c>
      <c r="O208" s="269">
        <v>344</v>
      </c>
      <c r="P208" s="269">
        <v>300</v>
      </c>
      <c r="Q208" s="269">
        <v>644</v>
      </c>
    </row>
    <row r="209" spans="2:17" x14ac:dyDescent="0.25">
      <c r="B209" s="237" t="s">
        <v>429</v>
      </c>
      <c r="C209" s="277">
        <v>14</v>
      </c>
      <c r="D209" s="277">
        <v>3</v>
      </c>
      <c r="E209" s="277">
        <v>17</v>
      </c>
      <c r="F209" s="277">
        <v>115</v>
      </c>
      <c r="G209" s="277">
        <v>110</v>
      </c>
      <c r="H209" s="253">
        <v>225</v>
      </c>
      <c r="I209" s="277">
        <v>1</v>
      </c>
      <c r="J209" s="253"/>
      <c r="K209" s="277">
        <v>1</v>
      </c>
      <c r="L209" s="253">
        <v>3</v>
      </c>
      <c r="M209" s="277">
        <v>7</v>
      </c>
      <c r="N209" s="253">
        <v>10</v>
      </c>
      <c r="O209" s="269">
        <v>133</v>
      </c>
      <c r="P209" s="269">
        <v>120</v>
      </c>
      <c r="Q209" s="269">
        <v>253</v>
      </c>
    </row>
    <row r="210" spans="2:17" x14ac:dyDescent="0.25">
      <c r="B210" s="237" t="s">
        <v>430</v>
      </c>
      <c r="C210" s="277">
        <v>2</v>
      </c>
      <c r="D210" s="277"/>
      <c r="E210" s="277">
        <v>2</v>
      </c>
      <c r="F210" s="277">
        <v>16</v>
      </c>
      <c r="G210" s="277">
        <v>22</v>
      </c>
      <c r="H210" s="253">
        <v>38</v>
      </c>
      <c r="I210" s="277">
        <v>1</v>
      </c>
      <c r="J210" s="253"/>
      <c r="K210" s="277">
        <v>1</v>
      </c>
      <c r="L210" s="253">
        <v>1</v>
      </c>
      <c r="M210" s="277">
        <v>1</v>
      </c>
      <c r="N210" s="253">
        <v>2</v>
      </c>
      <c r="O210" s="269">
        <v>20</v>
      </c>
      <c r="P210" s="269">
        <v>23</v>
      </c>
      <c r="Q210" s="269">
        <v>43</v>
      </c>
    </row>
    <row r="211" spans="2:17" x14ac:dyDescent="0.25">
      <c r="B211" s="237" t="s">
        <v>431</v>
      </c>
      <c r="C211" s="277">
        <v>10</v>
      </c>
      <c r="D211" s="277">
        <v>3</v>
      </c>
      <c r="E211" s="277">
        <v>13</v>
      </c>
      <c r="F211" s="277">
        <v>141</v>
      </c>
      <c r="G211" s="277">
        <v>83</v>
      </c>
      <c r="H211" s="253">
        <v>224</v>
      </c>
      <c r="I211" s="277">
        <v>1</v>
      </c>
      <c r="J211" s="253"/>
      <c r="K211" s="277">
        <v>1</v>
      </c>
      <c r="L211" s="253">
        <v>3</v>
      </c>
      <c r="M211" s="277">
        <v>5</v>
      </c>
      <c r="N211" s="253">
        <v>8</v>
      </c>
      <c r="O211" s="269">
        <v>155</v>
      </c>
      <c r="P211" s="269">
        <v>91</v>
      </c>
      <c r="Q211" s="269">
        <v>246</v>
      </c>
    </row>
    <row r="212" spans="2:17" x14ac:dyDescent="0.25">
      <c r="B212" s="237" t="s">
        <v>432</v>
      </c>
      <c r="C212" s="277"/>
      <c r="D212" s="277"/>
      <c r="E212" s="277"/>
      <c r="F212" s="277">
        <v>7</v>
      </c>
      <c r="G212" s="277">
        <v>10</v>
      </c>
      <c r="H212" s="253">
        <v>17</v>
      </c>
      <c r="I212" s="277"/>
      <c r="J212" s="253"/>
      <c r="K212" s="277"/>
      <c r="L212" s="253"/>
      <c r="M212" s="277">
        <v>2</v>
      </c>
      <c r="N212" s="253">
        <v>2</v>
      </c>
      <c r="O212" s="269">
        <v>7</v>
      </c>
      <c r="P212" s="269">
        <v>12</v>
      </c>
      <c r="Q212" s="269">
        <v>19</v>
      </c>
    </row>
    <row r="213" spans="2:17" x14ac:dyDescent="0.25">
      <c r="B213" s="237" t="s">
        <v>433</v>
      </c>
      <c r="C213" s="277">
        <v>10</v>
      </c>
      <c r="D213" s="277">
        <v>1</v>
      </c>
      <c r="E213" s="277">
        <v>11</v>
      </c>
      <c r="F213" s="277">
        <v>92</v>
      </c>
      <c r="G213" s="277">
        <v>69</v>
      </c>
      <c r="H213" s="253">
        <v>161</v>
      </c>
      <c r="I213" s="277">
        <v>1</v>
      </c>
      <c r="J213" s="253"/>
      <c r="K213" s="277">
        <v>1</v>
      </c>
      <c r="L213" s="253">
        <v>4</v>
      </c>
      <c r="M213" s="277">
        <v>10</v>
      </c>
      <c r="N213" s="253">
        <v>14</v>
      </c>
      <c r="O213" s="269">
        <v>107</v>
      </c>
      <c r="P213" s="269">
        <v>80</v>
      </c>
      <c r="Q213" s="269">
        <v>187</v>
      </c>
    </row>
    <row r="214" spans="2:17" x14ac:dyDescent="0.25">
      <c r="B214" s="237" t="s">
        <v>434</v>
      </c>
      <c r="C214" s="277">
        <v>20</v>
      </c>
      <c r="D214" s="277">
        <v>4</v>
      </c>
      <c r="E214" s="277">
        <v>24</v>
      </c>
      <c r="F214" s="277">
        <v>263</v>
      </c>
      <c r="G214" s="277">
        <v>224</v>
      </c>
      <c r="H214" s="253">
        <v>487</v>
      </c>
      <c r="I214" s="277">
        <v>3</v>
      </c>
      <c r="J214" s="253">
        <v>2</v>
      </c>
      <c r="K214" s="277">
        <v>5</v>
      </c>
      <c r="L214" s="253">
        <v>4</v>
      </c>
      <c r="M214" s="277">
        <v>7</v>
      </c>
      <c r="N214" s="253">
        <v>11</v>
      </c>
      <c r="O214" s="269">
        <v>290</v>
      </c>
      <c r="P214" s="269">
        <v>237</v>
      </c>
      <c r="Q214" s="269">
        <v>527</v>
      </c>
    </row>
    <row r="215" spans="2:17" x14ac:dyDescent="0.25">
      <c r="B215" s="237" t="s">
        <v>435</v>
      </c>
      <c r="C215" s="277">
        <v>4</v>
      </c>
      <c r="D215" s="277">
        <v>2</v>
      </c>
      <c r="E215" s="277">
        <v>6</v>
      </c>
      <c r="F215" s="277">
        <v>96</v>
      </c>
      <c r="G215" s="277">
        <v>72</v>
      </c>
      <c r="H215" s="253">
        <v>168</v>
      </c>
      <c r="I215" s="277">
        <v>1</v>
      </c>
      <c r="J215" s="253"/>
      <c r="K215" s="277">
        <v>1</v>
      </c>
      <c r="L215" s="253">
        <v>2</v>
      </c>
      <c r="M215" s="277">
        <v>4</v>
      </c>
      <c r="N215" s="253">
        <v>6</v>
      </c>
      <c r="O215" s="269">
        <v>103</v>
      </c>
      <c r="P215" s="269">
        <v>78</v>
      </c>
      <c r="Q215" s="269">
        <v>181</v>
      </c>
    </row>
    <row r="216" spans="2:17" x14ac:dyDescent="0.25">
      <c r="B216" s="237" t="s">
        <v>436</v>
      </c>
      <c r="C216" s="277">
        <v>3</v>
      </c>
      <c r="D216" s="277">
        <v>1</v>
      </c>
      <c r="E216" s="277">
        <v>4</v>
      </c>
      <c r="F216" s="277">
        <v>20</v>
      </c>
      <c r="G216" s="277">
        <v>24</v>
      </c>
      <c r="H216" s="253">
        <v>44</v>
      </c>
      <c r="I216" s="277"/>
      <c r="J216" s="253">
        <v>2</v>
      </c>
      <c r="K216" s="277">
        <v>2</v>
      </c>
      <c r="L216" s="253"/>
      <c r="M216" s="277">
        <v>1</v>
      </c>
      <c r="N216" s="253">
        <v>1</v>
      </c>
      <c r="O216" s="269">
        <v>23</v>
      </c>
      <c r="P216" s="269">
        <v>28</v>
      </c>
      <c r="Q216" s="269">
        <v>51</v>
      </c>
    </row>
    <row r="217" spans="2:17" x14ac:dyDescent="0.25">
      <c r="B217" s="237" t="s">
        <v>437</v>
      </c>
      <c r="C217" s="277">
        <v>1</v>
      </c>
      <c r="D217" s="277"/>
      <c r="E217" s="277">
        <v>1</v>
      </c>
      <c r="F217" s="277">
        <v>81</v>
      </c>
      <c r="G217" s="277">
        <v>34</v>
      </c>
      <c r="H217" s="253">
        <v>115</v>
      </c>
      <c r="I217" s="277">
        <v>1</v>
      </c>
      <c r="J217" s="253">
        <v>1</v>
      </c>
      <c r="K217" s="277">
        <v>2</v>
      </c>
      <c r="L217" s="253">
        <v>1</v>
      </c>
      <c r="M217" s="277"/>
      <c r="N217" s="253">
        <v>1</v>
      </c>
      <c r="O217" s="269">
        <v>84</v>
      </c>
      <c r="P217" s="269">
        <v>35</v>
      </c>
      <c r="Q217" s="269">
        <v>119</v>
      </c>
    </row>
    <row r="218" spans="2:17" x14ac:dyDescent="0.25">
      <c r="B218" s="237" t="s">
        <v>504</v>
      </c>
      <c r="C218" s="277">
        <v>21</v>
      </c>
      <c r="D218" s="277">
        <v>4</v>
      </c>
      <c r="E218" s="277">
        <v>25</v>
      </c>
      <c r="F218" s="277">
        <v>279</v>
      </c>
      <c r="G218" s="277">
        <v>176</v>
      </c>
      <c r="H218" s="253">
        <v>455</v>
      </c>
      <c r="I218" s="277">
        <v>1</v>
      </c>
      <c r="J218" s="253">
        <v>2</v>
      </c>
      <c r="K218" s="277">
        <v>3</v>
      </c>
      <c r="L218" s="253">
        <v>3</v>
      </c>
      <c r="M218" s="277">
        <v>3</v>
      </c>
      <c r="N218" s="253">
        <v>6</v>
      </c>
      <c r="O218" s="269">
        <v>304</v>
      </c>
      <c r="P218" s="269">
        <v>185</v>
      </c>
      <c r="Q218" s="269">
        <v>489</v>
      </c>
    </row>
    <row r="219" spans="2:17" x14ac:dyDescent="0.25">
      <c r="B219" s="311" t="s">
        <v>28</v>
      </c>
      <c r="C219" s="271">
        <v>645</v>
      </c>
      <c r="D219" s="271">
        <v>158</v>
      </c>
      <c r="E219" s="271">
        <v>803</v>
      </c>
      <c r="F219" s="271">
        <v>7855</v>
      </c>
      <c r="G219" s="271">
        <v>6261</v>
      </c>
      <c r="H219" s="269">
        <v>14116</v>
      </c>
      <c r="I219" s="271">
        <v>66</v>
      </c>
      <c r="J219" s="269">
        <v>60</v>
      </c>
      <c r="K219" s="271">
        <v>126</v>
      </c>
      <c r="L219" s="269">
        <v>196</v>
      </c>
      <c r="M219" s="271">
        <v>330</v>
      </c>
      <c r="N219" s="269">
        <v>526</v>
      </c>
      <c r="O219" s="269">
        <v>8762</v>
      </c>
      <c r="P219" s="269">
        <v>6809</v>
      </c>
      <c r="Q219" s="269">
        <v>15571</v>
      </c>
    </row>
    <row r="220" spans="2:17" ht="123" customHeight="1" x14ac:dyDescent="0.25">
      <c r="B220" s="428" t="s">
        <v>866</v>
      </c>
      <c r="C220" s="428"/>
      <c r="D220" s="428"/>
      <c r="E220" s="428"/>
      <c r="F220" s="428"/>
      <c r="G220" s="428"/>
      <c r="H220" s="428"/>
      <c r="I220" s="428"/>
      <c r="J220" s="428"/>
      <c r="K220" s="428"/>
      <c r="L220" s="428"/>
      <c r="M220" s="428"/>
      <c r="N220" s="428"/>
      <c r="O220" s="428"/>
      <c r="P220" s="428"/>
      <c r="Q220" s="428"/>
    </row>
    <row r="221" spans="2:17" x14ac:dyDescent="0.25">
      <c r="B221" s="158"/>
      <c r="C221" s="158"/>
      <c r="D221" s="158"/>
      <c r="E221" s="158"/>
      <c r="F221" s="158"/>
      <c r="G221"/>
    </row>
    <row r="222" spans="2:17" x14ac:dyDescent="0.25">
      <c r="B222" s="158"/>
      <c r="C222" s="158"/>
      <c r="D222" s="158"/>
      <c r="E222" s="158"/>
      <c r="F222" s="158"/>
      <c r="G222"/>
    </row>
    <row r="223" spans="2:17" x14ac:dyDescent="0.25">
      <c r="B223" s="187" t="s">
        <v>515</v>
      </c>
      <c r="C223"/>
      <c r="D223"/>
      <c r="E223"/>
      <c r="F223"/>
      <c r="G223"/>
    </row>
    <row r="224" spans="2:17" x14ac:dyDescent="0.25">
      <c r="B224" s="187"/>
      <c r="C224"/>
      <c r="D224"/>
      <c r="E224"/>
      <c r="F224"/>
      <c r="G224"/>
    </row>
    <row r="225" spans="2:17" ht="15" customHeight="1" x14ac:dyDescent="0.25">
      <c r="B225" s="430" t="s">
        <v>537</v>
      </c>
      <c r="C225" s="426" t="s">
        <v>481</v>
      </c>
      <c r="D225" s="426"/>
      <c r="E225" s="426"/>
      <c r="F225" s="426"/>
      <c r="G225" s="426"/>
      <c r="H225" s="426"/>
      <c r="I225" s="426"/>
      <c r="J225" s="426"/>
      <c r="K225" s="426"/>
      <c r="L225" s="426"/>
      <c r="M225" s="426"/>
      <c r="N225" s="426"/>
      <c r="O225" s="443" t="s">
        <v>697</v>
      </c>
      <c r="P225" s="444"/>
      <c r="Q225" s="445"/>
    </row>
    <row r="226" spans="2:17" ht="15" customHeight="1" x14ac:dyDescent="0.25">
      <c r="B226" s="431"/>
      <c r="C226" s="426" t="s">
        <v>658</v>
      </c>
      <c r="D226" s="426"/>
      <c r="E226" s="426"/>
      <c r="F226" s="426" t="s">
        <v>490</v>
      </c>
      <c r="G226" s="426"/>
      <c r="H226" s="426"/>
      <c r="I226" s="426" t="s">
        <v>4</v>
      </c>
      <c r="J226" s="426"/>
      <c r="K226" s="426"/>
      <c r="L226" s="426" t="s">
        <v>6</v>
      </c>
      <c r="M226" s="426"/>
      <c r="N226" s="426"/>
      <c r="O226" s="446"/>
      <c r="P226" s="447"/>
      <c r="Q226" s="448"/>
    </row>
    <row r="227" spans="2:17" x14ac:dyDescent="0.25">
      <c r="B227" s="432"/>
      <c r="C227" s="161" t="s">
        <v>76</v>
      </c>
      <c r="D227" s="161" t="s">
        <v>77</v>
      </c>
      <c r="E227" s="161" t="s">
        <v>28</v>
      </c>
      <c r="F227" s="161" t="s">
        <v>76</v>
      </c>
      <c r="G227" s="161" t="s">
        <v>77</v>
      </c>
      <c r="H227" s="161" t="s">
        <v>28</v>
      </c>
      <c r="I227" s="161" t="s">
        <v>76</v>
      </c>
      <c r="J227" s="161" t="s">
        <v>77</v>
      </c>
      <c r="K227" s="161" t="s">
        <v>28</v>
      </c>
      <c r="L227" s="161" t="s">
        <v>76</v>
      </c>
      <c r="M227" s="161" t="s">
        <v>77</v>
      </c>
      <c r="N227" s="161" t="s">
        <v>28</v>
      </c>
      <c r="O227" s="244" t="s">
        <v>76</v>
      </c>
      <c r="P227" s="244" t="s">
        <v>77</v>
      </c>
      <c r="Q227" s="244" t="s">
        <v>28</v>
      </c>
    </row>
    <row r="228" spans="2:17" x14ac:dyDescent="0.25">
      <c r="B228" s="236" t="s">
        <v>211</v>
      </c>
      <c r="C228" s="277">
        <v>5</v>
      </c>
      <c r="D228" s="277">
        <v>3</v>
      </c>
      <c r="E228" s="277">
        <v>8</v>
      </c>
      <c r="F228" s="277">
        <v>21</v>
      </c>
      <c r="G228" s="277">
        <v>20</v>
      </c>
      <c r="H228" s="253">
        <v>41</v>
      </c>
      <c r="I228" s="277"/>
      <c r="J228" s="253">
        <v>2</v>
      </c>
      <c r="K228" s="277">
        <v>2</v>
      </c>
      <c r="L228" s="253"/>
      <c r="M228" s="277">
        <v>2</v>
      </c>
      <c r="N228" s="253">
        <v>2</v>
      </c>
      <c r="O228" s="269">
        <v>26</v>
      </c>
      <c r="P228" s="269">
        <v>27</v>
      </c>
      <c r="Q228" s="269">
        <v>53</v>
      </c>
    </row>
    <row r="229" spans="2:17" x14ac:dyDescent="0.25">
      <c r="B229" s="237" t="s">
        <v>212</v>
      </c>
      <c r="C229" s="277">
        <v>4</v>
      </c>
      <c r="D229" s="277">
        <v>4</v>
      </c>
      <c r="E229" s="277">
        <v>8</v>
      </c>
      <c r="F229" s="277">
        <v>30</v>
      </c>
      <c r="G229" s="277">
        <v>56</v>
      </c>
      <c r="H229" s="253">
        <v>86</v>
      </c>
      <c r="I229" s="277"/>
      <c r="J229" s="253"/>
      <c r="K229" s="277"/>
      <c r="L229" s="253">
        <v>1</v>
      </c>
      <c r="M229" s="277">
        <v>3</v>
      </c>
      <c r="N229" s="253">
        <v>4</v>
      </c>
      <c r="O229" s="269">
        <v>35</v>
      </c>
      <c r="P229" s="269">
        <v>63</v>
      </c>
      <c r="Q229" s="269">
        <v>98</v>
      </c>
    </row>
    <row r="230" spans="2:17" x14ac:dyDescent="0.25">
      <c r="B230" s="237" t="s">
        <v>213</v>
      </c>
      <c r="C230" s="277"/>
      <c r="D230" s="277">
        <v>1</v>
      </c>
      <c r="E230" s="277">
        <v>1</v>
      </c>
      <c r="F230" s="277">
        <v>19</v>
      </c>
      <c r="G230" s="277">
        <v>15</v>
      </c>
      <c r="H230" s="253">
        <v>34</v>
      </c>
      <c r="I230" s="277"/>
      <c r="J230" s="253"/>
      <c r="K230" s="277"/>
      <c r="L230" s="253">
        <v>3</v>
      </c>
      <c r="M230" s="277"/>
      <c r="N230" s="253">
        <v>3</v>
      </c>
      <c r="O230" s="269">
        <v>22</v>
      </c>
      <c r="P230" s="269">
        <v>16</v>
      </c>
      <c r="Q230" s="269">
        <v>38</v>
      </c>
    </row>
    <row r="231" spans="2:17" x14ac:dyDescent="0.25">
      <c r="B231" s="237" t="s">
        <v>214</v>
      </c>
      <c r="C231" s="277">
        <v>1</v>
      </c>
      <c r="D231" s="277"/>
      <c r="E231" s="277">
        <v>1</v>
      </c>
      <c r="F231" s="277">
        <v>15</v>
      </c>
      <c r="G231" s="277">
        <v>12</v>
      </c>
      <c r="H231" s="253">
        <v>27</v>
      </c>
      <c r="I231" s="277"/>
      <c r="J231" s="253"/>
      <c r="K231" s="277"/>
      <c r="L231" s="253">
        <v>1</v>
      </c>
      <c r="M231" s="277"/>
      <c r="N231" s="253">
        <v>1</v>
      </c>
      <c r="O231" s="269">
        <v>17</v>
      </c>
      <c r="P231" s="269">
        <v>12</v>
      </c>
      <c r="Q231" s="269">
        <v>29</v>
      </c>
    </row>
    <row r="232" spans="2:17" x14ac:dyDescent="0.25">
      <c r="B232" s="237" t="s">
        <v>215</v>
      </c>
      <c r="C232" s="277">
        <v>1</v>
      </c>
      <c r="D232" s="277">
        <v>1</v>
      </c>
      <c r="E232" s="277">
        <v>2</v>
      </c>
      <c r="F232" s="277">
        <v>18</v>
      </c>
      <c r="G232" s="277">
        <v>21</v>
      </c>
      <c r="H232" s="253">
        <v>39</v>
      </c>
      <c r="I232" s="277"/>
      <c r="J232" s="253"/>
      <c r="K232" s="277"/>
      <c r="L232" s="253">
        <v>3</v>
      </c>
      <c r="M232" s="277">
        <v>1</v>
      </c>
      <c r="N232" s="253">
        <v>4</v>
      </c>
      <c r="O232" s="269">
        <v>22</v>
      </c>
      <c r="P232" s="269">
        <v>23</v>
      </c>
      <c r="Q232" s="269">
        <v>45</v>
      </c>
    </row>
    <row r="233" spans="2:17" x14ac:dyDescent="0.25">
      <c r="B233" s="237" t="s">
        <v>498</v>
      </c>
      <c r="C233" s="277">
        <v>2</v>
      </c>
      <c r="D233" s="277">
        <v>1</v>
      </c>
      <c r="E233" s="277">
        <v>3</v>
      </c>
      <c r="F233" s="277">
        <v>28</v>
      </c>
      <c r="G233" s="277">
        <v>13</v>
      </c>
      <c r="H233" s="253">
        <v>41</v>
      </c>
      <c r="I233" s="277">
        <v>2</v>
      </c>
      <c r="J233" s="253"/>
      <c r="K233" s="277">
        <v>2</v>
      </c>
      <c r="L233" s="253"/>
      <c r="M233" s="277">
        <v>1</v>
      </c>
      <c r="N233" s="253">
        <v>1</v>
      </c>
      <c r="O233" s="269">
        <v>32</v>
      </c>
      <c r="P233" s="269">
        <v>15</v>
      </c>
      <c r="Q233" s="269">
        <v>47</v>
      </c>
    </row>
    <row r="234" spans="2:17" x14ac:dyDescent="0.25">
      <c r="B234" s="237" t="s">
        <v>216</v>
      </c>
      <c r="C234" s="277">
        <v>5</v>
      </c>
      <c r="D234" s="277">
        <v>3</v>
      </c>
      <c r="E234" s="277">
        <v>8</v>
      </c>
      <c r="F234" s="277">
        <v>37</v>
      </c>
      <c r="G234" s="277">
        <v>27</v>
      </c>
      <c r="H234" s="253">
        <v>64</v>
      </c>
      <c r="I234" s="277">
        <v>2</v>
      </c>
      <c r="J234" s="253">
        <v>1</v>
      </c>
      <c r="K234" s="277">
        <v>3</v>
      </c>
      <c r="L234" s="253">
        <v>2</v>
      </c>
      <c r="M234" s="277">
        <v>7</v>
      </c>
      <c r="N234" s="253">
        <v>9</v>
      </c>
      <c r="O234" s="269">
        <v>46</v>
      </c>
      <c r="P234" s="269">
        <v>38</v>
      </c>
      <c r="Q234" s="269">
        <v>84</v>
      </c>
    </row>
    <row r="235" spans="2:17" x14ac:dyDescent="0.25">
      <c r="B235" s="237" t="s">
        <v>217</v>
      </c>
      <c r="C235" s="277">
        <v>1</v>
      </c>
      <c r="D235" s="277"/>
      <c r="E235" s="277">
        <v>1</v>
      </c>
      <c r="F235" s="277">
        <v>4</v>
      </c>
      <c r="G235" s="277">
        <v>9</v>
      </c>
      <c r="H235" s="253">
        <v>13</v>
      </c>
      <c r="I235" s="277"/>
      <c r="J235" s="253"/>
      <c r="K235" s="277"/>
      <c r="L235" s="253"/>
      <c r="M235" s="277"/>
      <c r="N235" s="253"/>
      <c r="O235" s="269">
        <v>5</v>
      </c>
      <c r="P235" s="269">
        <v>9</v>
      </c>
      <c r="Q235" s="269">
        <v>14</v>
      </c>
    </row>
    <row r="236" spans="2:17" x14ac:dyDescent="0.25">
      <c r="B236" s="237" t="s">
        <v>218</v>
      </c>
      <c r="C236" s="277">
        <v>2</v>
      </c>
      <c r="D236" s="277">
        <v>2</v>
      </c>
      <c r="E236" s="277">
        <v>4</v>
      </c>
      <c r="F236" s="277">
        <v>25</v>
      </c>
      <c r="G236" s="277">
        <v>36</v>
      </c>
      <c r="H236" s="253">
        <v>61</v>
      </c>
      <c r="I236" s="277">
        <v>2</v>
      </c>
      <c r="J236" s="253">
        <v>1</v>
      </c>
      <c r="K236" s="277">
        <v>3</v>
      </c>
      <c r="L236" s="253">
        <v>2</v>
      </c>
      <c r="M236" s="277">
        <v>2</v>
      </c>
      <c r="N236" s="253">
        <v>4</v>
      </c>
      <c r="O236" s="269">
        <v>31</v>
      </c>
      <c r="P236" s="269">
        <v>41</v>
      </c>
      <c r="Q236" s="269">
        <v>72</v>
      </c>
    </row>
    <row r="237" spans="2:17" x14ac:dyDescent="0.25">
      <c r="B237" s="237" t="s">
        <v>219</v>
      </c>
      <c r="C237" s="277">
        <v>1</v>
      </c>
      <c r="D237" s="277">
        <v>1</v>
      </c>
      <c r="E237" s="277">
        <v>2</v>
      </c>
      <c r="F237" s="277">
        <v>14</v>
      </c>
      <c r="G237" s="277">
        <v>8</v>
      </c>
      <c r="H237" s="253">
        <v>22</v>
      </c>
      <c r="I237" s="277">
        <v>1</v>
      </c>
      <c r="J237" s="253"/>
      <c r="K237" s="277">
        <v>1</v>
      </c>
      <c r="L237" s="253">
        <v>1</v>
      </c>
      <c r="M237" s="277"/>
      <c r="N237" s="253">
        <v>1</v>
      </c>
      <c r="O237" s="269">
        <v>17</v>
      </c>
      <c r="P237" s="269">
        <v>9</v>
      </c>
      <c r="Q237" s="269">
        <v>26</v>
      </c>
    </row>
    <row r="238" spans="2:17" x14ac:dyDescent="0.25">
      <c r="B238" s="237" t="s">
        <v>220</v>
      </c>
      <c r="C238" s="277"/>
      <c r="D238" s="277"/>
      <c r="E238" s="277"/>
      <c r="F238" s="277">
        <v>12</v>
      </c>
      <c r="G238" s="277">
        <v>9</v>
      </c>
      <c r="H238" s="253">
        <v>21</v>
      </c>
      <c r="I238" s="277"/>
      <c r="J238" s="253"/>
      <c r="K238" s="277"/>
      <c r="L238" s="253"/>
      <c r="M238" s="277">
        <v>1</v>
      </c>
      <c r="N238" s="253">
        <v>1</v>
      </c>
      <c r="O238" s="269">
        <v>12</v>
      </c>
      <c r="P238" s="269">
        <v>10</v>
      </c>
      <c r="Q238" s="269">
        <v>22</v>
      </c>
    </row>
    <row r="239" spans="2:17" x14ac:dyDescent="0.25">
      <c r="B239" s="237" t="s">
        <v>221</v>
      </c>
      <c r="C239" s="277">
        <v>8</v>
      </c>
      <c r="D239" s="277"/>
      <c r="E239" s="277">
        <v>8</v>
      </c>
      <c r="F239" s="277">
        <v>64</v>
      </c>
      <c r="G239" s="277">
        <v>49</v>
      </c>
      <c r="H239" s="253">
        <v>113</v>
      </c>
      <c r="I239" s="277">
        <v>2</v>
      </c>
      <c r="J239" s="253"/>
      <c r="K239" s="277">
        <v>2</v>
      </c>
      <c r="L239" s="253">
        <v>3</v>
      </c>
      <c r="M239" s="277">
        <v>3</v>
      </c>
      <c r="N239" s="253">
        <v>6</v>
      </c>
      <c r="O239" s="269">
        <v>77</v>
      </c>
      <c r="P239" s="269">
        <v>52</v>
      </c>
      <c r="Q239" s="269">
        <v>129</v>
      </c>
    </row>
    <row r="240" spans="2:17" x14ac:dyDescent="0.25">
      <c r="B240" s="237" t="s">
        <v>222</v>
      </c>
      <c r="C240" s="277">
        <v>6</v>
      </c>
      <c r="D240" s="277">
        <v>2</v>
      </c>
      <c r="E240" s="277">
        <v>8</v>
      </c>
      <c r="F240" s="277">
        <v>21</v>
      </c>
      <c r="G240" s="277">
        <v>16</v>
      </c>
      <c r="H240" s="253">
        <v>37</v>
      </c>
      <c r="I240" s="277">
        <v>1</v>
      </c>
      <c r="J240" s="253"/>
      <c r="K240" s="277">
        <v>1</v>
      </c>
      <c r="L240" s="253">
        <v>2</v>
      </c>
      <c r="M240" s="277">
        <v>3</v>
      </c>
      <c r="N240" s="253">
        <v>5</v>
      </c>
      <c r="O240" s="269">
        <v>30</v>
      </c>
      <c r="P240" s="269">
        <v>21</v>
      </c>
      <c r="Q240" s="269">
        <v>51</v>
      </c>
    </row>
    <row r="241" spans="2:17" x14ac:dyDescent="0.25">
      <c r="B241" s="237" t="s">
        <v>223</v>
      </c>
      <c r="C241" s="277">
        <v>1</v>
      </c>
      <c r="D241" s="277"/>
      <c r="E241" s="277">
        <v>1</v>
      </c>
      <c r="F241" s="277">
        <v>8</v>
      </c>
      <c r="G241" s="277">
        <v>14</v>
      </c>
      <c r="H241" s="253">
        <v>22</v>
      </c>
      <c r="I241" s="277"/>
      <c r="J241" s="253"/>
      <c r="K241" s="277"/>
      <c r="L241" s="253"/>
      <c r="M241" s="277"/>
      <c r="N241" s="253"/>
      <c r="O241" s="269">
        <v>9</v>
      </c>
      <c r="P241" s="269">
        <v>14</v>
      </c>
      <c r="Q241" s="269">
        <v>23</v>
      </c>
    </row>
    <row r="242" spans="2:17" x14ac:dyDescent="0.25">
      <c r="B242" s="237" t="s">
        <v>224</v>
      </c>
      <c r="C242" s="277">
        <v>3</v>
      </c>
      <c r="D242" s="277">
        <v>6</v>
      </c>
      <c r="E242" s="277">
        <v>9</v>
      </c>
      <c r="F242" s="277">
        <v>37</v>
      </c>
      <c r="G242" s="277">
        <v>33</v>
      </c>
      <c r="H242" s="253">
        <v>70</v>
      </c>
      <c r="I242" s="277"/>
      <c r="J242" s="253"/>
      <c r="K242" s="277"/>
      <c r="L242" s="253">
        <v>2</v>
      </c>
      <c r="M242" s="277">
        <v>5</v>
      </c>
      <c r="N242" s="253">
        <v>7</v>
      </c>
      <c r="O242" s="269">
        <v>42</v>
      </c>
      <c r="P242" s="269">
        <v>44</v>
      </c>
      <c r="Q242" s="269">
        <v>86</v>
      </c>
    </row>
    <row r="243" spans="2:17" x14ac:dyDescent="0.25">
      <c r="B243" s="237" t="s">
        <v>225</v>
      </c>
      <c r="C243" s="277">
        <v>3</v>
      </c>
      <c r="D243" s="277">
        <v>2</v>
      </c>
      <c r="E243" s="277">
        <v>5</v>
      </c>
      <c r="F243" s="277">
        <v>14</v>
      </c>
      <c r="G243" s="277">
        <v>20</v>
      </c>
      <c r="H243" s="253">
        <v>34</v>
      </c>
      <c r="I243" s="277"/>
      <c r="J243" s="253">
        <v>2</v>
      </c>
      <c r="K243" s="277">
        <v>2</v>
      </c>
      <c r="L243" s="253">
        <v>2</v>
      </c>
      <c r="M243" s="277">
        <v>1</v>
      </c>
      <c r="N243" s="253">
        <v>3</v>
      </c>
      <c r="O243" s="269">
        <v>19</v>
      </c>
      <c r="P243" s="269">
        <v>25</v>
      </c>
      <c r="Q243" s="269">
        <v>44</v>
      </c>
    </row>
    <row r="244" spans="2:17" x14ac:dyDescent="0.25">
      <c r="B244" s="237" t="s">
        <v>226</v>
      </c>
      <c r="C244" s="277"/>
      <c r="D244" s="277">
        <v>1</v>
      </c>
      <c r="E244" s="277">
        <v>1</v>
      </c>
      <c r="F244" s="277">
        <v>19</v>
      </c>
      <c r="G244" s="277">
        <v>12</v>
      </c>
      <c r="H244" s="253">
        <v>31</v>
      </c>
      <c r="I244" s="277"/>
      <c r="J244" s="253"/>
      <c r="K244" s="277"/>
      <c r="L244" s="253"/>
      <c r="M244" s="277">
        <v>1</v>
      </c>
      <c r="N244" s="253">
        <v>1</v>
      </c>
      <c r="O244" s="269">
        <v>19</v>
      </c>
      <c r="P244" s="269">
        <v>14</v>
      </c>
      <c r="Q244" s="269">
        <v>33</v>
      </c>
    </row>
    <row r="245" spans="2:17" x14ac:dyDescent="0.25">
      <c r="B245" s="237" t="s">
        <v>227</v>
      </c>
      <c r="C245" s="277">
        <v>2</v>
      </c>
      <c r="D245" s="277"/>
      <c r="E245" s="277">
        <v>2</v>
      </c>
      <c r="F245" s="277">
        <v>23</v>
      </c>
      <c r="G245" s="277">
        <v>11</v>
      </c>
      <c r="H245" s="253">
        <v>34</v>
      </c>
      <c r="I245" s="277"/>
      <c r="J245" s="253"/>
      <c r="K245" s="277"/>
      <c r="L245" s="253">
        <v>1</v>
      </c>
      <c r="M245" s="277"/>
      <c r="N245" s="253">
        <v>1</v>
      </c>
      <c r="O245" s="269">
        <v>26</v>
      </c>
      <c r="P245" s="269">
        <v>11</v>
      </c>
      <c r="Q245" s="269">
        <v>37</v>
      </c>
    </row>
    <row r="246" spans="2:17" x14ac:dyDescent="0.25">
      <c r="B246" s="237" t="s">
        <v>228</v>
      </c>
      <c r="C246" s="277">
        <v>4</v>
      </c>
      <c r="D246" s="277">
        <v>2</v>
      </c>
      <c r="E246" s="277">
        <v>6</v>
      </c>
      <c r="F246" s="277">
        <v>8</v>
      </c>
      <c r="G246" s="277">
        <v>24</v>
      </c>
      <c r="H246" s="253">
        <v>32</v>
      </c>
      <c r="I246" s="277">
        <v>1</v>
      </c>
      <c r="J246" s="253"/>
      <c r="K246" s="277">
        <v>1</v>
      </c>
      <c r="L246" s="253">
        <v>2</v>
      </c>
      <c r="M246" s="277">
        <v>3</v>
      </c>
      <c r="N246" s="253">
        <v>5</v>
      </c>
      <c r="O246" s="269">
        <v>15</v>
      </c>
      <c r="P246" s="269">
        <v>29</v>
      </c>
      <c r="Q246" s="269">
        <v>44</v>
      </c>
    </row>
    <row r="247" spans="2:17" x14ac:dyDescent="0.25">
      <c r="B247" s="237" t="s">
        <v>229</v>
      </c>
      <c r="C247" s="277"/>
      <c r="D247" s="277">
        <v>1</v>
      </c>
      <c r="E247" s="277">
        <v>1</v>
      </c>
      <c r="F247" s="277">
        <v>2</v>
      </c>
      <c r="G247" s="277">
        <v>9</v>
      </c>
      <c r="H247" s="253">
        <v>11</v>
      </c>
      <c r="I247" s="277"/>
      <c r="J247" s="253"/>
      <c r="K247" s="277"/>
      <c r="L247" s="253"/>
      <c r="M247" s="277"/>
      <c r="N247" s="253"/>
      <c r="O247" s="269">
        <v>2</v>
      </c>
      <c r="P247" s="269">
        <v>10</v>
      </c>
      <c r="Q247" s="269">
        <v>12</v>
      </c>
    </row>
    <row r="248" spans="2:17" x14ac:dyDescent="0.25">
      <c r="B248" s="237" t="s">
        <v>230</v>
      </c>
      <c r="C248" s="277">
        <v>1</v>
      </c>
      <c r="D248" s="277">
        <v>3</v>
      </c>
      <c r="E248" s="277">
        <v>4</v>
      </c>
      <c r="F248" s="277">
        <v>12</v>
      </c>
      <c r="G248" s="277">
        <v>14</v>
      </c>
      <c r="H248" s="253">
        <v>26</v>
      </c>
      <c r="I248" s="277"/>
      <c r="J248" s="253"/>
      <c r="K248" s="277"/>
      <c r="L248" s="253">
        <v>1</v>
      </c>
      <c r="M248" s="277">
        <v>3</v>
      </c>
      <c r="N248" s="253">
        <v>4</v>
      </c>
      <c r="O248" s="269">
        <v>14</v>
      </c>
      <c r="P248" s="269">
        <v>20</v>
      </c>
      <c r="Q248" s="269">
        <v>34</v>
      </c>
    </row>
    <row r="249" spans="2:17" x14ac:dyDescent="0.25">
      <c r="B249" s="237" t="s">
        <v>231</v>
      </c>
      <c r="C249" s="277">
        <v>1</v>
      </c>
      <c r="D249" s="277"/>
      <c r="E249" s="277">
        <v>1</v>
      </c>
      <c r="F249" s="277">
        <v>13</v>
      </c>
      <c r="G249" s="277">
        <v>22</v>
      </c>
      <c r="H249" s="253">
        <v>35</v>
      </c>
      <c r="I249" s="277"/>
      <c r="J249" s="253"/>
      <c r="K249" s="277"/>
      <c r="L249" s="253"/>
      <c r="M249" s="277"/>
      <c r="N249" s="253"/>
      <c r="O249" s="269">
        <v>14</v>
      </c>
      <c r="P249" s="269">
        <v>22</v>
      </c>
      <c r="Q249" s="269">
        <v>36</v>
      </c>
    </row>
    <row r="250" spans="2:17" x14ac:dyDescent="0.25">
      <c r="B250" s="237" t="s">
        <v>232</v>
      </c>
      <c r="C250" s="277">
        <v>9</v>
      </c>
      <c r="D250" s="277">
        <v>6</v>
      </c>
      <c r="E250" s="277">
        <v>15</v>
      </c>
      <c r="F250" s="277">
        <v>30</v>
      </c>
      <c r="G250" s="277">
        <v>25</v>
      </c>
      <c r="H250" s="253">
        <v>55</v>
      </c>
      <c r="I250" s="277">
        <v>1</v>
      </c>
      <c r="J250" s="253">
        <v>1</v>
      </c>
      <c r="K250" s="277">
        <v>2</v>
      </c>
      <c r="L250" s="253"/>
      <c r="M250" s="277">
        <v>1</v>
      </c>
      <c r="N250" s="253">
        <v>1</v>
      </c>
      <c r="O250" s="269">
        <v>40</v>
      </c>
      <c r="P250" s="269">
        <v>33</v>
      </c>
      <c r="Q250" s="269">
        <v>73</v>
      </c>
    </row>
    <row r="251" spans="2:17" x14ac:dyDescent="0.25">
      <c r="B251" s="237" t="s">
        <v>233</v>
      </c>
      <c r="C251" s="277">
        <v>2</v>
      </c>
      <c r="D251" s="277">
        <v>2</v>
      </c>
      <c r="E251" s="277">
        <v>4</v>
      </c>
      <c r="F251" s="277">
        <v>31</v>
      </c>
      <c r="G251" s="277">
        <v>23</v>
      </c>
      <c r="H251" s="253">
        <v>54</v>
      </c>
      <c r="I251" s="277">
        <v>1</v>
      </c>
      <c r="J251" s="253"/>
      <c r="K251" s="277">
        <v>1</v>
      </c>
      <c r="L251" s="253"/>
      <c r="M251" s="277">
        <v>3</v>
      </c>
      <c r="N251" s="253">
        <v>3</v>
      </c>
      <c r="O251" s="269">
        <v>34</v>
      </c>
      <c r="P251" s="269">
        <v>28</v>
      </c>
      <c r="Q251" s="269">
        <v>62</v>
      </c>
    </row>
    <row r="252" spans="2:17" x14ac:dyDescent="0.25">
      <c r="B252" s="237" t="s">
        <v>234</v>
      </c>
      <c r="C252" s="277">
        <v>2</v>
      </c>
      <c r="D252" s="277"/>
      <c r="E252" s="277">
        <v>2</v>
      </c>
      <c r="F252" s="277">
        <v>13</v>
      </c>
      <c r="G252" s="277">
        <v>8</v>
      </c>
      <c r="H252" s="253">
        <v>21</v>
      </c>
      <c r="I252" s="277">
        <v>1</v>
      </c>
      <c r="J252" s="253"/>
      <c r="K252" s="277">
        <v>1</v>
      </c>
      <c r="L252" s="253">
        <v>1</v>
      </c>
      <c r="M252" s="277"/>
      <c r="N252" s="253">
        <v>1</v>
      </c>
      <c r="O252" s="269">
        <v>17</v>
      </c>
      <c r="P252" s="269">
        <v>8</v>
      </c>
      <c r="Q252" s="269">
        <v>25</v>
      </c>
    </row>
    <row r="253" spans="2:17" x14ac:dyDescent="0.25">
      <c r="B253" s="237" t="s">
        <v>235</v>
      </c>
      <c r="C253" s="277">
        <v>2</v>
      </c>
      <c r="D253" s="277">
        <v>1</v>
      </c>
      <c r="E253" s="277">
        <v>3</v>
      </c>
      <c r="F253" s="277">
        <v>11</v>
      </c>
      <c r="G253" s="277">
        <v>7</v>
      </c>
      <c r="H253" s="253">
        <v>18</v>
      </c>
      <c r="I253" s="277"/>
      <c r="J253" s="253"/>
      <c r="K253" s="277"/>
      <c r="L253" s="253"/>
      <c r="M253" s="277"/>
      <c r="N253" s="253"/>
      <c r="O253" s="269">
        <v>13</v>
      </c>
      <c r="P253" s="269">
        <v>8</v>
      </c>
      <c r="Q253" s="269">
        <v>21</v>
      </c>
    </row>
    <row r="254" spans="2:17" x14ac:dyDescent="0.25">
      <c r="B254" s="237" t="s">
        <v>236</v>
      </c>
      <c r="C254" s="277">
        <v>3</v>
      </c>
      <c r="D254" s="277"/>
      <c r="E254" s="277">
        <v>3</v>
      </c>
      <c r="F254" s="277">
        <v>16</v>
      </c>
      <c r="G254" s="277">
        <v>21</v>
      </c>
      <c r="H254" s="253">
        <v>37</v>
      </c>
      <c r="I254" s="277">
        <v>1</v>
      </c>
      <c r="J254" s="253"/>
      <c r="K254" s="277">
        <v>1</v>
      </c>
      <c r="L254" s="253">
        <v>2</v>
      </c>
      <c r="M254" s="277">
        <v>3</v>
      </c>
      <c r="N254" s="253">
        <v>5</v>
      </c>
      <c r="O254" s="269">
        <v>22</v>
      </c>
      <c r="P254" s="269">
        <v>24</v>
      </c>
      <c r="Q254" s="269">
        <v>46</v>
      </c>
    </row>
    <row r="255" spans="2:17" x14ac:dyDescent="0.25">
      <c r="B255" s="237" t="s">
        <v>237</v>
      </c>
      <c r="C255" s="277">
        <v>24</v>
      </c>
      <c r="D255" s="277">
        <v>9</v>
      </c>
      <c r="E255" s="277">
        <v>33</v>
      </c>
      <c r="F255" s="277">
        <v>355</v>
      </c>
      <c r="G255" s="277">
        <v>337</v>
      </c>
      <c r="H255" s="253">
        <v>692</v>
      </c>
      <c r="I255" s="277">
        <v>7</v>
      </c>
      <c r="J255" s="253">
        <v>3</v>
      </c>
      <c r="K255" s="277">
        <v>10</v>
      </c>
      <c r="L255" s="253">
        <v>10</v>
      </c>
      <c r="M255" s="277">
        <v>23</v>
      </c>
      <c r="N255" s="253">
        <v>33</v>
      </c>
      <c r="O255" s="269">
        <v>396</v>
      </c>
      <c r="P255" s="269">
        <v>372</v>
      </c>
      <c r="Q255" s="269">
        <v>768</v>
      </c>
    </row>
    <row r="256" spans="2:17" x14ac:dyDescent="0.25">
      <c r="B256" s="237" t="s">
        <v>238</v>
      </c>
      <c r="C256" s="277">
        <v>17</v>
      </c>
      <c r="D256" s="277">
        <v>7</v>
      </c>
      <c r="E256" s="277">
        <v>24</v>
      </c>
      <c r="F256" s="277">
        <v>66</v>
      </c>
      <c r="G256" s="277">
        <v>61</v>
      </c>
      <c r="H256" s="253">
        <v>127</v>
      </c>
      <c r="I256" s="277"/>
      <c r="J256" s="253"/>
      <c r="K256" s="277"/>
      <c r="L256" s="253">
        <v>5</v>
      </c>
      <c r="M256" s="277">
        <v>2</v>
      </c>
      <c r="N256" s="253">
        <v>7</v>
      </c>
      <c r="O256" s="269">
        <v>88</v>
      </c>
      <c r="P256" s="269">
        <v>70</v>
      </c>
      <c r="Q256" s="269">
        <v>158</v>
      </c>
    </row>
    <row r="257" spans="2:17" x14ac:dyDescent="0.25">
      <c r="B257" s="237" t="s">
        <v>239</v>
      </c>
      <c r="C257" s="277">
        <v>4</v>
      </c>
      <c r="D257" s="277">
        <v>1</v>
      </c>
      <c r="E257" s="277">
        <v>5</v>
      </c>
      <c r="F257" s="277">
        <v>31</v>
      </c>
      <c r="G257" s="277">
        <v>34</v>
      </c>
      <c r="H257" s="253">
        <v>65</v>
      </c>
      <c r="I257" s="277"/>
      <c r="J257" s="253"/>
      <c r="K257" s="277"/>
      <c r="L257" s="253">
        <v>3</v>
      </c>
      <c r="M257" s="277">
        <v>1</v>
      </c>
      <c r="N257" s="253">
        <v>4</v>
      </c>
      <c r="O257" s="269">
        <v>38</v>
      </c>
      <c r="P257" s="269">
        <v>36</v>
      </c>
      <c r="Q257" s="269">
        <v>74</v>
      </c>
    </row>
    <row r="258" spans="2:17" x14ac:dyDescent="0.25">
      <c r="B258" s="237" t="s">
        <v>240</v>
      </c>
      <c r="C258" s="277">
        <v>18</v>
      </c>
      <c r="D258" s="277">
        <v>6</v>
      </c>
      <c r="E258" s="277">
        <v>24</v>
      </c>
      <c r="F258" s="277">
        <v>92</v>
      </c>
      <c r="G258" s="277">
        <v>89</v>
      </c>
      <c r="H258" s="253">
        <v>181</v>
      </c>
      <c r="I258" s="277">
        <v>3</v>
      </c>
      <c r="J258" s="253"/>
      <c r="K258" s="277">
        <v>3</v>
      </c>
      <c r="L258" s="253">
        <v>2</v>
      </c>
      <c r="M258" s="277">
        <v>8</v>
      </c>
      <c r="N258" s="253">
        <v>10</v>
      </c>
      <c r="O258" s="269">
        <v>115</v>
      </c>
      <c r="P258" s="269">
        <v>103</v>
      </c>
      <c r="Q258" s="269">
        <v>218</v>
      </c>
    </row>
    <row r="259" spans="2:17" x14ac:dyDescent="0.25">
      <c r="B259" s="237" t="s">
        <v>241</v>
      </c>
      <c r="C259" s="277">
        <v>9</v>
      </c>
      <c r="D259" s="277">
        <v>4</v>
      </c>
      <c r="E259" s="277">
        <v>13</v>
      </c>
      <c r="F259" s="277">
        <v>62</v>
      </c>
      <c r="G259" s="277">
        <v>55</v>
      </c>
      <c r="H259" s="253">
        <v>117</v>
      </c>
      <c r="I259" s="277">
        <v>1</v>
      </c>
      <c r="J259" s="253">
        <v>1</v>
      </c>
      <c r="K259" s="277">
        <v>2</v>
      </c>
      <c r="L259" s="253">
        <v>3</v>
      </c>
      <c r="M259" s="277">
        <v>10</v>
      </c>
      <c r="N259" s="253">
        <v>13</v>
      </c>
      <c r="O259" s="269">
        <v>75</v>
      </c>
      <c r="P259" s="269">
        <v>70</v>
      </c>
      <c r="Q259" s="269">
        <v>145</v>
      </c>
    </row>
    <row r="260" spans="2:17" x14ac:dyDescent="0.25">
      <c r="B260" s="238" t="s">
        <v>242</v>
      </c>
      <c r="C260" s="277">
        <v>11</v>
      </c>
      <c r="D260" s="277">
        <v>8</v>
      </c>
      <c r="E260" s="277">
        <v>19</v>
      </c>
      <c r="F260" s="277">
        <v>59</v>
      </c>
      <c r="G260" s="277">
        <v>46</v>
      </c>
      <c r="H260" s="253">
        <v>105</v>
      </c>
      <c r="I260" s="277"/>
      <c r="J260" s="253"/>
      <c r="K260" s="277"/>
      <c r="L260" s="253"/>
      <c r="M260" s="277">
        <v>5</v>
      </c>
      <c r="N260" s="253">
        <v>5</v>
      </c>
      <c r="O260" s="269">
        <v>70</v>
      </c>
      <c r="P260" s="269">
        <v>59</v>
      </c>
      <c r="Q260" s="269">
        <v>129</v>
      </c>
    </row>
    <row r="261" spans="2:17" x14ac:dyDescent="0.25">
      <c r="B261" s="311" t="s">
        <v>28</v>
      </c>
      <c r="C261" s="271">
        <v>152</v>
      </c>
      <c r="D261" s="271">
        <v>77</v>
      </c>
      <c r="E261" s="271">
        <v>229</v>
      </c>
      <c r="F261" s="271">
        <v>1210</v>
      </c>
      <c r="G261" s="271">
        <v>1156</v>
      </c>
      <c r="H261" s="269">
        <v>2366</v>
      </c>
      <c r="I261" s="271">
        <v>26</v>
      </c>
      <c r="J261" s="269">
        <v>11</v>
      </c>
      <c r="K261" s="271">
        <v>37</v>
      </c>
      <c r="L261" s="269">
        <v>52</v>
      </c>
      <c r="M261" s="271">
        <v>92</v>
      </c>
      <c r="N261" s="269">
        <v>144</v>
      </c>
      <c r="O261" s="269">
        <v>1440</v>
      </c>
      <c r="P261" s="269">
        <v>1336</v>
      </c>
      <c r="Q261" s="269">
        <v>2776</v>
      </c>
    </row>
    <row r="262" spans="2:17" ht="124.5" customHeight="1" x14ac:dyDescent="0.25">
      <c r="B262" s="428" t="s">
        <v>866</v>
      </c>
      <c r="C262" s="428"/>
      <c r="D262" s="428"/>
      <c r="E262" s="428"/>
      <c r="F262" s="428"/>
      <c r="G262" s="428"/>
      <c r="H262" s="428"/>
      <c r="I262" s="428"/>
      <c r="J262" s="428"/>
      <c r="K262" s="428"/>
      <c r="L262" s="428"/>
      <c r="M262" s="428"/>
      <c r="N262" s="428"/>
      <c r="O262" s="428"/>
      <c r="P262" s="428"/>
      <c r="Q262" s="428"/>
    </row>
    <row r="263" spans="2:17" x14ac:dyDescent="0.25">
      <c r="B263" s="158"/>
      <c r="C263" s="158"/>
      <c r="D263" s="158"/>
      <c r="E263"/>
      <c r="F263"/>
      <c r="G263"/>
    </row>
    <row r="264" spans="2:17" x14ac:dyDescent="0.25">
      <c r="B264" s="187" t="s">
        <v>516</v>
      </c>
      <c r="C264"/>
      <c r="D264"/>
      <c r="E264"/>
      <c r="F264"/>
      <c r="G264"/>
    </row>
    <row r="265" spans="2:17" x14ac:dyDescent="0.25">
      <c r="B265" s="187"/>
      <c r="C265"/>
      <c r="D265"/>
      <c r="E265"/>
      <c r="F265"/>
      <c r="G265"/>
    </row>
    <row r="266" spans="2:17" ht="15" customHeight="1" x14ac:dyDescent="0.25">
      <c r="B266" s="430" t="s">
        <v>537</v>
      </c>
      <c r="C266" s="426" t="s">
        <v>481</v>
      </c>
      <c r="D266" s="426"/>
      <c r="E266" s="426"/>
      <c r="F266" s="426"/>
      <c r="G266" s="426"/>
      <c r="H266" s="426"/>
      <c r="I266" s="426"/>
      <c r="J266" s="426"/>
      <c r="K266" s="426"/>
      <c r="L266" s="426"/>
      <c r="M266" s="426"/>
      <c r="N266" s="426"/>
      <c r="O266" s="443" t="s">
        <v>697</v>
      </c>
      <c r="P266" s="444"/>
      <c r="Q266" s="445"/>
    </row>
    <row r="267" spans="2:17" ht="15" customHeight="1" x14ac:dyDescent="0.25">
      <c r="B267" s="431"/>
      <c r="C267" s="426" t="s">
        <v>658</v>
      </c>
      <c r="D267" s="426"/>
      <c r="E267" s="426"/>
      <c r="F267" s="426" t="s">
        <v>490</v>
      </c>
      <c r="G267" s="426"/>
      <c r="H267" s="426"/>
      <c r="I267" s="426" t="s">
        <v>4</v>
      </c>
      <c r="J267" s="426"/>
      <c r="K267" s="426"/>
      <c r="L267" s="426" t="s">
        <v>6</v>
      </c>
      <c r="M267" s="426"/>
      <c r="N267" s="426"/>
      <c r="O267" s="446"/>
      <c r="P267" s="447"/>
      <c r="Q267" s="448"/>
    </row>
    <row r="268" spans="2:17" x14ac:dyDescent="0.25">
      <c r="B268" s="432"/>
      <c r="C268" s="161" t="s">
        <v>76</v>
      </c>
      <c r="D268" s="161" t="s">
        <v>77</v>
      </c>
      <c r="E268" s="161" t="s">
        <v>28</v>
      </c>
      <c r="F268" s="161" t="s">
        <v>76</v>
      </c>
      <c r="G268" s="161" t="s">
        <v>77</v>
      </c>
      <c r="H268" s="161" t="s">
        <v>28</v>
      </c>
      <c r="I268" s="161" t="s">
        <v>76</v>
      </c>
      <c r="J268" s="161" t="s">
        <v>77</v>
      </c>
      <c r="K268" s="161" t="s">
        <v>28</v>
      </c>
      <c r="L268" s="161" t="s">
        <v>76</v>
      </c>
      <c r="M268" s="161" t="s">
        <v>77</v>
      </c>
      <c r="N268" s="161" t="s">
        <v>28</v>
      </c>
      <c r="O268" s="244" t="s">
        <v>76</v>
      </c>
      <c r="P268" s="244" t="s">
        <v>77</v>
      </c>
      <c r="Q268" s="244" t="s">
        <v>28</v>
      </c>
    </row>
    <row r="269" spans="2:17" x14ac:dyDescent="0.25">
      <c r="B269" s="236" t="s">
        <v>243</v>
      </c>
      <c r="C269" s="277">
        <v>10</v>
      </c>
      <c r="D269" s="277">
        <v>13</v>
      </c>
      <c r="E269" s="277">
        <v>23</v>
      </c>
      <c r="F269" s="277">
        <v>51</v>
      </c>
      <c r="G269" s="277">
        <v>50</v>
      </c>
      <c r="H269" s="253">
        <v>101</v>
      </c>
      <c r="I269" s="277">
        <v>1</v>
      </c>
      <c r="J269" s="253">
        <v>2</v>
      </c>
      <c r="K269" s="277">
        <v>3</v>
      </c>
      <c r="L269" s="253">
        <v>2</v>
      </c>
      <c r="M269" s="277">
        <v>4</v>
      </c>
      <c r="N269" s="253">
        <v>6</v>
      </c>
      <c r="O269" s="269">
        <v>64</v>
      </c>
      <c r="P269" s="269">
        <v>69</v>
      </c>
      <c r="Q269" s="269">
        <v>133</v>
      </c>
    </row>
    <row r="270" spans="2:17" x14ac:dyDescent="0.25">
      <c r="B270" s="237" t="s">
        <v>244</v>
      </c>
      <c r="C270" s="277">
        <v>1</v>
      </c>
      <c r="D270" s="277">
        <v>3</v>
      </c>
      <c r="E270" s="277">
        <v>4</v>
      </c>
      <c r="F270" s="277">
        <v>11</v>
      </c>
      <c r="G270" s="277">
        <v>16</v>
      </c>
      <c r="H270" s="253">
        <v>27</v>
      </c>
      <c r="I270" s="277"/>
      <c r="J270" s="253"/>
      <c r="K270" s="277"/>
      <c r="L270" s="253"/>
      <c r="M270" s="277"/>
      <c r="N270" s="253"/>
      <c r="O270" s="269">
        <v>12</v>
      </c>
      <c r="P270" s="269">
        <v>19</v>
      </c>
      <c r="Q270" s="269">
        <v>31</v>
      </c>
    </row>
    <row r="271" spans="2:17" x14ac:dyDescent="0.25">
      <c r="B271" s="237" t="s">
        <v>245</v>
      </c>
      <c r="C271" s="277">
        <v>4</v>
      </c>
      <c r="D271" s="277">
        <v>3</v>
      </c>
      <c r="E271" s="277">
        <v>7</v>
      </c>
      <c r="F271" s="277">
        <v>35</v>
      </c>
      <c r="G271" s="277">
        <v>27</v>
      </c>
      <c r="H271" s="253">
        <v>62</v>
      </c>
      <c r="I271" s="277"/>
      <c r="J271" s="253">
        <v>1</v>
      </c>
      <c r="K271" s="277">
        <v>1</v>
      </c>
      <c r="L271" s="253">
        <v>2</v>
      </c>
      <c r="M271" s="277">
        <v>1</v>
      </c>
      <c r="N271" s="253">
        <v>3</v>
      </c>
      <c r="O271" s="269">
        <v>41</v>
      </c>
      <c r="P271" s="269">
        <v>32</v>
      </c>
      <c r="Q271" s="269">
        <v>73</v>
      </c>
    </row>
    <row r="272" spans="2:17" x14ac:dyDescent="0.25">
      <c r="B272" s="237" t="s">
        <v>246</v>
      </c>
      <c r="C272" s="277">
        <v>4</v>
      </c>
      <c r="D272" s="277">
        <v>2</v>
      </c>
      <c r="E272" s="277">
        <v>6</v>
      </c>
      <c r="F272" s="277">
        <v>46</v>
      </c>
      <c r="G272" s="277">
        <v>51</v>
      </c>
      <c r="H272" s="253">
        <v>97</v>
      </c>
      <c r="I272" s="277">
        <v>1</v>
      </c>
      <c r="J272" s="253">
        <v>1</v>
      </c>
      <c r="K272" s="277">
        <v>2</v>
      </c>
      <c r="L272" s="253"/>
      <c r="M272" s="277">
        <v>5</v>
      </c>
      <c r="N272" s="253">
        <v>5</v>
      </c>
      <c r="O272" s="269">
        <v>51</v>
      </c>
      <c r="P272" s="269">
        <v>59</v>
      </c>
      <c r="Q272" s="269">
        <v>110</v>
      </c>
    </row>
    <row r="273" spans="2:17" x14ac:dyDescent="0.25">
      <c r="B273" s="237" t="s">
        <v>247</v>
      </c>
      <c r="C273" s="277"/>
      <c r="D273" s="277">
        <v>1</v>
      </c>
      <c r="E273" s="277">
        <v>1</v>
      </c>
      <c r="F273" s="277">
        <v>16</v>
      </c>
      <c r="G273" s="277">
        <v>18</v>
      </c>
      <c r="H273" s="253">
        <v>34</v>
      </c>
      <c r="I273" s="277"/>
      <c r="J273" s="253"/>
      <c r="K273" s="277"/>
      <c r="L273" s="253"/>
      <c r="M273" s="277">
        <v>1</v>
      </c>
      <c r="N273" s="253">
        <v>1</v>
      </c>
      <c r="O273" s="269">
        <v>16</v>
      </c>
      <c r="P273" s="269">
        <v>20</v>
      </c>
      <c r="Q273" s="269">
        <v>36</v>
      </c>
    </row>
    <row r="274" spans="2:17" x14ac:dyDescent="0.25">
      <c r="B274" s="237" t="s">
        <v>248</v>
      </c>
      <c r="C274" s="277">
        <v>26</v>
      </c>
      <c r="D274" s="277">
        <v>13</v>
      </c>
      <c r="E274" s="277">
        <v>39</v>
      </c>
      <c r="F274" s="277">
        <v>187</v>
      </c>
      <c r="G274" s="277">
        <v>153</v>
      </c>
      <c r="H274" s="253">
        <v>340</v>
      </c>
      <c r="I274" s="277">
        <v>1</v>
      </c>
      <c r="J274" s="253">
        <v>2</v>
      </c>
      <c r="K274" s="277">
        <v>3</v>
      </c>
      <c r="L274" s="253">
        <v>4</v>
      </c>
      <c r="M274" s="277">
        <v>8</v>
      </c>
      <c r="N274" s="253">
        <v>12</v>
      </c>
      <c r="O274" s="269">
        <v>218</v>
      </c>
      <c r="P274" s="269">
        <v>176</v>
      </c>
      <c r="Q274" s="269">
        <v>394</v>
      </c>
    </row>
    <row r="275" spans="2:17" x14ac:dyDescent="0.25">
      <c r="B275" s="237" t="s">
        <v>249</v>
      </c>
      <c r="C275" s="277">
        <v>1</v>
      </c>
      <c r="D275" s="277">
        <v>1</v>
      </c>
      <c r="E275" s="277">
        <v>2</v>
      </c>
      <c r="F275" s="277">
        <v>5</v>
      </c>
      <c r="G275" s="277">
        <v>1</v>
      </c>
      <c r="H275" s="253">
        <v>6</v>
      </c>
      <c r="I275" s="277"/>
      <c r="J275" s="253"/>
      <c r="K275" s="277"/>
      <c r="L275" s="253"/>
      <c r="M275" s="277"/>
      <c r="N275" s="253"/>
      <c r="O275" s="269">
        <v>6</v>
      </c>
      <c r="P275" s="269">
        <v>2</v>
      </c>
      <c r="Q275" s="269">
        <v>8</v>
      </c>
    </row>
    <row r="276" spans="2:17" x14ac:dyDescent="0.25">
      <c r="B276" s="237" t="s">
        <v>499</v>
      </c>
      <c r="C276" s="277">
        <v>2</v>
      </c>
      <c r="D276" s="277">
        <v>2</v>
      </c>
      <c r="E276" s="277">
        <v>4</v>
      </c>
      <c r="F276" s="277">
        <v>18</v>
      </c>
      <c r="G276" s="277">
        <v>17</v>
      </c>
      <c r="H276" s="253">
        <v>35</v>
      </c>
      <c r="I276" s="277"/>
      <c r="J276" s="253"/>
      <c r="K276" s="277"/>
      <c r="L276" s="253"/>
      <c r="M276" s="277"/>
      <c r="N276" s="253"/>
      <c r="O276" s="269">
        <v>20</v>
      </c>
      <c r="P276" s="269">
        <v>19</v>
      </c>
      <c r="Q276" s="269">
        <v>39</v>
      </c>
    </row>
    <row r="277" spans="2:17" x14ac:dyDescent="0.25">
      <c r="B277" s="237" t="s">
        <v>250</v>
      </c>
      <c r="C277" s="277">
        <v>1</v>
      </c>
      <c r="D277" s="277"/>
      <c r="E277" s="277">
        <v>1</v>
      </c>
      <c r="F277" s="277">
        <v>10</v>
      </c>
      <c r="G277" s="277">
        <v>10</v>
      </c>
      <c r="H277" s="253">
        <v>20</v>
      </c>
      <c r="I277" s="277"/>
      <c r="J277" s="253"/>
      <c r="K277" s="277"/>
      <c r="L277" s="253"/>
      <c r="M277" s="277"/>
      <c r="N277" s="253"/>
      <c r="O277" s="269">
        <v>11</v>
      </c>
      <c r="P277" s="269">
        <v>10</v>
      </c>
      <c r="Q277" s="269">
        <v>21</v>
      </c>
    </row>
    <row r="278" spans="2:17" x14ac:dyDescent="0.25">
      <c r="B278" s="237" t="s">
        <v>251</v>
      </c>
      <c r="C278" s="277">
        <v>17</v>
      </c>
      <c r="D278" s="277">
        <v>8</v>
      </c>
      <c r="E278" s="277">
        <v>25</v>
      </c>
      <c r="F278" s="277">
        <v>155</v>
      </c>
      <c r="G278" s="277">
        <v>121</v>
      </c>
      <c r="H278" s="253">
        <v>276</v>
      </c>
      <c r="I278" s="277">
        <v>2</v>
      </c>
      <c r="J278" s="253"/>
      <c r="K278" s="277">
        <v>2</v>
      </c>
      <c r="L278" s="253">
        <v>5</v>
      </c>
      <c r="M278" s="277">
        <v>7</v>
      </c>
      <c r="N278" s="253">
        <v>12</v>
      </c>
      <c r="O278" s="269">
        <v>179</v>
      </c>
      <c r="P278" s="269">
        <v>136</v>
      </c>
      <c r="Q278" s="269">
        <v>315</v>
      </c>
    </row>
    <row r="279" spans="2:17" x14ac:dyDescent="0.25">
      <c r="B279" s="237" t="s">
        <v>252</v>
      </c>
      <c r="C279" s="277">
        <v>4</v>
      </c>
      <c r="D279" s="277">
        <v>4</v>
      </c>
      <c r="E279" s="277">
        <v>8</v>
      </c>
      <c r="F279" s="277">
        <v>40</v>
      </c>
      <c r="G279" s="277">
        <v>39</v>
      </c>
      <c r="H279" s="253">
        <v>79</v>
      </c>
      <c r="I279" s="277"/>
      <c r="J279" s="253"/>
      <c r="K279" s="277"/>
      <c r="L279" s="253"/>
      <c r="M279" s="277">
        <v>3</v>
      </c>
      <c r="N279" s="253">
        <v>3</v>
      </c>
      <c r="O279" s="269">
        <v>44</v>
      </c>
      <c r="P279" s="269">
        <v>46</v>
      </c>
      <c r="Q279" s="269">
        <v>90</v>
      </c>
    </row>
    <row r="280" spans="2:17" x14ac:dyDescent="0.25">
      <c r="B280" s="237" t="s">
        <v>253</v>
      </c>
      <c r="C280" s="277">
        <v>6</v>
      </c>
      <c r="D280" s="277">
        <v>2</v>
      </c>
      <c r="E280" s="277">
        <v>8</v>
      </c>
      <c r="F280" s="277">
        <v>40</v>
      </c>
      <c r="G280" s="277">
        <v>41</v>
      </c>
      <c r="H280" s="253">
        <v>81</v>
      </c>
      <c r="I280" s="277">
        <v>1</v>
      </c>
      <c r="J280" s="253"/>
      <c r="K280" s="277">
        <v>1</v>
      </c>
      <c r="L280" s="253">
        <v>3</v>
      </c>
      <c r="M280" s="277">
        <v>3</v>
      </c>
      <c r="N280" s="253">
        <v>6</v>
      </c>
      <c r="O280" s="269">
        <v>50</v>
      </c>
      <c r="P280" s="269">
        <v>46</v>
      </c>
      <c r="Q280" s="269">
        <v>96</v>
      </c>
    </row>
    <row r="281" spans="2:17" x14ac:dyDescent="0.25">
      <c r="B281" s="237" t="s">
        <v>254</v>
      </c>
      <c r="C281" s="277">
        <v>10</v>
      </c>
      <c r="D281" s="277">
        <v>4</v>
      </c>
      <c r="E281" s="277">
        <v>14</v>
      </c>
      <c r="F281" s="277">
        <v>55</v>
      </c>
      <c r="G281" s="277">
        <v>62</v>
      </c>
      <c r="H281" s="253">
        <v>117</v>
      </c>
      <c r="I281" s="277"/>
      <c r="J281" s="253"/>
      <c r="K281" s="277"/>
      <c r="L281" s="253"/>
      <c r="M281" s="277">
        <v>1</v>
      </c>
      <c r="N281" s="253">
        <v>1</v>
      </c>
      <c r="O281" s="269">
        <v>65</v>
      </c>
      <c r="P281" s="269">
        <v>67</v>
      </c>
      <c r="Q281" s="269">
        <v>132</v>
      </c>
    </row>
    <row r="282" spans="2:17" x14ac:dyDescent="0.25">
      <c r="B282" s="237" t="s">
        <v>255</v>
      </c>
      <c r="C282" s="277">
        <v>12</v>
      </c>
      <c r="D282" s="277">
        <v>10</v>
      </c>
      <c r="E282" s="277">
        <v>22</v>
      </c>
      <c r="F282" s="277">
        <v>50</v>
      </c>
      <c r="G282" s="277">
        <v>55</v>
      </c>
      <c r="H282" s="253">
        <v>105</v>
      </c>
      <c r="I282" s="277"/>
      <c r="J282" s="253">
        <v>1</v>
      </c>
      <c r="K282" s="277">
        <v>1</v>
      </c>
      <c r="L282" s="253">
        <v>2</v>
      </c>
      <c r="M282" s="277">
        <v>1</v>
      </c>
      <c r="N282" s="253">
        <v>3</v>
      </c>
      <c r="O282" s="269">
        <v>64</v>
      </c>
      <c r="P282" s="269">
        <v>67</v>
      </c>
      <c r="Q282" s="269">
        <v>131</v>
      </c>
    </row>
    <row r="283" spans="2:17" x14ac:dyDescent="0.25">
      <c r="B283" s="237" t="s">
        <v>256</v>
      </c>
      <c r="C283" s="277">
        <v>2</v>
      </c>
      <c r="D283" s="277">
        <v>2</v>
      </c>
      <c r="E283" s="277">
        <v>4</v>
      </c>
      <c r="F283" s="277">
        <v>12</v>
      </c>
      <c r="G283" s="277">
        <v>13</v>
      </c>
      <c r="H283" s="253">
        <v>25</v>
      </c>
      <c r="I283" s="277"/>
      <c r="J283" s="253">
        <v>1</v>
      </c>
      <c r="K283" s="277">
        <v>1</v>
      </c>
      <c r="L283" s="253"/>
      <c r="M283" s="277">
        <v>1</v>
      </c>
      <c r="N283" s="253">
        <v>1</v>
      </c>
      <c r="O283" s="269">
        <v>14</v>
      </c>
      <c r="P283" s="269">
        <v>17</v>
      </c>
      <c r="Q283" s="269">
        <v>31</v>
      </c>
    </row>
    <row r="284" spans="2:17" x14ac:dyDescent="0.25">
      <c r="B284" s="237" t="s">
        <v>257</v>
      </c>
      <c r="C284" s="277"/>
      <c r="D284" s="277"/>
      <c r="E284" s="277"/>
      <c r="F284" s="277">
        <v>14</v>
      </c>
      <c r="G284" s="277">
        <v>5</v>
      </c>
      <c r="H284" s="253">
        <v>19</v>
      </c>
      <c r="I284" s="277"/>
      <c r="J284" s="253"/>
      <c r="K284" s="277"/>
      <c r="L284" s="253"/>
      <c r="M284" s="277">
        <v>1</v>
      </c>
      <c r="N284" s="253">
        <v>1</v>
      </c>
      <c r="O284" s="269">
        <v>14</v>
      </c>
      <c r="P284" s="269">
        <v>6</v>
      </c>
      <c r="Q284" s="269">
        <v>20</v>
      </c>
    </row>
    <row r="285" spans="2:17" x14ac:dyDescent="0.25">
      <c r="B285" s="237" t="s">
        <v>258</v>
      </c>
      <c r="C285" s="277">
        <v>2</v>
      </c>
      <c r="D285" s="277">
        <v>1</v>
      </c>
      <c r="E285" s="277">
        <v>3</v>
      </c>
      <c r="F285" s="277">
        <v>6</v>
      </c>
      <c r="G285" s="277">
        <v>13</v>
      </c>
      <c r="H285" s="253">
        <v>19</v>
      </c>
      <c r="I285" s="277"/>
      <c r="J285" s="253"/>
      <c r="K285" s="277"/>
      <c r="L285" s="253"/>
      <c r="M285" s="277">
        <v>1</v>
      </c>
      <c r="N285" s="253">
        <v>1</v>
      </c>
      <c r="O285" s="269">
        <v>8</v>
      </c>
      <c r="P285" s="269">
        <v>15</v>
      </c>
      <c r="Q285" s="269">
        <v>23</v>
      </c>
    </row>
    <row r="286" spans="2:17" x14ac:dyDescent="0.25">
      <c r="B286" s="237" t="s">
        <v>259</v>
      </c>
      <c r="C286" s="277">
        <v>2</v>
      </c>
      <c r="D286" s="277"/>
      <c r="E286" s="277">
        <v>2</v>
      </c>
      <c r="F286" s="277">
        <v>11</v>
      </c>
      <c r="G286" s="277">
        <v>8</v>
      </c>
      <c r="H286" s="253">
        <v>19</v>
      </c>
      <c r="I286" s="277"/>
      <c r="J286" s="253"/>
      <c r="K286" s="277"/>
      <c r="L286" s="253">
        <v>1</v>
      </c>
      <c r="M286" s="277">
        <v>1</v>
      </c>
      <c r="N286" s="253">
        <v>2</v>
      </c>
      <c r="O286" s="269">
        <v>14</v>
      </c>
      <c r="P286" s="269">
        <v>9</v>
      </c>
      <c r="Q286" s="269">
        <v>23</v>
      </c>
    </row>
    <row r="287" spans="2:17" x14ac:dyDescent="0.25">
      <c r="B287" s="237" t="s">
        <v>260</v>
      </c>
      <c r="C287" s="277">
        <v>11</v>
      </c>
      <c r="D287" s="277">
        <v>6</v>
      </c>
      <c r="E287" s="277">
        <v>17</v>
      </c>
      <c r="F287" s="277">
        <v>30</v>
      </c>
      <c r="G287" s="277">
        <v>31</v>
      </c>
      <c r="H287" s="253">
        <v>61</v>
      </c>
      <c r="I287" s="277">
        <v>1</v>
      </c>
      <c r="J287" s="253">
        <v>1</v>
      </c>
      <c r="K287" s="277">
        <v>2</v>
      </c>
      <c r="L287" s="253"/>
      <c r="M287" s="277">
        <v>2</v>
      </c>
      <c r="N287" s="253">
        <v>2</v>
      </c>
      <c r="O287" s="269">
        <v>42</v>
      </c>
      <c r="P287" s="269">
        <v>40</v>
      </c>
      <c r="Q287" s="269">
        <v>82</v>
      </c>
    </row>
    <row r="288" spans="2:17" x14ac:dyDescent="0.25">
      <c r="B288" s="237" t="s">
        <v>261</v>
      </c>
      <c r="C288" s="277">
        <v>2</v>
      </c>
      <c r="D288" s="277">
        <v>3</v>
      </c>
      <c r="E288" s="277">
        <v>5</v>
      </c>
      <c r="F288" s="277">
        <v>13</v>
      </c>
      <c r="G288" s="277">
        <v>16</v>
      </c>
      <c r="H288" s="253">
        <v>29</v>
      </c>
      <c r="I288" s="277"/>
      <c r="J288" s="253">
        <v>1</v>
      </c>
      <c r="K288" s="277">
        <v>1</v>
      </c>
      <c r="L288" s="253"/>
      <c r="M288" s="277"/>
      <c r="N288" s="253"/>
      <c r="O288" s="269">
        <v>15</v>
      </c>
      <c r="P288" s="269">
        <v>20</v>
      </c>
      <c r="Q288" s="269">
        <v>35</v>
      </c>
    </row>
    <row r="289" spans="2:17" x14ac:dyDescent="0.25">
      <c r="B289" s="237" t="s">
        <v>262</v>
      </c>
      <c r="C289" s="277">
        <v>3</v>
      </c>
      <c r="D289" s="277">
        <v>1</v>
      </c>
      <c r="E289" s="277">
        <v>4</v>
      </c>
      <c r="F289" s="277">
        <v>19</v>
      </c>
      <c r="G289" s="277">
        <v>16</v>
      </c>
      <c r="H289" s="253">
        <v>35</v>
      </c>
      <c r="I289" s="277">
        <v>1</v>
      </c>
      <c r="J289" s="253"/>
      <c r="K289" s="277">
        <v>1</v>
      </c>
      <c r="L289" s="253"/>
      <c r="M289" s="277">
        <v>1</v>
      </c>
      <c r="N289" s="253">
        <v>1</v>
      </c>
      <c r="O289" s="269">
        <v>23</v>
      </c>
      <c r="P289" s="269">
        <v>18</v>
      </c>
      <c r="Q289" s="269">
        <v>41</v>
      </c>
    </row>
    <row r="290" spans="2:17" x14ac:dyDescent="0.25">
      <c r="B290" s="237" t="s">
        <v>263</v>
      </c>
      <c r="C290" s="277">
        <v>3</v>
      </c>
      <c r="D290" s="277">
        <v>1</v>
      </c>
      <c r="E290" s="277">
        <v>4</v>
      </c>
      <c r="F290" s="277">
        <v>25</v>
      </c>
      <c r="G290" s="277">
        <v>20</v>
      </c>
      <c r="H290" s="253">
        <v>45</v>
      </c>
      <c r="I290" s="277"/>
      <c r="J290" s="253"/>
      <c r="K290" s="277"/>
      <c r="L290" s="253"/>
      <c r="M290" s="277"/>
      <c r="N290" s="253"/>
      <c r="O290" s="269">
        <v>28</v>
      </c>
      <c r="P290" s="269">
        <v>21</v>
      </c>
      <c r="Q290" s="269">
        <v>49</v>
      </c>
    </row>
    <row r="291" spans="2:17" x14ac:dyDescent="0.25">
      <c r="B291" s="237" t="s">
        <v>264</v>
      </c>
      <c r="C291" s="277">
        <v>5</v>
      </c>
      <c r="D291" s="277">
        <v>5</v>
      </c>
      <c r="E291" s="277">
        <v>10</v>
      </c>
      <c r="F291" s="277">
        <v>45</v>
      </c>
      <c r="G291" s="277">
        <v>39</v>
      </c>
      <c r="H291" s="253">
        <v>84</v>
      </c>
      <c r="I291" s="277">
        <v>1</v>
      </c>
      <c r="J291" s="253"/>
      <c r="K291" s="277">
        <v>1</v>
      </c>
      <c r="L291" s="253">
        <v>4</v>
      </c>
      <c r="M291" s="277">
        <v>6</v>
      </c>
      <c r="N291" s="253">
        <v>10</v>
      </c>
      <c r="O291" s="269">
        <v>55</v>
      </c>
      <c r="P291" s="269">
        <v>50</v>
      </c>
      <c r="Q291" s="269">
        <v>105</v>
      </c>
    </row>
    <row r="292" spans="2:17" x14ac:dyDescent="0.25">
      <c r="B292" s="237" t="s">
        <v>265</v>
      </c>
      <c r="C292" s="277">
        <v>10</v>
      </c>
      <c r="D292" s="277">
        <v>2</v>
      </c>
      <c r="E292" s="277">
        <v>12</v>
      </c>
      <c r="F292" s="277">
        <v>53</v>
      </c>
      <c r="G292" s="277">
        <v>65</v>
      </c>
      <c r="H292" s="253">
        <v>118</v>
      </c>
      <c r="I292" s="277">
        <v>2</v>
      </c>
      <c r="J292" s="253">
        <v>2</v>
      </c>
      <c r="K292" s="277">
        <v>4</v>
      </c>
      <c r="L292" s="253">
        <v>1</v>
      </c>
      <c r="M292" s="277">
        <v>2</v>
      </c>
      <c r="N292" s="253">
        <v>3</v>
      </c>
      <c r="O292" s="269">
        <v>66</v>
      </c>
      <c r="P292" s="269">
        <v>71</v>
      </c>
      <c r="Q292" s="269">
        <v>137</v>
      </c>
    </row>
    <row r="293" spans="2:17" x14ac:dyDescent="0.25">
      <c r="B293" s="237" t="s">
        <v>266</v>
      </c>
      <c r="C293" s="277">
        <v>1</v>
      </c>
      <c r="D293" s="277">
        <v>1</v>
      </c>
      <c r="E293" s="277">
        <v>2</v>
      </c>
      <c r="F293" s="277">
        <v>8</v>
      </c>
      <c r="G293" s="277">
        <v>15</v>
      </c>
      <c r="H293" s="253">
        <v>23</v>
      </c>
      <c r="I293" s="277">
        <v>1</v>
      </c>
      <c r="J293" s="253">
        <v>1</v>
      </c>
      <c r="K293" s="277">
        <v>2</v>
      </c>
      <c r="L293" s="253">
        <v>3</v>
      </c>
      <c r="M293" s="277">
        <v>1</v>
      </c>
      <c r="N293" s="253">
        <v>4</v>
      </c>
      <c r="O293" s="269">
        <v>13</v>
      </c>
      <c r="P293" s="269">
        <v>18</v>
      </c>
      <c r="Q293" s="269">
        <v>31</v>
      </c>
    </row>
    <row r="294" spans="2:17" x14ac:dyDescent="0.25">
      <c r="B294" s="237" t="s">
        <v>267</v>
      </c>
      <c r="C294" s="277">
        <v>29</v>
      </c>
      <c r="D294" s="277">
        <v>23</v>
      </c>
      <c r="E294" s="277">
        <v>52</v>
      </c>
      <c r="F294" s="277">
        <v>264</v>
      </c>
      <c r="G294" s="277">
        <v>229</v>
      </c>
      <c r="H294" s="253">
        <v>493</v>
      </c>
      <c r="I294" s="277">
        <v>5</v>
      </c>
      <c r="J294" s="253">
        <v>2</v>
      </c>
      <c r="K294" s="277">
        <v>7</v>
      </c>
      <c r="L294" s="253">
        <v>4</v>
      </c>
      <c r="M294" s="277">
        <v>13</v>
      </c>
      <c r="N294" s="253">
        <v>17</v>
      </c>
      <c r="O294" s="269">
        <v>302</v>
      </c>
      <c r="P294" s="269">
        <v>267</v>
      </c>
      <c r="Q294" s="269">
        <v>569</v>
      </c>
    </row>
    <row r="295" spans="2:17" x14ac:dyDescent="0.25">
      <c r="B295" s="237" t="s">
        <v>268</v>
      </c>
      <c r="C295" s="277">
        <v>4</v>
      </c>
      <c r="D295" s="277">
        <v>3</v>
      </c>
      <c r="E295" s="277">
        <v>7</v>
      </c>
      <c r="F295" s="277">
        <v>27</v>
      </c>
      <c r="G295" s="277">
        <v>28</v>
      </c>
      <c r="H295" s="253">
        <v>55</v>
      </c>
      <c r="I295" s="277"/>
      <c r="J295" s="253"/>
      <c r="K295" s="277"/>
      <c r="L295" s="253">
        <v>1</v>
      </c>
      <c r="M295" s="277">
        <v>1</v>
      </c>
      <c r="N295" s="253">
        <v>2</v>
      </c>
      <c r="O295" s="269">
        <v>32</v>
      </c>
      <c r="P295" s="269">
        <v>32</v>
      </c>
      <c r="Q295" s="269">
        <v>64</v>
      </c>
    </row>
    <row r="296" spans="2:17" x14ac:dyDescent="0.25">
      <c r="B296" s="237" t="s">
        <v>269</v>
      </c>
      <c r="C296" s="277"/>
      <c r="D296" s="277"/>
      <c r="E296" s="277"/>
      <c r="F296" s="277">
        <v>4</v>
      </c>
      <c r="G296" s="277">
        <v>5</v>
      </c>
      <c r="H296" s="253">
        <v>9</v>
      </c>
      <c r="I296" s="277">
        <v>1</v>
      </c>
      <c r="J296" s="253"/>
      <c r="K296" s="277">
        <v>1</v>
      </c>
      <c r="L296" s="253"/>
      <c r="M296" s="277"/>
      <c r="N296" s="253"/>
      <c r="O296" s="269">
        <v>5</v>
      </c>
      <c r="P296" s="269">
        <v>5</v>
      </c>
      <c r="Q296" s="269">
        <v>10</v>
      </c>
    </row>
    <row r="297" spans="2:17" x14ac:dyDescent="0.25">
      <c r="B297" s="237" t="s">
        <v>270</v>
      </c>
      <c r="C297" s="277"/>
      <c r="D297" s="277">
        <v>1</v>
      </c>
      <c r="E297" s="277">
        <v>1</v>
      </c>
      <c r="F297" s="277">
        <v>21</v>
      </c>
      <c r="G297" s="277">
        <v>19</v>
      </c>
      <c r="H297" s="253">
        <v>40</v>
      </c>
      <c r="I297" s="277"/>
      <c r="J297" s="253"/>
      <c r="K297" s="277"/>
      <c r="L297" s="253">
        <v>1</v>
      </c>
      <c r="M297" s="277">
        <v>1</v>
      </c>
      <c r="N297" s="253">
        <v>2</v>
      </c>
      <c r="O297" s="269">
        <v>22</v>
      </c>
      <c r="P297" s="269">
        <v>21</v>
      </c>
      <c r="Q297" s="269">
        <v>43</v>
      </c>
    </row>
    <row r="298" spans="2:17" x14ac:dyDescent="0.25">
      <c r="B298" s="238" t="s">
        <v>271</v>
      </c>
      <c r="C298" s="277"/>
      <c r="D298" s="277">
        <v>1</v>
      </c>
      <c r="E298" s="277">
        <v>1</v>
      </c>
      <c r="F298" s="277">
        <v>12</v>
      </c>
      <c r="G298" s="277">
        <v>25</v>
      </c>
      <c r="H298" s="253">
        <v>37</v>
      </c>
      <c r="I298" s="277"/>
      <c r="J298" s="253"/>
      <c r="K298" s="277"/>
      <c r="L298" s="253">
        <v>1</v>
      </c>
      <c r="M298" s="277"/>
      <c r="N298" s="253">
        <v>1</v>
      </c>
      <c r="O298" s="269">
        <v>13</v>
      </c>
      <c r="P298" s="269">
        <v>26</v>
      </c>
      <c r="Q298" s="269">
        <v>39</v>
      </c>
    </row>
    <row r="299" spans="2:17" x14ac:dyDescent="0.25">
      <c r="B299" s="311" t="s">
        <v>28</v>
      </c>
      <c r="C299" s="271">
        <v>172</v>
      </c>
      <c r="D299" s="271">
        <v>116</v>
      </c>
      <c r="E299" s="271">
        <v>288</v>
      </c>
      <c r="F299" s="271">
        <v>1283</v>
      </c>
      <c r="G299" s="271">
        <v>1208</v>
      </c>
      <c r="H299" s="269">
        <v>2491</v>
      </c>
      <c r="I299" s="271">
        <v>18</v>
      </c>
      <c r="J299" s="269">
        <v>15</v>
      </c>
      <c r="K299" s="271">
        <v>33</v>
      </c>
      <c r="L299" s="269">
        <v>34</v>
      </c>
      <c r="M299" s="271">
        <v>65</v>
      </c>
      <c r="N299" s="269">
        <v>99</v>
      </c>
      <c r="O299" s="269">
        <v>1507</v>
      </c>
      <c r="P299" s="269">
        <v>1404</v>
      </c>
      <c r="Q299" s="269">
        <v>2911</v>
      </c>
    </row>
    <row r="300" spans="2:17" ht="126" customHeight="1" x14ac:dyDescent="0.25">
      <c r="B300" s="428" t="s">
        <v>866</v>
      </c>
      <c r="C300" s="428"/>
      <c r="D300" s="428"/>
      <c r="E300" s="428"/>
      <c r="F300" s="428"/>
      <c r="G300" s="428"/>
      <c r="H300" s="428"/>
      <c r="I300" s="428"/>
      <c r="J300" s="428"/>
      <c r="K300" s="428"/>
      <c r="L300" s="428"/>
      <c r="M300" s="428"/>
      <c r="N300" s="428"/>
      <c r="O300" s="428"/>
      <c r="P300" s="428"/>
      <c r="Q300" s="428"/>
    </row>
    <row r="301" spans="2:17" x14ac:dyDescent="0.25">
      <c r="B301" s="158"/>
      <c r="C301" s="158"/>
      <c r="D301" s="158"/>
      <c r="E301"/>
      <c r="F301"/>
      <c r="G301"/>
    </row>
    <row r="302" spans="2:17" x14ac:dyDescent="0.25">
      <c r="B302" s="158"/>
      <c r="C302" s="158"/>
      <c r="D302" s="158"/>
      <c r="E302"/>
      <c r="F302"/>
      <c r="G302"/>
    </row>
    <row r="303" spans="2:17" x14ac:dyDescent="0.25">
      <c r="B303" s="187" t="s">
        <v>525</v>
      </c>
      <c r="C303"/>
      <c r="D303"/>
      <c r="E303"/>
      <c r="F303"/>
      <c r="G303"/>
    </row>
    <row r="304" spans="2:17" x14ac:dyDescent="0.25">
      <c r="B304" s="187"/>
      <c r="C304"/>
      <c r="D304"/>
      <c r="E304"/>
      <c r="F304"/>
      <c r="G304"/>
    </row>
    <row r="305" spans="2:17" ht="15" customHeight="1" x14ac:dyDescent="0.25">
      <c r="B305" s="430" t="s">
        <v>537</v>
      </c>
      <c r="C305" s="426" t="s">
        <v>481</v>
      </c>
      <c r="D305" s="426"/>
      <c r="E305" s="426"/>
      <c r="F305" s="426"/>
      <c r="G305" s="426"/>
      <c r="H305" s="426"/>
      <c r="I305" s="426"/>
      <c r="J305" s="426"/>
      <c r="K305" s="426"/>
      <c r="L305" s="426"/>
      <c r="M305" s="426"/>
      <c r="N305" s="426"/>
      <c r="O305" s="443" t="s">
        <v>697</v>
      </c>
      <c r="P305" s="444"/>
      <c r="Q305" s="445"/>
    </row>
    <row r="306" spans="2:17" ht="15" customHeight="1" x14ac:dyDescent="0.25">
      <c r="B306" s="431"/>
      <c r="C306" s="426" t="s">
        <v>658</v>
      </c>
      <c r="D306" s="426"/>
      <c r="E306" s="426"/>
      <c r="F306" s="426" t="s">
        <v>490</v>
      </c>
      <c r="G306" s="426"/>
      <c r="H306" s="426"/>
      <c r="I306" s="426" t="s">
        <v>4</v>
      </c>
      <c r="J306" s="426"/>
      <c r="K306" s="426"/>
      <c r="L306" s="426" t="s">
        <v>6</v>
      </c>
      <c r="M306" s="426"/>
      <c r="N306" s="426"/>
      <c r="O306" s="446"/>
      <c r="P306" s="447"/>
      <c r="Q306" s="448"/>
    </row>
    <row r="307" spans="2:17" x14ac:dyDescent="0.25">
      <c r="B307" s="432"/>
      <c r="C307" s="161" t="s">
        <v>76</v>
      </c>
      <c r="D307" s="161" t="s">
        <v>77</v>
      </c>
      <c r="E307" s="161" t="s">
        <v>28</v>
      </c>
      <c r="F307" s="161" t="s">
        <v>76</v>
      </c>
      <c r="G307" s="161" t="s">
        <v>77</v>
      </c>
      <c r="H307" s="161" t="s">
        <v>28</v>
      </c>
      <c r="I307" s="161" t="s">
        <v>76</v>
      </c>
      <c r="J307" s="161" t="s">
        <v>77</v>
      </c>
      <c r="K307" s="161" t="s">
        <v>28</v>
      </c>
      <c r="L307" s="161" t="s">
        <v>76</v>
      </c>
      <c r="M307" s="161" t="s">
        <v>77</v>
      </c>
      <c r="N307" s="161" t="s">
        <v>28</v>
      </c>
      <c r="O307" s="244" t="s">
        <v>76</v>
      </c>
      <c r="P307" s="244" t="s">
        <v>77</v>
      </c>
      <c r="Q307" s="244" t="s">
        <v>28</v>
      </c>
    </row>
    <row r="308" spans="2:17" x14ac:dyDescent="0.25">
      <c r="B308" s="236" t="s">
        <v>455</v>
      </c>
      <c r="C308" s="277">
        <v>3</v>
      </c>
      <c r="D308" s="277">
        <v>1</v>
      </c>
      <c r="E308" s="277">
        <v>4</v>
      </c>
      <c r="F308" s="277">
        <v>32</v>
      </c>
      <c r="G308" s="277">
        <v>32</v>
      </c>
      <c r="H308" s="253">
        <v>64</v>
      </c>
      <c r="I308" s="277"/>
      <c r="J308" s="253"/>
      <c r="K308" s="277"/>
      <c r="L308" s="253">
        <v>1</v>
      </c>
      <c r="M308" s="277"/>
      <c r="N308" s="253">
        <v>1</v>
      </c>
      <c r="O308" s="269">
        <v>36</v>
      </c>
      <c r="P308" s="269">
        <v>33</v>
      </c>
      <c r="Q308" s="269">
        <v>69</v>
      </c>
    </row>
    <row r="309" spans="2:17" x14ac:dyDescent="0.25">
      <c r="B309" s="237" t="s">
        <v>456</v>
      </c>
      <c r="C309" s="277">
        <v>44</v>
      </c>
      <c r="D309" s="277">
        <v>15</v>
      </c>
      <c r="E309" s="277">
        <v>59</v>
      </c>
      <c r="F309" s="277">
        <v>242</v>
      </c>
      <c r="G309" s="277">
        <v>180</v>
      </c>
      <c r="H309" s="253">
        <v>422</v>
      </c>
      <c r="I309" s="277">
        <v>6</v>
      </c>
      <c r="J309" s="253">
        <v>4</v>
      </c>
      <c r="K309" s="277">
        <v>10</v>
      </c>
      <c r="L309" s="253">
        <v>15</v>
      </c>
      <c r="M309" s="277">
        <v>18</v>
      </c>
      <c r="N309" s="253">
        <v>33</v>
      </c>
      <c r="O309" s="269">
        <v>307</v>
      </c>
      <c r="P309" s="269">
        <v>217</v>
      </c>
      <c r="Q309" s="269">
        <v>524</v>
      </c>
    </row>
    <row r="310" spans="2:17" x14ac:dyDescent="0.25">
      <c r="B310" s="237" t="s">
        <v>457</v>
      </c>
      <c r="C310" s="277">
        <v>2</v>
      </c>
      <c r="D310" s="277">
        <v>2</v>
      </c>
      <c r="E310" s="277">
        <v>4</v>
      </c>
      <c r="F310" s="277">
        <v>21</v>
      </c>
      <c r="G310" s="277">
        <v>23</v>
      </c>
      <c r="H310" s="253">
        <v>44</v>
      </c>
      <c r="I310" s="277">
        <v>1</v>
      </c>
      <c r="J310" s="253">
        <v>1</v>
      </c>
      <c r="K310" s="277">
        <v>2</v>
      </c>
      <c r="L310" s="253">
        <v>2</v>
      </c>
      <c r="M310" s="277">
        <v>3</v>
      </c>
      <c r="N310" s="253">
        <v>5</v>
      </c>
      <c r="O310" s="269">
        <v>26</v>
      </c>
      <c r="P310" s="269">
        <v>29</v>
      </c>
      <c r="Q310" s="269">
        <v>55</v>
      </c>
    </row>
    <row r="311" spans="2:17" x14ac:dyDescent="0.25">
      <c r="B311" s="237" t="s">
        <v>458</v>
      </c>
      <c r="C311" s="277"/>
      <c r="D311" s="277"/>
      <c r="E311" s="277"/>
      <c r="F311" s="277">
        <v>8</v>
      </c>
      <c r="G311" s="277">
        <v>8</v>
      </c>
      <c r="H311" s="253">
        <v>16</v>
      </c>
      <c r="I311" s="277">
        <v>1</v>
      </c>
      <c r="J311" s="253"/>
      <c r="K311" s="277">
        <v>1</v>
      </c>
      <c r="L311" s="253">
        <v>2</v>
      </c>
      <c r="M311" s="277">
        <v>1</v>
      </c>
      <c r="N311" s="253">
        <v>3</v>
      </c>
      <c r="O311" s="269">
        <v>11</v>
      </c>
      <c r="P311" s="269">
        <v>9</v>
      </c>
      <c r="Q311" s="269">
        <v>20</v>
      </c>
    </row>
    <row r="312" spans="2:17" x14ac:dyDescent="0.25">
      <c r="B312" s="237" t="s">
        <v>459</v>
      </c>
      <c r="C312" s="277">
        <v>3</v>
      </c>
      <c r="D312" s="277">
        <v>3</v>
      </c>
      <c r="E312" s="277">
        <v>6</v>
      </c>
      <c r="F312" s="277">
        <v>11</v>
      </c>
      <c r="G312" s="277">
        <v>25</v>
      </c>
      <c r="H312" s="253">
        <v>36</v>
      </c>
      <c r="I312" s="277"/>
      <c r="J312" s="253"/>
      <c r="K312" s="277"/>
      <c r="L312" s="253"/>
      <c r="M312" s="277">
        <v>2</v>
      </c>
      <c r="N312" s="253">
        <v>2</v>
      </c>
      <c r="O312" s="269">
        <v>14</v>
      </c>
      <c r="P312" s="269">
        <v>30</v>
      </c>
      <c r="Q312" s="269">
        <v>44</v>
      </c>
    </row>
    <row r="313" spans="2:17" x14ac:dyDescent="0.25">
      <c r="B313" s="237" t="s">
        <v>460</v>
      </c>
      <c r="C313" s="277">
        <v>7</v>
      </c>
      <c r="D313" s="277">
        <v>5</v>
      </c>
      <c r="E313" s="277">
        <v>12</v>
      </c>
      <c r="F313" s="277">
        <v>21</v>
      </c>
      <c r="G313" s="277">
        <v>21</v>
      </c>
      <c r="H313" s="253">
        <v>42</v>
      </c>
      <c r="I313" s="277"/>
      <c r="J313" s="253">
        <v>1</v>
      </c>
      <c r="K313" s="277">
        <v>1</v>
      </c>
      <c r="L313" s="253">
        <v>2</v>
      </c>
      <c r="M313" s="277">
        <v>5</v>
      </c>
      <c r="N313" s="253">
        <v>7</v>
      </c>
      <c r="O313" s="269">
        <v>30</v>
      </c>
      <c r="P313" s="269">
        <v>32</v>
      </c>
      <c r="Q313" s="269">
        <v>62</v>
      </c>
    </row>
    <row r="314" spans="2:17" x14ac:dyDescent="0.25">
      <c r="B314" s="237" t="s">
        <v>461</v>
      </c>
      <c r="C314" s="277">
        <v>1</v>
      </c>
      <c r="D314" s="277">
        <v>5</v>
      </c>
      <c r="E314" s="277">
        <v>6</v>
      </c>
      <c r="F314" s="277">
        <v>13</v>
      </c>
      <c r="G314" s="277">
        <v>12</v>
      </c>
      <c r="H314" s="253">
        <v>25</v>
      </c>
      <c r="I314" s="277"/>
      <c r="J314" s="253"/>
      <c r="K314" s="277"/>
      <c r="L314" s="253">
        <v>1</v>
      </c>
      <c r="M314" s="277">
        <v>1</v>
      </c>
      <c r="N314" s="253">
        <v>2</v>
      </c>
      <c r="O314" s="269">
        <v>15</v>
      </c>
      <c r="P314" s="269">
        <v>18</v>
      </c>
      <c r="Q314" s="269">
        <v>33</v>
      </c>
    </row>
    <row r="315" spans="2:17" x14ac:dyDescent="0.25">
      <c r="B315" s="237" t="s">
        <v>462</v>
      </c>
      <c r="C315" s="277"/>
      <c r="D315" s="277">
        <v>1</v>
      </c>
      <c r="E315" s="277">
        <v>1</v>
      </c>
      <c r="F315" s="277">
        <v>4</v>
      </c>
      <c r="G315" s="277">
        <v>10</v>
      </c>
      <c r="H315" s="253">
        <v>14</v>
      </c>
      <c r="I315" s="277"/>
      <c r="J315" s="253"/>
      <c r="K315" s="277"/>
      <c r="L315" s="253"/>
      <c r="M315" s="277"/>
      <c r="N315" s="253"/>
      <c r="O315" s="269">
        <v>4</v>
      </c>
      <c r="P315" s="269">
        <v>11</v>
      </c>
      <c r="Q315" s="269">
        <v>15</v>
      </c>
    </row>
    <row r="316" spans="2:17" x14ac:dyDescent="0.25">
      <c r="B316" s="237" t="s">
        <v>463</v>
      </c>
      <c r="C316" s="277">
        <v>3</v>
      </c>
      <c r="D316" s="277">
        <v>2</v>
      </c>
      <c r="E316" s="277">
        <v>5</v>
      </c>
      <c r="F316" s="277">
        <v>12</v>
      </c>
      <c r="G316" s="277">
        <v>8</v>
      </c>
      <c r="H316" s="253">
        <v>20</v>
      </c>
      <c r="I316" s="277"/>
      <c r="J316" s="253"/>
      <c r="K316" s="277"/>
      <c r="L316" s="253"/>
      <c r="M316" s="277">
        <v>1</v>
      </c>
      <c r="N316" s="253">
        <v>1</v>
      </c>
      <c r="O316" s="269">
        <v>15</v>
      </c>
      <c r="P316" s="269">
        <v>11</v>
      </c>
      <c r="Q316" s="269">
        <v>26</v>
      </c>
    </row>
    <row r="317" spans="2:17" x14ac:dyDescent="0.25">
      <c r="B317" s="237" t="s">
        <v>464</v>
      </c>
      <c r="C317" s="277">
        <v>1</v>
      </c>
      <c r="D317" s="277"/>
      <c r="E317" s="277">
        <v>1</v>
      </c>
      <c r="F317" s="277">
        <v>15</v>
      </c>
      <c r="G317" s="277">
        <v>13</v>
      </c>
      <c r="H317" s="253">
        <v>28</v>
      </c>
      <c r="I317" s="277"/>
      <c r="J317" s="253"/>
      <c r="K317" s="277"/>
      <c r="L317" s="253"/>
      <c r="M317" s="277"/>
      <c r="N317" s="253"/>
      <c r="O317" s="269">
        <v>16</v>
      </c>
      <c r="P317" s="269">
        <v>13</v>
      </c>
      <c r="Q317" s="269">
        <v>29</v>
      </c>
    </row>
    <row r="318" spans="2:17" x14ac:dyDescent="0.25">
      <c r="B318" s="237" t="s">
        <v>465</v>
      </c>
      <c r="C318" s="277">
        <v>2</v>
      </c>
      <c r="D318" s="277">
        <v>1</v>
      </c>
      <c r="E318" s="277">
        <v>3</v>
      </c>
      <c r="F318" s="277">
        <v>8</v>
      </c>
      <c r="G318" s="277">
        <v>10</v>
      </c>
      <c r="H318" s="253">
        <v>18</v>
      </c>
      <c r="I318" s="277"/>
      <c r="J318" s="253">
        <v>1</v>
      </c>
      <c r="K318" s="277">
        <v>1</v>
      </c>
      <c r="L318" s="253"/>
      <c r="M318" s="277">
        <v>1</v>
      </c>
      <c r="N318" s="253">
        <v>1</v>
      </c>
      <c r="O318" s="269">
        <v>10</v>
      </c>
      <c r="P318" s="269">
        <v>13</v>
      </c>
      <c r="Q318" s="269">
        <v>23</v>
      </c>
    </row>
    <row r="319" spans="2:17" x14ac:dyDescent="0.25">
      <c r="B319" s="237" t="s">
        <v>466</v>
      </c>
      <c r="C319" s="277">
        <v>2</v>
      </c>
      <c r="D319" s="277">
        <v>1</v>
      </c>
      <c r="E319" s="277">
        <v>3</v>
      </c>
      <c r="F319" s="277">
        <v>18</v>
      </c>
      <c r="G319" s="277">
        <v>26</v>
      </c>
      <c r="H319" s="253">
        <v>44</v>
      </c>
      <c r="I319" s="277"/>
      <c r="J319" s="253"/>
      <c r="K319" s="277"/>
      <c r="L319" s="253">
        <v>3</v>
      </c>
      <c r="M319" s="277">
        <v>3</v>
      </c>
      <c r="N319" s="253">
        <v>6</v>
      </c>
      <c r="O319" s="269">
        <v>23</v>
      </c>
      <c r="P319" s="269">
        <v>30</v>
      </c>
      <c r="Q319" s="269">
        <v>53</v>
      </c>
    </row>
    <row r="320" spans="2:17" x14ac:dyDescent="0.25">
      <c r="B320" s="237" t="s">
        <v>467</v>
      </c>
      <c r="C320" s="277">
        <v>3</v>
      </c>
      <c r="D320" s="277">
        <v>5</v>
      </c>
      <c r="E320" s="277">
        <v>8</v>
      </c>
      <c r="F320" s="277">
        <v>9</v>
      </c>
      <c r="G320" s="277">
        <v>13</v>
      </c>
      <c r="H320" s="253">
        <v>22</v>
      </c>
      <c r="I320" s="277">
        <v>1</v>
      </c>
      <c r="J320" s="253"/>
      <c r="K320" s="277">
        <v>1</v>
      </c>
      <c r="L320" s="253">
        <v>2</v>
      </c>
      <c r="M320" s="277">
        <v>1</v>
      </c>
      <c r="N320" s="253">
        <v>3</v>
      </c>
      <c r="O320" s="269">
        <v>15</v>
      </c>
      <c r="P320" s="269">
        <v>19</v>
      </c>
      <c r="Q320" s="269">
        <v>34</v>
      </c>
    </row>
    <row r="321" spans="2:17" x14ac:dyDescent="0.25">
      <c r="B321" s="237" t="s">
        <v>468</v>
      </c>
      <c r="C321" s="277">
        <v>7</v>
      </c>
      <c r="D321" s="277">
        <v>10</v>
      </c>
      <c r="E321" s="277">
        <v>17</v>
      </c>
      <c r="F321" s="277">
        <v>10</v>
      </c>
      <c r="G321" s="277">
        <v>13</v>
      </c>
      <c r="H321" s="253">
        <v>23</v>
      </c>
      <c r="I321" s="277"/>
      <c r="J321" s="253"/>
      <c r="K321" s="277"/>
      <c r="L321" s="253">
        <v>1</v>
      </c>
      <c r="M321" s="277">
        <v>2</v>
      </c>
      <c r="N321" s="253">
        <v>3</v>
      </c>
      <c r="O321" s="269">
        <v>18</v>
      </c>
      <c r="P321" s="269">
        <v>25</v>
      </c>
      <c r="Q321" s="269">
        <v>43</v>
      </c>
    </row>
    <row r="322" spans="2:17" x14ac:dyDescent="0.25">
      <c r="B322" s="237" t="s">
        <v>469</v>
      </c>
      <c r="C322" s="277">
        <v>11</v>
      </c>
      <c r="D322" s="277">
        <v>6</v>
      </c>
      <c r="E322" s="277">
        <v>17</v>
      </c>
      <c r="F322" s="277">
        <v>68</v>
      </c>
      <c r="G322" s="277">
        <v>65</v>
      </c>
      <c r="H322" s="253">
        <v>133</v>
      </c>
      <c r="I322" s="277"/>
      <c r="J322" s="253">
        <v>1</v>
      </c>
      <c r="K322" s="277">
        <v>1</v>
      </c>
      <c r="L322" s="253">
        <v>4</v>
      </c>
      <c r="M322" s="277">
        <v>7</v>
      </c>
      <c r="N322" s="253">
        <v>11</v>
      </c>
      <c r="O322" s="269">
        <v>83</v>
      </c>
      <c r="P322" s="269">
        <v>79</v>
      </c>
      <c r="Q322" s="269">
        <v>162</v>
      </c>
    </row>
    <row r="323" spans="2:17" x14ac:dyDescent="0.25">
      <c r="B323" s="237" t="s">
        <v>470</v>
      </c>
      <c r="C323" s="277"/>
      <c r="D323" s="277"/>
      <c r="E323" s="277"/>
      <c r="F323" s="277">
        <v>6</v>
      </c>
      <c r="G323" s="277">
        <v>6</v>
      </c>
      <c r="H323" s="253">
        <v>12</v>
      </c>
      <c r="I323" s="277">
        <v>1</v>
      </c>
      <c r="J323" s="253"/>
      <c r="K323" s="277">
        <v>1</v>
      </c>
      <c r="L323" s="253"/>
      <c r="M323" s="277"/>
      <c r="N323" s="253"/>
      <c r="O323" s="269">
        <v>7</v>
      </c>
      <c r="P323" s="269">
        <v>6</v>
      </c>
      <c r="Q323" s="269">
        <v>13</v>
      </c>
    </row>
    <row r="324" spans="2:17" x14ac:dyDescent="0.25">
      <c r="B324" s="237" t="s">
        <v>471</v>
      </c>
      <c r="C324" s="277">
        <v>3</v>
      </c>
      <c r="D324" s="277">
        <v>2</v>
      </c>
      <c r="E324" s="277">
        <v>5</v>
      </c>
      <c r="F324" s="277">
        <v>12</v>
      </c>
      <c r="G324" s="277">
        <v>23</v>
      </c>
      <c r="H324" s="253">
        <v>35</v>
      </c>
      <c r="I324" s="277">
        <v>1</v>
      </c>
      <c r="J324" s="253">
        <v>2</v>
      </c>
      <c r="K324" s="277">
        <v>3</v>
      </c>
      <c r="L324" s="253">
        <v>2</v>
      </c>
      <c r="M324" s="277"/>
      <c r="N324" s="253">
        <v>2</v>
      </c>
      <c r="O324" s="269">
        <v>18</v>
      </c>
      <c r="P324" s="269">
        <v>27</v>
      </c>
      <c r="Q324" s="269">
        <v>45</v>
      </c>
    </row>
    <row r="325" spans="2:17" x14ac:dyDescent="0.25">
      <c r="B325" s="237" t="s">
        <v>472</v>
      </c>
      <c r="C325" s="277">
        <v>5</v>
      </c>
      <c r="D325" s="277">
        <v>1</v>
      </c>
      <c r="E325" s="277">
        <v>6</v>
      </c>
      <c r="F325" s="277">
        <v>16</v>
      </c>
      <c r="G325" s="277">
        <v>16</v>
      </c>
      <c r="H325" s="253">
        <v>32</v>
      </c>
      <c r="I325" s="277"/>
      <c r="J325" s="253">
        <v>1</v>
      </c>
      <c r="K325" s="277">
        <v>1</v>
      </c>
      <c r="L325" s="253"/>
      <c r="M325" s="277">
        <v>1</v>
      </c>
      <c r="N325" s="253">
        <v>1</v>
      </c>
      <c r="O325" s="269">
        <v>21</v>
      </c>
      <c r="P325" s="269">
        <v>19</v>
      </c>
      <c r="Q325" s="269">
        <v>40</v>
      </c>
    </row>
    <row r="326" spans="2:17" x14ac:dyDescent="0.25">
      <c r="B326" s="237" t="s">
        <v>473</v>
      </c>
      <c r="C326" s="277">
        <v>1</v>
      </c>
      <c r="D326" s="277"/>
      <c r="E326" s="277">
        <v>1</v>
      </c>
      <c r="F326" s="277">
        <v>4</v>
      </c>
      <c r="G326" s="277">
        <v>8</v>
      </c>
      <c r="H326" s="253">
        <v>12</v>
      </c>
      <c r="I326" s="277"/>
      <c r="J326" s="253"/>
      <c r="K326" s="277"/>
      <c r="L326" s="253"/>
      <c r="M326" s="277">
        <v>1</v>
      </c>
      <c r="N326" s="253">
        <v>1</v>
      </c>
      <c r="O326" s="269">
        <v>5</v>
      </c>
      <c r="P326" s="269">
        <v>9</v>
      </c>
      <c r="Q326" s="269">
        <v>14</v>
      </c>
    </row>
    <row r="327" spans="2:17" x14ac:dyDescent="0.25">
      <c r="B327" s="237" t="s">
        <v>474</v>
      </c>
      <c r="C327" s="277">
        <v>8</v>
      </c>
      <c r="D327" s="277">
        <v>5</v>
      </c>
      <c r="E327" s="277">
        <v>13</v>
      </c>
      <c r="F327" s="277">
        <v>19</v>
      </c>
      <c r="G327" s="277">
        <v>13</v>
      </c>
      <c r="H327" s="253">
        <v>32</v>
      </c>
      <c r="I327" s="277"/>
      <c r="J327" s="253">
        <v>1</v>
      </c>
      <c r="K327" s="277">
        <v>1</v>
      </c>
      <c r="L327" s="253"/>
      <c r="M327" s="277">
        <v>2</v>
      </c>
      <c r="N327" s="253">
        <v>2</v>
      </c>
      <c r="O327" s="269">
        <v>27</v>
      </c>
      <c r="P327" s="269">
        <v>21</v>
      </c>
      <c r="Q327" s="269">
        <v>48</v>
      </c>
    </row>
    <row r="328" spans="2:17" x14ac:dyDescent="0.25">
      <c r="B328" s="237" t="s">
        <v>475</v>
      </c>
      <c r="C328" s="277">
        <v>2</v>
      </c>
      <c r="D328" s="277">
        <v>1</v>
      </c>
      <c r="E328" s="277">
        <v>3</v>
      </c>
      <c r="F328" s="277">
        <v>9</v>
      </c>
      <c r="G328" s="277">
        <v>13</v>
      </c>
      <c r="H328" s="253">
        <v>22</v>
      </c>
      <c r="I328" s="277">
        <v>2</v>
      </c>
      <c r="J328" s="253"/>
      <c r="K328" s="277">
        <v>2</v>
      </c>
      <c r="L328" s="253"/>
      <c r="M328" s="277">
        <v>2</v>
      </c>
      <c r="N328" s="253">
        <v>2</v>
      </c>
      <c r="O328" s="269">
        <v>13</v>
      </c>
      <c r="P328" s="269">
        <v>16</v>
      </c>
      <c r="Q328" s="269">
        <v>29</v>
      </c>
    </row>
    <row r="329" spans="2:17" x14ac:dyDescent="0.25">
      <c r="B329" s="311" t="s">
        <v>28</v>
      </c>
      <c r="C329" s="271">
        <v>108</v>
      </c>
      <c r="D329" s="271">
        <v>66</v>
      </c>
      <c r="E329" s="271">
        <v>174</v>
      </c>
      <c r="F329" s="271">
        <v>558</v>
      </c>
      <c r="G329" s="271">
        <v>538</v>
      </c>
      <c r="H329" s="269">
        <v>1096</v>
      </c>
      <c r="I329" s="271">
        <v>13</v>
      </c>
      <c r="J329" s="269">
        <v>12</v>
      </c>
      <c r="K329" s="271">
        <v>25</v>
      </c>
      <c r="L329" s="269">
        <v>35</v>
      </c>
      <c r="M329" s="271">
        <v>51</v>
      </c>
      <c r="N329" s="269">
        <v>86</v>
      </c>
      <c r="O329" s="269">
        <v>714</v>
      </c>
      <c r="P329" s="269">
        <v>667</v>
      </c>
      <c r="Q329" s="269">
        <v>1381</v>
      </c>
    </row>
    <row r="330" spans="2:17" ht="126.75" customHeight="1" x14ac:dyDescent="0.25">
      <c r="B330" s="428" t="s">
        <v>866</v>
      </c>
      <c r="C330" s="428"/>
      <c r="D330" s="428"/>
      <c r="E330" s="428"/>
      <c r="F330" s="428"/>
      <c r="G330" s="428"/>
      <c r="H330" s="428"/>
      <c r="I330" s="428"/>
      <c r="J330" s="428"/>
      <c r="K330" s="428"/>
      <c r="L330" s="428"/>
      <c r="M330" s="428"/>
      <c r="N330" s="428"/>
      <c r="O330" s="428"/>
      <c r="P330" s="428"/>
      <c r="Q330" s="428"/>
    </row>
    <row r="331" spans="2:17" x14ac:dyDescent="0.25">
      <c r="B331" s="158"/>
      <c r="C331" s="158"/>
      <c r="D331" s="158"/>
      <c r="E331"/>
      <c r="F331"/>
      <c r="G331"/>
    </row>
    <row r="332" spans="2:17" x14ac:dyDescent="0.25">
      <c r="B332" s="158"/>
      <c r="C332" s="158"/>
      <c r="D332" s="158"/>
      <c r="E332"/>
      <c r="F332"/>
      <c r="G332"/>
    </row>
    <row r="333" spans="2:17" x14ac:dyDescent="0.25">
      <c r="B333" s="187" t="s">
        <v>517</v>
      </c>
      <c r="C333"/>
      <c r="D333"/>
      <c r="E333"/>
      <c r="F333"/>
      <c r="G333"/>
    </row>
    <row r="334" spans="2:17" x14ac:dyDescent="0.25">
      <c r="B334" s="187"/>
      <c r="C334"/>
      <c r="D334"/>
      <c r="E334"/>
      <c r="F334"/>
      <c r="G334"/>
    </row>
    <row r="335" spans="2:17" ht="15" customHeight="1" x14ac:dyDescent="0.25">
      <c r="B335" s="430" t="s">
        <v>537</v>
      </c>
      <c r="C335" s="426" t="s">
        <v>481</v>
      </c>
      <c r="D335" s="426"/>
      <c r="E335" s="426"/>
      <c r="F335" s="426"/>
      <c r="G335" s="426"/>
      <c r="H335" s="426"/>
      <c r="I335" s="426"/>
      <c r="J335" s="426"/>
      <c r="K335" s="426"/>
      <c r="L335" s="426"/>
      <c r="M335" s="426"/>
      <c r="N335" s="426"/>
      <c r="O335" s="443" t="s">
        <v>697</v>
      </c>
      <c r="P335" s="444"/>
      <c r="Q335" s="445"/>
    </row>
    <row r="336" spans="2:17" ht="15" customHeight="1" x14ac:dyDescent="0.25">
      <c r="B336" s="431"/>
      <c r="C336" s="426" t="s">
        <v>658</v>
      </c>
      <c r="D336" s="426"/>
      <c r="E336" s="426"/>
      <c r="F336" s="426" t="s">
        <v>490</v>
      </c>
      <c r="G336" s="426"/>
      <c r="H336" s="426"/>
      <c r="I336" s="426" t="s">
        <v>4</v>
      </c>
      <c r="J336" s="426"/>
      <c r="K336" s="426"/>
      <c r="L336" s="426" t="s">
        <v>6</v>
      </c>
      <c r="M336" s="426"/>
      <c r="N336" s="426"/>
      <c r="O336" s="446"/>
      <c r="P336" s="447"/>
      <c r="Q336" s="448"/>
    </row>
    <row r="337" spans="2:17" x14ac:dyDescent="0.25">
      <c r="B337" s="432"/>
      <c r="C337" s="161" t="s">
        <v>76</v>
      </c>
      <c r="D337" s="161" t="s">
        <v>77</v>
      </c>
      <c r="E337" s="161" t="s">
        <v>28</v>
      </c>
      <c r="F337" s="161" t="s">
        <v>76</v>
      </c>
      <c r="G337" s="161" t="s">
        <v>77</v>
      </c>
      <c r="H337" s="161" t="s">
        <v>28</v>
      </c>
      <c r="I337" s="161" t="s">
        <v>76</v>
      </c>
      <c r="J337" s="161" t="s">
        <v>77</v>
      </c>
      <c r="K337" s="161" t="s">
        <v>28</v>
      </c>
      <c r="L337" s="161" t="s">
        <v>76</v>
      </c>
      <c r="M337" s="161" t="s">
        <v>77</v>
      </c>
      <c r="N337" s="161" t="s">
        <v>28</v>
      </c>
      <c r="O337" s="244" t="s">
        <v>76</v>
      </c>
      <c r="P337" s="244" t="s">
        <v>77</v>
      </c>
      <c r="Q337" s="244" t="s">
        <v>28</v>
      </c>
    </row>
    <row r="338" spans="2:17" x14ac:dyDescent="0.25">
      <c r="B338" s="157" t="s">
        <v>273</v>
      </c>
      <c r="C338" s="276"/>
      <c r="D338" s="276">
        <v>1</v>
      </c>
      <c r="E338" s="276">
        <v>1</v>
      </c>
      <c r="F338" s="281">
        <v>4</v>
      </c>
      <c r="G338" s="277">
        <v>4</v>
      </c>
      <c r="H338" s="253">
        <v>8</v>
      </c>
      <c r="I338" s="277">
        <v>1</v>
      </c>
      <c r="J338" s="253">
        <v>1</v>
      </c>
      <c r="K338" s="277">
        <v>2</v>
      </c>
      <c r="L338" s="253"/>
      <c r="M338" s="277"/>
      <c r="N338" s="253"/>
      <c r="O338" s="269">
        <v>5</v>
      </c>
      <c r="P338" s="269">
        <v>6</v>
      </c>
      <c r="Q338" s="269">
        <v>11</v>
      </c>
    </row>
    <row r="339" spans="2:17" x14ac:dyDescent="0.25">
      <c r="B339" s="136" t="s">
        <v>274</v>
      </c>
      <c r="C339" s="276"/>
      <c r="D339" s="276"/>
      <c r="E339" s="276"/>
      <c r="F339" s="281">
        <v>2</v>
      </c>
      <c r="G339" s="277">
        <v>4</v>
      </c>
      <c r="H339" s="253">
        <v>6</v>
      </c>
      <c r="I339" s="277"/>
      <c r="J339" s="253"/>
      <c r="K339" s="277"/>
      <c r="L339" s="253"/>
      <c r="M339" s="277">
        <v>1</v>
      </c>
      <c r="N339" s="253">
        <v>1</v>
      </c>
      <c r="O339" s="269">
        <v>2</v>
      </c>
      <c r="P339" s="269">
        <v>5</v>
      </c>
      <c r="Q339" s="269">
        <v>7</v>
      </c>
    </row>
    <row r="340" spans="2:17" x14ac:dyDescent="0.25">
      <c r="B340" s="136" t="s">
        <v>275</v>
      </c>
      <c r="C340" s="276"/>
      <c r="D340" s="276"/>
      <c r="E340" s="276"/>
      <c r="F340" s="281">
        <v>30</v>
      </c>
      <c r="G340" s="277">
        <v>44</v>
      </c>
      <c r="H340" s="253">
        <v>74</v>
      </c>
      <c r="I340" s="277"/>
      <c r="J340" s="253"/>
      <c r="K340" s="277"/>
      <c r="L340" s="253">
        <v>2</v>
      </c>
      <c r="M340" s="277">
        <v>3</v>
      </c>
      <c r="N340" s="253">
        <v>5</v>
      </c>
      <c r="O340" s="269">
        <v>32</v>
      </c>
      <c r="P340" s="269">
        <v>47</v>
      </c>
      <c r="Q340" s="269">
        <v>79</v>
      </c>
    </row>
    <row r="341" spans="2:17" x14ac:dyDescent="0.25">
      <c r="B341" s="136" t="s">
        <v>276</v>
      </c>
      <c r="C341" s="276">
        <v>6</v>
      </c>
      <c r="D341" s="276">
        <v>5</v>
      </c>
      <c r="E341" s="276">
        <v>11</v>
      </c>
      <c r="F341" s="281">
        <v>34</v>
      </c>
      <c r="G341" s="277">
        <v>28</v>
      </c>
      <c r="H341" s="253">
        <v>62</v>
      </c>
      <c r="I341" s="277"/>
      <c r="J341" s="253"/>
      <c r="K341" s="277"/>
      <c r="L341" s="253">
        <v>1</v>
      </c>
      <c r="M341" s="277">
        <v>4</v>
      </c>
      <c r="N341" s="253">
        <v>5</v>
      </c>
      <c r="O341" s="269">
        <v>41</v>
      </c>
      <c r="P341" s="269">
        <v>37</v>
      </c>
      <c r="Q341" s="269">
        <v>78</v>
      </c>
    </row>
    <row r="342" spans="2:17" x14ac:dyDescent="0.25">
      <c r="B342" s="136" t="s">
        <v>500</v>
      </c>
      <c r="C342" s="276">
        <v>1</v>
      </c>
      <c r="D342" s="276"/>
      <c r="E342" s="276">
        <v>1</v>
      </c>
      <c r="F342" s="281">
        <v>37</v>
      </c>
      <c r="G342" s="277">
        <v>33</v>
      </c>
      <c r="H342" s="253">
        <v>70</v>
      </c>
      <c r="I342" s="277"/>
      <c r="J342" s="253">
        <v>1</v>
      </c>
      <c r="K342" s="277">
        <v>1</v>
      </c>
      <c r="L342" s="253"/>
      <c r="M342" s="277">
        <v>3</v>
      </c>
      <c r="N342" s="253">
        <v>3</v>
      </c>
      <c r="O342" s="269">
        <v>38</v>
      </c>
      <c r="P342" s="269">
        <v>37</v>
      </c>
      <c r="Q342" s="269">
        <v>75</v>
      </c>
    </row>
    <row r="343" spans="2:17" x14ac:dyDescent="0.25">
      <c r="B343" s="136" t="s">
        <v>277</v>
      </c>
      <c r="C343" s="276">
        <v>23</v>
      </c>
      <c r="D343" s="276">
        <v>7</v>
      </c>
      <c r="E343" s="276">
        <v>30</v>
      </c>
      <c r="F343" s="281">
        <v>92</v>
      </c>
      <c r="G343" s="277">
        <v>72</v>
      </c>
      <c r="H343" s="253">
        <v>164</v>
      </c>
      <c r="I343" s="277">
        <v>1</v>
      </c>
      <c r="J343" s="253"/>
      <c r="K343" s="277">
        <v>1</v>
      </c>
      <c r="L343" s="253">
        <v>4</v>
      </c>
      <c r="M343" s="277">
        <v>10</v>
      </c>
      <c r="N343" s="253">
        <v>14</v>
      </c>
      <c r="O343" s="269">
        <v>120</v>
      </c>
      <c r="P343" s="269">
        <v>89</v>
      </c>
      <c r="Q343" s="269">
        <v>209</v>
      </c>
    </row>
    <row r="344" spans="2:17" x14ac:dyDescent="0.25">
      <c r="B344" s="136" t="s">
        <v>278</v>
      </c>
      <c r="C344" s="276">
        <v>38</v>
      </c>
      <c r="D344" s="276">
        <v>12</v>
      </c>
      <c r="E344" s="276">
        <v>50</v>
      </c>
      <c r="F344" s="281">
        <v>328</v>
      </c>
      <c r="G344" s="277">
        <v>236</v>
      </c>
      <c r="H344" s="253">
        <v>564</v>
      </c>
      <c r="I344" s="277">
        <v>2</v>
      </c>
      <c r="J344" s="253">
        <v>4</v>
      </c>
      <c r="K344" s="277">
        <v>6</v>
      </c>
      <c r="L344" s="253">
        <v>8</v>
      </c>
      <c r="M344" s="277">
        <v>16</v>
      </c>
      <c r="N344" s="253">
        <v>24</v>
      </c>
      <c r="O344" s="269">
        <v>376</v>
      </c>
      <c r="P344" s="269">
        <v>268</v>
      </c>
      <c r="Q344" s="269">
        <v>644</v>
      </c>
    </row>
    <row r="345" spans="2:17" x14ac:dyDescent="0.25">
      <c r="B345" s="136" t="s">
        <v>279</v>
      </c>
      <c r="C345" s="276"/>
      <c r="D345" s="276"/>
      <c r="E345" s="276"/>
      <c r="F345" s="281">
        <v>8</v>
      </c>
      <c r="G345" s="277">
        <v>4</v>
      </c>
      <c r="H345" s="253">
        <v>12</v>
      </c>
      <c r="I345" s="277"/>
      <c r="J345" s="253">
        <v>1</v>
      </c>
      <c r="K345" s="277">
        <v>1</v>
      </c>
      <c r="L345" s="253"/>
      <c r="M345" s="277">
        <v>1</v>
      </c>
      <c r="N345" s="253">
        <v>1</v>
      </c>
      <c r="O345" s="269">
        <v>8</v>
      </c>
      <c r="P345" s="269">
        <v>6</v>
      </c>
      <c r="Q345" s="269">
        <v>14</v>
      </c>
    </row>
    <row r="346" spans="2:17" x14ac:dyDescent="0.25">
      <c r="B346" s="136" t="s">
        <v>280</v>
      </c>
      <c r="C346" s="276">
        <v>7</v>
      </c>
      <c r="D346" s="276">
        <v>1</v>
      </c>
      <c r="E346" s="276">
        <v>8</v>
      </c>
      <c r="F346" s="281">
        <v>131</v>
      </c>
      <c r="G346" s="277">
        <v>121</v>
      </c>
      <c r="H346" s="253">
        <v>252</v>
      </c>
      <c r="I346" s="277">
        <v>2</v>
      </c>
      <c r="J346" s="253">
        <v>1</v>
      </c>
      <c r="K346" s="277">
        <v>3</v>
      </c>
      <c r="L346" s="253">
        <v>3</v>
      </c>
      <c r="M346" s="277">
        <v>8</v>
      </c>
      <c r="N346" s="253">
        <v>11</v>
      </c>
      <c r="O346" s="269">
        <v>143</v>
      </c>
      <c r="P346" s="269">
        <v>131</v>
      </c>
      <c r="Q346" s="269">
        <v>274</v>
      </c>
    </row>
    <row r="347" spans="2:17" x14ac:dyDescent="0.25">
      <c r="B347" s="136" t="s">
        <v>281</v>
      </c>
      <c r="C347" s="276">
        <v>4</v>
      </c>
      <c r="D347" s="276"/>
      <c r="E347" s="276">
        <v>4</v>
      </c>
      <c r="F347" s="281">
        <v>54</v>
      </c>
      <c r="G347" s="277">
        <v>33</v>
      </c>
      <c r="H347" s="253">
        <v>87</v>
      </c>
      <c r="I347" s="277">
        <v>1</v>
      </c>
      <c r="J347" s="253">
        <v>2</v>
      </c>
      <c r="K347" s="277">
        <v>3</v>
      </c>
      <c r="L347" s="253">
        <v>2</v>
      </c>
      <c r="M347" s="277">
        <v>6</v>
      </c>
      <c r="N347" s="253">
        <v>8</v>
      </c>
      <c r="O347" s="269">
        <v>61</v>
      </c>
      <c r="P347" s="269">
        <v>41</v>
      </c>
      <c r="Q347" s="269">
        <v>102</v>
      </c>
    </row>
    <row r="348" spans="2:17" x14ac:dyDescent="0.25">
      <c r="B348" s="136" t="s">
        <v>282</v>
      </c>
      <c r="C348" s="276">
        <v>1</v>
      </c>
      <c r="D348" s="276">
        <v>4</v>
      </c>
      <c r="E348" s="276">
        <v>5</v>
      </c>
      <c r="F348" s="281">
        <v>10</v>
      </c>
      <c r="G348" s="277">
        <v>20</v>
      </c>
      <c r="H348" s="253">
        <v>30</v>
      </c>
      <c r="I348" s="277"/>
      <c r="J348" s="253"/>
      <c r="K348" s="277"/>
      <c r="L348" s="253">
        <v>1</v>
      </c>
      <c r="M348" s="277">
        <v>2</v>
      </c>
      <c r="N348" s="253">
        <v>3</v>
      </c>
      <c r="O348" s="269">
        <v>12</v>
      </c>
      <c r="P348" s="269">
        <v>26</v>
      </c>
      <c r="Q348" s="269">
        <v>38</v>
      </c>
    </row>
    <row r="349" spans="2:17" x14ac:dyDescent="0.25">
      <c r="B349" s="136" t="s">
        <v>283</v>
      </c>
      <c r="C349" s="276">
        <v>27</v>
      </c>
      <c r="D349" s="276">
        <v>1</v>
      </c>
      <c r="E349" s="276">
        <v>28</v>
      </c>
      <c r="F349" s="281">
        <v>108</v>
      </c>
      <c r="G349" s="277">
        <v>81</v>
      </c>
      <c r="H349" s="253">
        <v>189</v>
      </c>
      <c r="I349" s="277">
        <v>1</v>
      </c>
      <c r="J349" s="253"/>
      <c r="K349" s="277">
        <v>1</v>
      </c>
      <c r="L349" s="253">
        <v>3</v>
      </c>
      <c r="M349" s="277">
        <v>3</v>
      </c>
      <c r="N349" s="253">
        <v>6</v>
      </c>
      <c r="O349" s="269">
        <v>139</v>
      </c>
      <c r="P349" s="269">
        <v>85</v>
      </c>
      <c r="Q349" s="269">
        <v>224</v>
      </c>
    </row>
    <row r="350" spans="2:17" x14ac:dyDescent="0.25">
      <c r="B350" s="136" t="s">
        <v>284</v>
      </c>
      <c r="C350" s="276">
        <v>4</v>
      </c>
      <c r="D350" s="276">
        <v>4</v>
      </c>
      <c r="E350" s="276">
        <v>8</v>
      </c>
      <c r="F350" s="281">
        <v>22</v>
      </c>
      <c r="G350" s="277">
        <v>30</v>
      </c>
      <c r="H350" s="253">
        <v>52</v>
      </c>
      <c r="I350" s="277">
        <v>1</v>
      </c>
      <c r="J350" s="253"/>
      <c r="K350" s="277">
        <v>1</v>
      </c>
      <c r="L350" s="253"/>
      <c r="M350" s="277">
        <v>1</v>
      </c>
      <c r="N350" s="253">
        <v>1</v>
      </c>
      <c r="O350" s="269">
        <v>27</v>
      </c>
      <c r="P350" s="269">
        <v>35</v>
      </c>
      <c r="Q350" s="269">
        <v>62</v>
      </c>
    </row>
    <row r="351" spans="2:17" x14ac:dyDescent="0.25">
      <c r="B351" s="136" t="s">
        <v>285</v>
      </c>
      <c r="C351" s="276">
        <v>6</v>
      </c>
      <c r="D351" s="276">
        <v>4</v>
      </c>
      <c r="E351" s="276">
        <v>10</v>
      </c>
      <c r="F351" s="281">
        <v>24</v>
      </c>
      <c r="G351" s="277">
        <v>26</v>
      </c>
      <c r="H351" s="253">
        <v>50</v>
      </c>
      <c r="I351" s="277">
        <v>2</v>
      </c>
      <c r="J351" s="253"/>
      <c r="K351" s="277">
        <v>2</v>
      </c>
      <c r="L351" s="253">
        <v>2</v>
      </c>
      <c r="M351" s="277">
        <v>1</v>
      </c>
      <c r="N351" s="253">
        <v>3</v>
      </c>
      <c r="O351" s="269">
        <v>34</v>
      </c>
      <c r="P351" s="269">
        <v>31</v>
      </c>
      <c r="Q351" s="269">
        <v>65</v>
      </c>
    </row>
    <row r="352" spans="2:17" x14ac:dyDescent="0.25">
      <c r="B352" s="136" t="s">
        <v>286</v>
      </c>
      <c r="C352" s="276">
        <v>3</v>
      </c>
      <c r="D352" s="276"/>
      <c r="E352" s="276">
        <v>3</v>
      </c>
      <c r="F352" s="281">
        <v>23</v>
      </c>
      <c r="G352" s="277">
        <v>19</v>
      </c>
      <c r="H352" s="253">
        <v>42</v>
      </c>
      <c r="I352" s="277"/>
      <c r="J352" s="253">
        <v>1</v>
      </c>
      <c r="K352" s="277">
        <v>1</v>
      </c>
      <c r="L352" s="253"/>
      <c r="M352" s="277"/>
      <c r="N352" s="253"/>
      <c r="O352" s="269">
        <v>26</v>
      </c>
      <c r="P352" s="269">
        <v>20</v>
      </c>
      <c r="Q352" s="269">
        <v>46</v>
      </c>
    </row>
    <row r="353" spans="2:17" x14ac:dyDescent="0.25">
      <c r="B353" s="136" t="s">
        <v>287</v>
      </c>
      <c r="C353" s="276"/>
      <c r="D353" s="276">
        <v>1</v>
      </c>
      <c r="E353" s="276">
        <v>1</v>
      </c>
      <c r="F353" s="281">
        <v>16</v>
      </c>
      <c r="G353" s="277">
        <v>24</v>
      </c>
      <c r="H353" s="253">
        <v>40</v>
      </c>
      <c r="I353" s="277">
        <v>1</v>
      </c>
      <c r="J353" s="253"/>
      <c r="K353" s="277">
        <v>1</v>
      </c>
      <c r="L353" s="253"/>
      <c r="M353" s="277">
        <v>3</v>
      </c>
      <c r="N353" s="253">
        <v>3</v>
      </c>
      <c r="O353" s="269">
        <v>17</v>
      </c>
      <c r="P353" s="269">
        <v>28</v>
      </c>
      <c r="Q353" s="269">
        <v>45</v>
      </c>
    </row>
    <row r="354" spans="2:17" x14ac:dyDescent="0.25">
      <c r="B354" s="136" t="s">
        <v>288</v>
      </c>
      <c r="C354" s="276">
        <v>44</v>
      </c>
      <c r="D354" s="276">
        <v>18</v>
      </c>
      <c r="E354" s="276">
        <v>62</v>
      </c>
      <c r="F354" s="281">
        <v>264</v>
      </c>
      <c r="G354" s="277">
        <v>209</v>
      </c>
      <c r="H354" s="253">
        <v>473</v>
      </c>
      <c r="I354" s="277">
        <v>11</v>
      </c>
      <c r="J354" s="253">
        <v>7</v>
      </c>
      <c r="K354" s="277">
        <v>18</v>
      </c>
      <c r="L354" s="253">
        <v>14</v>
      </c>
      <c r="M354" s="277">
        <v>22</v>
      </c>
      <c r="N354" s="253">
        <v>36</v>
      </c>
      <c r="O354" s="269">
        <v>333</v>
      </c>
      <c r="P354" s="269">
        <v>256</v>
      </c>
      <c r="Q354" s="269">
        <v>589</v>
      </c>
    </row>
    <row r="355" spans="2:17" x14ac:dyDescent="0.25">
      <c r="B355" s="136" t="s">
        <v>289</v>
      </c>
      <c r="C355" s="276">
        <v>4</v>
      </c>
      <c r="D355" s="276"/>
      <c r="E355" s="276">
        <v>4</v>
      </c>
      <c r="F355" s="281">
        <v>56</v>
      </c>
      <c r="G355" s="277">
        <v>54</v>
      </c>
      <c r="H355" s="253">
        <v>110</v>
      </c>
      <c r="I355" s="277"/>
      <c r="J355" s="253">
        <v>1</v>
      </c>
      <c r="K355" s="277">
        <v>1</v>
      </c>
      <c r="L355" s="253">
        <v>1</v>
      </c>
      <c r="M355" s="277">
        <v>3</v>
      </c>
      <c r="N355" s="253">
        <v>4</v>
      </c>
      <c r="O355" s="269">
        <v>61</v>
      </c>
      <c r="P355" s="269">
        <v>58</v>
      </c>
      <c r="Q355" s="269">
        <v>119</v>
      </c>
    </row>
    <row r="356" spans="2:17" x14ac:dyDescent="0.25">
      <c r="B356" s="136" t="s">
        <v>290</v>
      </c>
      <c r="C356" s="276">
        <v>2</v>
      </c>
      <c r="D356" s="276">
        <v>5</v>
      </c>
      <c r="E356" s="276">
        <v>7</v>
      </c>
      <c r="F356" s="281">
        <v>35</v>
      </c>
      <c r="G356" s="277">
        <v>28</v>
      </c>
      <c r="H356" s="253">
        <v>63</v>
      </c>
      <c r="I356" s="277">
        <v>1</v>
      </c>
      <c r="J356" s="253">
        <v>2</v>
      </c>
      <c r="K356" s="277">
        <v>3</v>
      </c>
      <c r="L356" s="253">
        <v>2</v>
      </c>
      <c r="M356" s="277">
        <v>3</v>
      </c>
      <c r="N356" s="253">
        <v>5</v>
      </c>
      <c r="O356" s="269">
        <v>40</v>
      </c>
      <c r="P356" s="269">
        <v>38</v>
      </c>
      <c r="Q356" s="269">
        <v>78</v>
      </c>
    </row>
    <row r="357" spans="2:17" x14ac:dyDescent="0.25">
      <c r="B357" s="136" t="s">
        <v>291</v>
      </c>
      <c r="C357" s="276">
        <v>2</v>
      </c>
      <c r="D357" s="276"/>
      <c r="E357" s="276">
        <v>2</v>
      </c>
      <c r="F357" s="281">
        <v>19</v>
      </c>
      <c r="G357" s="277">
        <v>26</v>
      </c>
      <c r="H357" s="253">
        <v>45</v>
      </c>
      <c r="I357" s="277"/>
      <c r="J357" s="253">
        <v>2</v>
      </c>
      <c r="K357" s="277">
        <v>2</v>
      </c>
      <c r="L357" s="253">
        <v>2</v>
      </c>
      <c r="M357" s="277">
        <v>1</v>
      </c>
      <c r="N357" s="253">
        <v>3</v>
      </c>
      <c r="O357" s="269">
        <v>23</v>
      </c>
      <c r="P357" s="269">
        <v>29</v>
      </c>
      <c r="Q357" s="269">
        <v>52</v>
      </c>
    </row>
    <row r="358" spans="2:17" x14ac:dyDescent="0.25">
      <c r="B358" s="136" t="s">
        <v>292</v>
      </c>
      <c r="C358" s="276">
        <v>1</v>
      </c>
      <c r="D358" s="276"/>
      <c r="E358" s="276">
        <v>1</v>
      </c>
      <c r="F358" s="281">
        <v>14</v>
      </c>
      <c r="G358" s="277">
        <v>12</v>
      </c>
      <c r="H358" s="253">
        <v>26</v>
      </c>
      <c r="I358" s="277">
        <v>1</v>
      </c>
      <c r="J358" s="253"/>
      <c r="K358" s="277">
        <v>1</v>
      </c>
      <c r="L358" s="253">
        <v>2</v>
      </c>
      <c r="M358" s="277">
        <v>2</v>
      </c>
      <c r="N358" s="253">
        <v>4</v>
      </c>
      <c r="O358" s="269">
        <v>18</v>
      </c>
      <c r="P358" s="269">
        <v>14</v>
      </c>
      <c r="Q358" s="269">
        <v>32</v>
      </c>
    </row>
    <row r="359" spans="2:17" x14ac:dyDescent="0.25">
      <c r="B359" s="136" t="s">
        <v>293</v>
      </c>
      <c r="C359" s="276">
        <v>13</v>
      </c>
      <c r="D359" s="276">
        <v>5</v>
      </c>
      <c r="E359" s="276">
        <v>18</v>
      </c>
      <c r="F359" s="281">
        <v>57</v>
      </c>
      <c r="G359" s="277">
        <v>57</v>
      </c>
      <c r="H359" s="253">
        <v>114</v>
      </c>
      <c r="I359" s="277">
        <v>2</v>
      </c>
      <c r="J359" s="253"/>
      <c r="K359" s="277">
        <v>2</v>
      </c>
      <c r="L359" s="253">
        <v>1</v>
      </c>
      <c r="M359" s="277">
        <v>2</v>
      </c>
      <c r="N359" s="253">
        <v>3</v>
      </c>
      <c r="O359" s="269">
        <v>73</v>
      </c>
      <c r="P359" s="269">
        <v>64</v>
      </c>
      <c r="Q359" s="269">
        <v>137</v>
      </c>
    </row>
    <row r="360" spans="2:17" x14ac:dyDescent="0.25">
      <c r="B360" s="136" t="s">
        <v>294</v>
      </c>
      <c r="C360" s="276">
        <v>3</v>
      </c>
      <c r="D360" s="276"/>
      <c r="E360" s="276">
        <v>3</v>
      </c>
      <c r="F360" s="281">
        <v>5</v>
      </c>
      <c r="G360" s="277">
        <v>9</v>
      </c>
      <c r="H360" s="253">
        <v>14</v>
      </c>
      <c r="I360" s="277"/>
      <c r="J360" s="253"/>
      <c r="K360" s="277"/>
      <c r="L360" s="253"/>
      <c r="M360" s="277"/>
      <c r="N360" s="253"/>
      <c r="O360" s="269">
        <v>8</v>
      </c>
      <c r="P360" s="269">
        <v>9</v>
      </c>
      <c r="Q360" s="269">
        <v>17</v>
      </c>
    </row>
    <row r="361" spans="2:17" x14ac:dyDescent="0.25">
      <c r="B361" s="136" t="s">
        <v>295</v>
      </c>
      <c r="C361" s="276">
        <v>3</v>
      </c>
      <c r="D361" s="276">
        <v>2</v>
      </c>
      <c r="E361" s="276">
        <v>5</v>
      </c>
      <c r="F361" s="281">
        <v>14</v>
      </c>
      <c r="G361" s="277">
        <v>10</v>
      </c>
      <c r="H361" s="253">
        <v>24</v>
      </c>
      <c r="I361" s="277"/>
      <c r="J361" s="253"/>
      <c r="K361" s="277"/>
      <c r="L361" s="253">
        <v>1</v>
      </c>
      <c r="M361" s="277"/>
      <c r="N361" s="253">
        <v>1</v>
      </c>
      <c r="O361" s="269">
        <v>18</v>
      </c>
      <c r="P361" s="269">
        <v>12</v>
      </c>
      <c r="Q361" s="269">
        <v>30</v>
      </c>
    </row>
    <row r="362" spans="2:17" x14ac:dyDescent="0.25">
      <c r="B362" s="136" t="s">
        <v>296</v>
      </c>
      <c r="C362" s="276">
        <v>23</v>
      </c>
      <c r="D362" s="276">
        <v>13</v>
      </c>
      <c r="E362" s="276">
        <v>36</v>
      </c>
      <c r="F362" s="281">
        <v>141</v>
      </c>
      <c r="G362" s="277">
        <v>104</v>
      </c>
      <c r="H362" s="253">
        <v>245</v>
      </c>
      <c r="I362" s="277">
        <v>1</v>
      </c>
      <c r="J362" s="253">
        <v>1</v>
      </c>
      <c r="K362" s="277">
        <v>2</v>
      </c>
      <c r="L362" s="253">
        <v>4</v>
      </c>
      <c r="M362" s="277">
        <v>4</v>
      </c>
      <c r="N362" s="253">
        <v>8</v>
      </c>
      <c r="O362" s="269">
        <v>169</v>
      </c>
      <c r="P362" s="269">
        <v>122</v>
      </c>
      <c r="Q362" s="269">
        <v>291</v>
      </c>
    </row>
    <row r="363" spans="2:17" x14ac:dyDescent="0.25">
      <c r="B363" s="136" t="s">
        <v>297</v>
      </c>
      <c r="C363" s="276"/>
      <c r="D363" s="276"/>
      <c r="E363" s="276"/>
      <c r="F363" s="281">
        <v>6</v>
      </c>
      <c r="G363" s="277">
        <v>7</v>
      </c>
      <c r="H363" s="253">
        <v>13</v>
      </c>
      <c r="I363" s="277"/>
      <c r="J363" s="253">
        <v>1</v>
      </c>
      <c r="K363" s="277">
        <v>1</v>
      </c>
      <c r="L363" s="253"/>
      <c r="M363" s="277">
        <v>1</v>
      </c>
      <c r="N363" s="253">
        <v>1</v>
      </c>
      <c r="O363" s="269">
        <v>6</v>
      </c>
      <c r="P363" s="269">
        <v>9</v>
      </c>
      <c r="Q363" s="269">
        <v>15</v>
      </c>
    </row>
    <row r="364" spans="2:17" x14ac:dyDescent="0.25">
      <c r="B364" s="136" t="s">
        <v>298</v>
      </c>
      <c r="C364" s="276">
        <v>1</v>
      </c>
      <c r="D364" s="276"/>
      <c r="E364" s="276">
        <v>1</v>
      </c>
      <c r="F364" s="281">
        <v>21</v>
      </c>
      <c r="G364" s="277">
        <v>14</v>
      </c>
      <c r="H364" s="253">
        <v>35</v>
      </c>
      <c r="I364" s="277"/>
      <c r="J364" s="253">
        <v>1</v>
      </c>
      <c r="K364" s="277">
        <v>1</v>
      </c>
      <c r="L364" s="253">
        <v>2</v>
      </c>
      <c r="M364" s="277"/>
      <c r="N364" s="253">
        <v>2</v>
      </c>
      <c r="O364" s="269">
        <v>24</v>
      </c>
      <c r="P364" s="269">
        <v>15</v>
      </c>
      <c r="Q364" s="269">
        <v>39</v>
      </c>
    </row>
    <row r="365" spans="2:17" x14ac:dyDescent="0.25">
      <c r="B365" s="136" t="s">
        <v>299</v>
      </c>
      <c r="C365" s="276">
        <v>1</v>
      </c>
      <c r="D365" s="276">
        <v>5</v>
      </c>
      <c r="E365" s="276">
        <v>6</v>
      </c>
      <c r="F365" s="281">
        <v>18</v>
      </c>
      <c r="G365" s="277">
        <v>11</v>
      </c>
      <c r="H365" s="253">
        <v>29</v>
      </c>
      <c r="I365" s="277"/>
      <c r="J365" s="253"/>
      <c r="K365" s="277"/>
      <c r="L365" s="253"/>
      <c r="M365" s="277">
        <v>2</v>
      </c>
      <c r="N365" s="253">
        <v>2</v>
      </c>
      <c r="O365" s="269">
        <v>19</v>
      </c>
      <c r="P365" s="269">
        <v>18</v>
      </c>
      <c r="Q365" s="269">
        <v>37</v>
      </c>
    </row>
    <row r="366" spans="2:17" x14ac:dyDescent="0.25">
      <c r="B366" s="136" t="s">
        <v>300</v>
      </c>
      <c r="C366" s="276">
        <v>19</v>
      </c>
      <c r="D366" s="276">
        <v>2</v>
      </c>
      <c r="E366" s="276">
        <v>21</v>
      </c>
      <c r="F366" s="281">
        <v>217</v>
      </c>
      <c r="G366" s="277">
        <v>186</v>
      </c>
      <c r="H366" s="253">
        <v>403</v>
      </c>
      <c r="I366" s="277"/>
      <c r="J366" s="253"/>
      <c r="K366" s="277"/>
      <c r="L366" s="253">
        <v>5</v>
      </c>
      <c r="M366" s="277">
        <v>13</v>
      </c>
      <c r="N366" s="253">
        <v>18</v>
      </c>
      <c r="O366" s="269">
        <v>241</v>
      </c>
      <c r="P366" s="269">
        <v>201</v>
      </c>
      <c r="Q366" s="269">
        <v>442</v>
      </c>
    </row>
    <row r="367" spans="2:17" x14ac:dyDescent="0.25">
      <c r="B367" s="136" t="s">
        <v>301</v>
      </c>
      <c r="C367" s="276"/>
      <c r="D367" s="276"/>
      <c r="E367" s="276"/>
      <c r="F367" s="281">
        <v>4</v>
      </c>
      <c r="G367" s="277">
        <v>11</v>
      </c>
      <c r="H367" s="253">
        <v>15</v>
      </c>
      <c r="I367" s="277"/>
      <c r="J367" s="253"/>
      <c r="K367" s="277"/>
      <c r="L367" s="253">
        <v>1</v>
      </c>
      <c r="M367" s="277"/>
      <c r="N367" s="253">
        <v>1</v>
      </c>
      <c r="O367" s="269">
        <v>5</v>
      </c>
      <c r="P367" s="269">
        <v>11</v>
      </c>
      <c r="Q367" s="269">
        <v>16</v>
      </c>
    </row>
    <row r="368" spans="2:17" x14ac:dyDescent="0.25">
      <c r="B368" s="136" t="s">
        <v>302</v>
      </c>
      <c r="C368" s="276">
        <v>23</v>
      </c>
      <c r="D368" s="276">
        <v>2</v>
      </c>
      <c r="E368" s="276">
        <v>25</v>
      </c>
      <c r="F368" s="281">
        <v>86</v>
      </c>
      <c r="G368" s="277">
        <v>66</v>
      </c>
      <c r="H368" s="253">
        <v>152</v>
      </c>
      <c r="I368" s="277">
        <v>1</v>
      </c>
      <c r="J368" s="253">
        <v>2</v>
      </c>
      <c r="K368" s="277">
        <v>3</v>
      </c>
      <c r="L368" s="253">
        <v>2</v>
      </c>
      <c r="M368" s="277">
        <v>4</v>
      </c>
      <c r="N368" s="253">
        <v>6</v>
      </c>
      <c r="O368" s="269">
        <v>112</v>
      </c>
      <c r="P368" s="269">
        <v>74</v>
      </c>
      <c r="Q368" s="269">
        <v>186</v>
      </c>
    </row>
    <row r="369" spans="2:17" x14ac:dyDescent="0.25">
      <c r="B369" s="156" t="s">
        <v>303</v>
      </c>
      <c r="C369" s="279">
        <v>2</v>
      </c>
      <c r="D369" s="279">
        <v>3</v>
      </c>
      <c r="E369" s="279">
        <v>5</v>
      </c>
      <c r="F369" s="282">
        <v>23</v>
      </c>
      <c r="G369" s="277">
        <v>17</v>
      </c>
      <c r="H369" s="253">
        <v>40</v>
      </c>
      <c r="I369" s="277"/>
      <c r="J369" s="253"/>
      <c r="K369" s="277"/>
      <c r="L369" s="253">
        <v>2</v>
      </c>
      <c r="M369" s="277">
        <v>1</v>
      </c>
      <c r="N369" s="253">
        <v>3</v>
      </c>
      <c r="O369" s="269">
        <v>27</v>
      </c>
      <c r="P369" s="269">
        <v>21</v>
      </c>
      <c r="Q369" s="269">
        <v>48</v>
      </c>
    </row>
    <row r="370" spans="2:17" x14ac:dyDescent="0.25">
      <c r="B370" s="159" t="s">
        <v>304</v>
      </c>
      <c r="C370" s="277">
        <v>8</v>
      </c>
      <c r="D370" s="277">
        <v>8</v>
      </c>
      <c r="E370" s="277">
        <v>16</v>
      </c>
      <c r="F370" s="283">
        <v>30</v>
      </c>
      <c r="G370" s="277">
        <v>29</v>
      </c>
      <c r="H370" s="253">
        <v>59</v>
      </c>
      <c r="I370" s="277">
        <v>1</v>
      </c>
      <c r="J370" s="253"/>
      <c r="K370" s="277">
        <v>1</v>
      </c>
      <c r="L370" s="253"/>
      <c r="M370" s="277">
        <v>2</v>
      </c>
      <c r="N370" s="253">
        <v>2</v>
      </c>
      <c r="O370" s="269">
        <v>39</v>
      </c>
      <c r="P370" s="269">
        <v>39</v>
      </c>
      <c r="Q370" s="269">
        <v>78</v>
      </c>
    </row>
    <row r="371" spans="2:17" x14ac:dyDescent="0.25">
      <c r="B371" s="311" t="s">
        <v>28</v>
      </c>
      <c r="C371" s="271">
        <v>269</v>
      </c>
      <c r="D371" s="271">
        <v>103</v>
      </c>
      <c r="E371" s="271">
        <v>372</v>
      </c>
      <c r="F371" s="271">
        <v>1933</v>
      </c>
      <c r="G371" s="271">
        <v>1629</v>
      </c>
      <c r="H371" s="269">
        <v>3562</v>
      </c>
      <c r="I371" s="271">
        <v>30</v>
      </c>
      <c r="J371" s="269">
        <v>28</v>
      </c>
      <c r="K371" s="271">
        <v>58</v>
      </c>
      <c r="L371" s="269">
        <v>65</v>
      </c>
      <c r="M371" s="271">
        <v>122</v>
      </c>
      <c r="N371" s="269">
        <v>187</v>
      </c>
      <c r="O371" s="269">
        <v>2297</v>
      </c>
      <c r="P371" s="269">
        <v>1882</v>
      </c>
      <c r="Q371" s="269">
        <v>4179</v>
      </c>
    </row>
    <row r="372" spans="2:17" ht="126" customHeight="1" x14ac:dyDescent="0.25">
      <c r="B372" s="428" t="s">
        <v>866</v>
      </c>
      <c r="C372" s="428"/>
      <c r="D372" s="428"/>
      <c r="E372" s="428"/>
      <c r="F372" s="428"/>
      <c r="G372" s="428"/>
      <c r="H372" s="428"/>
      <c r="I372" s="428"/>
      <c r="J372" s="428"/>
      <c r="K372" s="428"/>
      <c r="L372" s="428"/>
      <c r="M372" s="428"/>
      <c r="N372" s="428"/>
      <c r="O372" s="428"/>
      <c r="P372" s="428"/>
      <c r="Q372" s="428"/>
    </row>
    <row r="373" spans="2:17" x14ac:dyDescent="0.25">
      <c r="B373" s="158"/>
      <c r="C373" s="158"/>
      <c r="D373" s="158"/>
      <c r="E373"/>
      <c r="F373"/>
      <c r="G373"/>
    </row>
    <row r="374" spans="2:17" x14ac:dyDescent="0.25">
      <c r="B374" s="187" t="s">
        <v>518</v>
      </c>
      <c r="C374"/>
      <c r="D374"/>
      <c r="E374"/>
      <c r="F374"/>
      <c r="G374"/>
    </row>
    <row r="375" spans="2:17" x14ac:dyDescent="0.25">
      <c r="B375" s="187"/>
      <c r="C375"/>
      <c r="D375"/>
      <c r="E375"/>
      <c r="F375"/>
      <c r="G375"/>
    </row>
    <row r="376" spans="2:17" ht="15" customHeight="1" x14ac:dyDescent="0.25">
      <c r="B376" s="430" t="s">
        <v>537</v>
      </c>
      <c r="C376" s="426" t="s">
        <v>481</v>
      </c>
      <c r="D376" s="426"/>
      <c r="E376" s="426"/>
      <c r="F376" s="426"/>
      <c r="G376" s="426"/>
      <c r="H376" s="426"/>
      <c r="I376" s="426"/>
      <c r="J376" s="426"/>
      <c r="K376" s="426"/>
      <c r="L376" s="426"/>
      <c r="M376" s="426"/>
      <c r="N376" s="426"/>
      <c r="O376" s="443" t="s">
        <v>697</v>
      </c>
      <c r="P376" s="444"/>
      <c r="Q376" s="445"/>
    </row>
    <row r="377" spans="2:17" ht="15" customHeight="1" x14ac:dyDescent="0.25">
      <c r="B377" s="431"/>
      <c r="C377" s="426" t="s">
        <v>658</v>
      </c>
      <c r="D377" s="426"/>
      <c r="E377" s="426"/>
      <c r="F377" s="426" t="s">
        <v>490</v>
      </c>
      <c r="G377" s="426"/>
      <c r="H377" s="426"/>
      <c r="I377" s="426" t="s">
        <v>4</v>
      </c>
      <c r="J377" s="426"/>
      <c r="K377" s="426"/>
      <c r="L377" s="426" t="s">
        <v>6</v>
      </c>
      <c r="M377" s="426"/>
      <c r="N377" s="426"/>
      <c r="O377" s="446"/>
      <c r="P377" s="447"/>
      <c r="Q377" s="448"/>
    </row>
    <row r="378" spans="2:17" x14ac:dyDescent="0.25">
      <c r="B378" s="432"/>
      <c r="C378" s="161" t="s">
        <v>76</v>
      </c>
      <c r="D378" s="161" t="s">
        <v>77</v>
      </c>
      <c r="E378" s="161" t="s">
        <v>28</v>
      </c>
      <c r="F378" s="161" t="s">
        <v>76</v>
      </c>
      <c r="G378" s="161" t="s">
        <v>77</v>
      </c>
      <c r="H378" s="161" t="s">
        <v>28</v>
      </c>
      <c r="I378" s="161" t="s">
        <v>76</v>
      </c>
      <c r="J378" s="161" t="s">
        <v>77</v>
      </c>
      <c r="K378" s="161" t="s">
        <v>28</v>
      </c>
      <c r="L378" s="161" t="s">
        <v>76</v>
      </c>
      <c r="M378" s="161" t="s">
        <v>77</v>
      </c>
      <c r="N378" s="161" t="s">
        <v>28</v>
      </c>
      <c r="O378" s="244" t="s">
        <v>76</v>
      </c>
      <c r="P378" s="244" t="s">
        <v>77</v>
      </c>
      <c r="Q378" s="244" t="s">
        <v>28</v>
      </c>
    </row>
    <row r="379" spans="2:17" x14ac:dyDescent="0.25">
      <c r="B379" s="236" t="s">
        <v>305</v>
      </c>
      <c r="C379" s="277">
        <v>12</v>
      </c>
      <c r="D379" s="277">
        <v>6</v>
      </c>
      <c r="E379" s="277">
        <v>18</v>
      </c>
      <c r="F379" s="277">
        <v>63</v>
      </c>
      <c r="G379" s="277">
        <v>56</v>
      </c>
      <c r="H379" s="253">
        <v>119</v>
      </c>
      <c r="I379" s="277"/>
      <c r="J379" s="253">
        <v>1</v>
      </c>
      <c r="K379" s="277">
        <v>1</v>
      </c>
      <c r="L379" s="253">
        <v>2</v>
      </c>
      <c r="M379" s="277"/>
      <c r="N379" s="253">
        <v>2</v>
      </c>
      <c r="O379" s="269">
        <v>77</v>
      </c>
      <c r="P379" s="269">
        <v>63</v>
      </c>
      <c r="Q379" s="269">
        <v>140</v>
      </c>
    </row>
    <row r="380" spans="2:17" x14ac:dyDescent="0.25">
      <c r="B380" s="237" t="s">
        <v>306</v>
      </c>
      <c r="C380" s="277"/>
      <c r="D380" s="277">
        <v>2</v>
      </c>
      <c r="E380" s="277">
        <v>2</v>
      </c>
      <c r="F380" s="277">
        <v>32</v>
      </c>
      <c r="G380" s="277">
        <v>26</v>
      </c>
      <c r="H380" s="253">
        <v>58</v>
      </c>
      <c r="I380" s="277"/>
      <c r="J380" s="253">
        <v>1</v>
      </c>
      <c r="K380" s="277">
        <v>1</v>
      </c>
      <c r="L380" s="253">
        <v>1</v>
      </c>
      <c r="M380" s="277">
        <v>3</v>
      </c>
      <c r="N380" s="253">
        <v>4</v>
      </c>
      <c r="O380" s="269">
        <v>33</v>
      </c>
      <c r="P380" s="269">
        <v>32</v>
      </c>
      <c r="Q380" s="269">
        <v>65</v>
      </c>
    </row>
    <row r="381" spans="2:17" x14ac:dyDescent="0.25">
      <c r="B381" s="237" t="s">
        <v>307</v>
      </c>
      <c r="C381" s="277">
        <v>2</v>
      </c>
      <c r="D381" s="277"/>
      <c r="E381" s="277">
        <v>2</v>
      </c>
      <c r="F381" s="277">
        <v>15</v>
      </c>
      <c r="G381" s="277">
        <v>16</v>
      </c>
      <c r="H381" s="253">
        <v>31</v>
      </c>
      <c r="I381" s="277"/>
      <c r="J381" s="253"/>
      <c r="K381" s="277"/>
      <c r="L381" s="253">
        <v>1</v>
      </c>
      <c r="M381" s="277">
        <v>1</v>
      </c>
      <c r="N381" s="253">
        <v>2</v>
      </c>
      <c r="O381" s="269">
        <v>18</v>
      </c>
      <c r="P381" s="269">
        <v>17</v>
      </c>
      <c r="Q381" s="269">
        <v>35</v>
      </c>
    </row>
    <row r="382" spans="2:17" x14ac:dyDescent="0.25">
      <c r="B382" s="237" t="s">
        <v>308</v>
      </c>
      <c r="C382" s="277">
        <v>5</v>
      </c>
      <c r="D382" s="277">
        <v>2</v>
      </c>
      <c r="E382" s="277">
        <v>7</v>
      </c>
      <c r="F382" s="277">
        <v>31</v>
      </c>
      <c r="G382" s="277">
        <v>35</v>
      </c>
      <c r="H382" s="253">
        <v>66</v>
      </c>
      <c r="I382" s="277"/>
      <c r="J382" s="253"/>
      <c r="K382" s="277"/>
      <c r="L382" s="253">
        <v>1</v>
      </c>
      <c r="M382" s="277">
        <v>2</v>
      </c>
      <c r="N382" s="253">
        <v>3</v>
      </c>
      <c r="O382" s="269">
        <v>37</v>
      </c>
      <c r="P382" s="269">
        <v>39</v>
      </c>
      <c r="Q382" s="269">
        <v>76</v>
      </c>
    </row>
    <row r="383" spans="2:17" x14ac:dyDescent="0.25">
      <c r="B383" s="237" t="s">
        <v>309</v>
      </c>
      <c r="C383" s="277">
        <v>2</v>
      </c>
      <c r="D383" s="277"/>
      <c r="E383" s="277">
        <v>2</v>
      </c>
      <c r="F383" s="277">
        <v>21</v>
      </c>
      <c r="G383" s="277">
        <v>26</v>
      </c>
      <c r="H383" s="253">
        <v>47</v>
      </c>
      <c r="I383" s="277"/>
      <c r="J383" s="253"/>
      <c r="K383" s="277"/>
      <c r="L383" s="253"/>
      <c r="M383" s="277">
        <v>1</v>
      </c>
      <c r="N383" s="253">
        <v>1</v>
      </c>
      <c r="O383" s="269">
        <v>23</v>
      </c>
      <c r="P383" s="269">
        <v>27</v>
      </c>
      <c r="Q383" s="269">
        <v>50</v>
      </c>
    </row>
    <row r="384" spans="2:17" x14ac:dyDescent="0.25">
      <c r="B384" s="237" t="s">
        <v>310</v>
      </c>
      <c r="C384" s="277">
        <v>2</v>
      </c>
      <c r="D384" s="277"/>
      <c r="E384" s="277">
        <v>2</v>
      </c>
      <c r="F384" s="277">
        <v>27</v>
      </c>
      <c r="G384" s="277">
        <v>28</v>
      </c>
      <c r="H384" s="253">
        <v>55</v>
      </c>
      <c r="I384" s="277"/>
      <c r="J384" s="253">
        <v>1</v>
      </c>
      <c r="K384" s="277">
        <v>1</v>
      </c>
      <c r="L384" s="253">
        <v>1</v>
      </c>
      <c r="M384" s="277">
        <v>3</v>
      </c>
      <c r="N384" s="253">
        <v>4</v>
      </c>
      <c r="O384" s="269">
        <v>30</v>
      </c>
      <c r="P384" s="269">
        <v>32</v>
      </c>
      <c r="Q384" s="269">
        <v>62</v>
      </c>
    </row>
    <row r="385" spans="2:17" x14ac:dyDescent="0.25">
      <c r="B385" s="237" t="s">
        <v>311</v>
      </c>
      <c r="C385" s="277"/>
      <c r="D385" s="277"/>
      <c r="E385" s="277"/>
      <c r="F385" s="277">
        <v>5</v>
      </c>
      <c r="G385" s="277">
        <v>9</v>
      </c>
      <c r="H385" s="253">
        <v>14</v>
      </c>
      <c r="I385" s="277"/>
      <c r="J385" s="253"/>
      <c r="K385" s="277"/>
      <c r="L385" s="253"/>
      <c r="M385" s="277">
        <v>1</v>
      </c>
      <c r="N385" s="253">
        <v>1</v>
      </c>
      <c r="O385" s="269">
        <v>5</v>
      </c>
      <c r="P385" s="269">
        <v>10</v>
      </c>
      <c r="Q385" s="269">
        <v>15</v>
      </c>
    </row>
    <row r="386" spans="2:17" x14ac:dyDescent="0.25">
      <c r="B386" s="237" t="s">
        <v>312</v>
      </c>
      <c r="C386" s="277">
        <v>1</v>
      </c>
      <c r="D386" s="277">
        <v>1</v>
      </c>
      <c r="E386" s="277">
        <v>2</v>
      </c>
      <c r="F386" s="277">
        <v>9</v>
      </c>
      <c r="G386" s="277">
        <v>9</v>
      </c>
      <c r="H386" s="253">
        <v>18</v>
      </c>
      <c r="I386" s="277"/>
      <c r="J386" s="253"/>
      <c r="K386" s="277"/>
      <c r="L386" s="253"/>
      <c r="M386" s="277">
        <v>2</v>
      </c>
      <c r="N386" s="253">
        <v>2</v>
      </c>
      <c r="O386" s="269">
        <v>10</v>
      </c>
      <c r="P386" s="269">
        <v>12</v>
      </c>
      <c r="Q386" s="269">
        <v>22</v>
      </c>
    </row>
    <row r="387" spans="2:17" x14ac:dyDescent="0.25">
      <c r="B387" s="237" t="s">
        <v>313</v>
      </c>
      <c r="C387" s="277">
        <v>3</v>
      </c>
      <c r="D387" s="277"/>
      <c r="E387" s="277">
        <v>3</v>
      </c>
      <c r="F387" s="277">
        <v>15</v>
      </c>
      <c r="G387" s="277">
        <v>31</v>
      </c>
      <c r="H387" s="253">
        <v>46</v>
      </c>
      <c r="I387" s="277"/>
      <c r="J387" s="253">
        <v>2</v>
      </c>
      <c r="K387" s="277">
        <v>2</v>
      </c>
      <c r="L387" s="253">
        <v>1</v>
      </c>
      <c r="M387" s="277">
        <v>2</v>
      </c>
      <c r="N387" s="253">
        <v>3</v>
      </c>
      <c r="O387" s="269">
        <v>19</v>
      </c>
      <c r="P387" s="269">
        <v>35</v>
      </c>
      <c r="Q387" s="269">
        <v>54</v>
      </c>
    </row>
    <row r="388" spans="2:17" x14ac:dyDescent="0.25">
      <c r="B388" s="237" t="s">
        <v>314</v>
      </c>
      <c r="C388" s="277">
        <v>2</v>
      </c>
      <c r="D388" s="277"/>
      <c r="E388" s="277">
        <v>2</v>
      </c>
      <c r="F388" s="277">
        <v>10</v>
      </c>
      <c r="G388" s="277">
        <v>13</v>
      </c>
      <c r="H388" s="253">
        <v>23</v>
      </c>
      <c r="I388" s="277"/>
      <c r="J388" s="253">
        <v>1</v>
      </c>
      <c r="K388" s="277">
        <v>1</v>
      </c>
      <c r="L388" s="253"/>
      <c r="M388" s="277">
        <v>2</v>
      </c>
      <c r="N388" s="253">
        <v>2</v>
      </c>
      <c r="O388" s="269">
        <v>12</v>
      </c>
      <c r="P388" s="269">
        <v>16</v>
      </c>
      <c r="Q388" s="269">
        <v>28</v>
      </c>
    </row>
    <row r="389" spans="2:17" x14ac:dyDescent="0.25">
      <c r="B389" s="237" t="s">
        <v>315</v>
      </c>
      <c r="C389" s="277">
        <v>4</v>
      </c>
      <c r="D389" s="277">
        <v>3</v>
      </c>
      <c r="E389" s="277">
        <v>7</v>
      </c>
      <c r="F389" s="277">
        <v>30</v>
      </c>
      <c r="G389" s="277">
        <v>21</v>
      </c>
      <c r="H389" s="253">
        <v>51</v>
      </c>
      <c r="I389" s="277">
        <v>1</v>
      </c>
      <c r="J389" s="253"/>
      <c r="K389" s="277">
        <v>1</v>
      </c>
      <c r="L389" s="253"/>
      <c r="M389" s="277">
        <v>1</v>
      </c>
      <c r="N389" s="253">
        <v>1</v>
      </c>
      <c r="O389" s="269">
        <v>35</v>
      </c>
      <c r="P389" s="269">
        <v>25</v>
      </c>
      <c r="Q389" s="269">
        <v>60</v>
      </c>
    </row>
    <row r="390" spans="2:17" x14ac:dyDescent="0.25">
      <c r="B390" s="237" t="s">
        <v>316</v>
      </c>
      <c r="C390" s="277">
        <v>5</v>
      </c>
      <c r="D390" s="277">
        <v>1</v>
      </c>
      <c r="E390" s="277">
        <v>6</v>
      </c>
      <c r="F390" s="277">
        <v>51</v>
      </c>
      <c r="G390" s="277">
        <v>37</v>
      </c>
      <c r="H390" s="253">
        <v>88</v>
      </c>
      <c r="I390" s="277">
        <v>2</v>
      </c>
      <c r="J390" s="253"/>
      <c r="K390" s="277">
        <v>2</v>
      </c>
      <c r="L390" s="253">
        <v>2</v>
      </c>
      <c r="M390" s="277">
        <v>1</v>
      </c>
      <c r="N390" s="253">
        <v>3</v>
      </c>
      <c r="O390" s="269">
        <v>60</v>
      </c>
      <c r="P390" s="269">
        <v>39</v>
      </c>
      <c r="Q390" s="269">
        <v>99</v>
      </c>
    </row>
    <row r="391" spans="2:17" x14ac:dyDescent="0.25">
      <c r="B391" s="237" t="s">
        <v>317</v>
      </c>
      <c r="C391" s="277">
        <v>3</v>
      </c>
      <c r="D391" s="277">
        <v>1</v>
      </c>
      <c r="E391" s="277">
        <v>4</v>
      </c>
      <c r="F391" s="277">
        <v>23</v>
      </c>
      <c r="G391" s="277">
        <v>44</v>
      </c>
      <c r="H391" s="253">
        <v>67</v>
      </c>
      <c r="I391" s="277"/>
      <c r="J391" s="253"/>
      <c r="K391" s="277"/>
      <c r="L391" s="253">
        <v>2</v>
      </c>
      <c r="M391" s="277">
        <v>3</v>
      </c>
      <c r="N391" s="253">
        <v>5</v>
      </c>
      <c r="O391" s="269">
        <v>28</v>
      </c>
      <c r="P391" s="269">
        <v>48</v>
      </c>
      <c r="Q391" s="269">
        <v>76</v>
      </c>
    </row>
    <row r="392" spans="2:17" x14ac:dyDescent="0.25">
      <c r="B392" s="237" t="s">
        <v>318</v>
      </c>
      <c r="C392" s="277">
        <v>2</v>
      </c>
      <c r="D392" s="277"/>
      <c r="E392" s="277">
        <v>2</v>
      </c>
      <c r="F392" s="277">
        <v>8</v>
      </c>
      <c r="G392" s="277">
        <v>13</v>
      </c>
      <c r="H392" s="253">
        <v>21</v>
      </c>
      <c r="I392" s="277"/>
      <c r="J392" s="253"/>
      <c r="K392" s="277"/>
      <c r="L392" s="253">
        <v>1</v>
      </c>
      <c r="M392" s="277"/>
      <c r="N392" s="253">
        <v>1</v>
      </c>
      <c r="O392" s="269">
        <v>11</v>
      </c>
      <c r="P392" s="269">
        <v>13</v>
      </c>
      <c r="Q392" s="269">
        <v>24</v>
      </c>
    </row>
    <row r="393" spans="2:17" x14ac:dyDescent="0.25">
      <c r="B393" s="237" t="s">
        <v>319</v>
      </c>
      <c r="C393" s="277"/>
      <c r="D393" s="277"/>
      <c r="E393" s="277"/>
      <c r="F393" s="277">
        <v>5</v>
      </c>
      <c r="G393" s="277">
        <v>11</v>
      </c>
      <c r="H393" s="253">
        <v>16</v>
      </c>
      <c r="I393" s="277"/>
      <c r="J393" s="253">
        <v>1</v>
      </c>
      <c r="K393" s="277">
        <v>1</v>
      </c>
      <c r="L393" s="253">
        <v>1</v>
      </c>
      <c r="M393" s="277"/>
      <c r="N393" s="253">
        <v>1</v>
      </c>
      <c r="O393" s="269">
        <v>6</v>
      </c>
      <c r="P393" s="269">
        <v>12</v>
      </c>
      <c r="Q393" s="269">
        <v>18</v>
      </c>
    </row>
    <row r="394" spans="2:17" x14ac:dyDescent="0.25">
      <c r="B394" s="237" t="s">
        <v>320</v>
      </c>
      <c r="C394" s="277"/>
      <c r="D394" s="277"/>
      <c r="E394" s="277"/>
      <c r="F394" s="277">
        <v>7</v>
      </c>
      <c r="G394" s="277">
        <v>8</v>
      </c>
      <c r="H394" s="253">
        <v>15</v>
      </c>
      <c r="I394" s="277">
        <v>1</v>
      </c>
      <c r="J394" s="253"/>
      <c r="K394" s="277">
        <v>1</v>
      </c>
      <c r="L394" s="253"/>
      <c r="M394" s="277"/>
      <c r="N394" s="253"/>
      <c r="O394" s="269">
        <v>8</v>
      </c>
      <c r="P394" s="269">
        <v>8</v>
      </c>
      <c r="Q394" s="269">
        <v>16</v>
      </c>
    </row>
    <row r="395" spans="2:17" x14ac:dyDescent="0.25">
      <c r="B395" s="237" t="s">
        <v>321</v>
      </c>
      <c r="C395" s="277"/>
      <c r="D395" s="277">
        <v>1</v>
      </c>
      <c r="E395" s="277">
        <v>1</v>
      </c>
      <c r="F395" s="277">
        <v>7</v>
      </c>
      <c r="G395" s="277">
        <v>6</v>
      </c>
      <c r="H395" s="253">
        <v>13</v>
      </c>
      <c r="I395" s="277"/>
      <c r="J395" s="253"/>
      <c r="K395" s="277"/>
      <c r="L395" s="253"/>
      <c r="M395" s="277"/>
      <c r="N395" s="253"/>
      <c r="O395" s="269">
        <v>7</v>
      </c>
      <c r="P395" s="269">
        <v>7</v>
      </c>
      <c r="Q395" s="269">
        <v>14</v>
      </c>
    </row>
    <row r="396" spans="2:17" x14ac:dyDescent="0.25">
      <c r="B396" s="237" t="s">
        <v>322</v>
      </c>
      <c r="C396" s="277">
        <v>1</v>
      </c>
      <c r="D396" s="277"/>
      <c r="E396" s="277">
        <v>1</v>
      </c>
      <c r="F396" s="277">
        <v>30</v>
      </c>
      <c r="G396" s="277">
        <v>54</v>
      </c>
      <c r="H396" s="253">
        <v>84</v>
      </c>
      <c r="I396" s="277">
        <v>2</v>
      </c>
      <c r="J396" s="253">
        <v>1</v>
      </c>
      <c r="K396" s="277">
        <v>3</v>
      </c>
      <c r="L396" s="253"/>
      <c r="M396" s="277">
        <v>2</v>
      </c>
      <c r="N396" s="253">
        <v>2</v>
      </c>
      <c r="O396" s="269">
        <v>33</v>
      </c>
      <c r="P396" s="269">
        <v>57</v>
      </c>
      <c r="Q396" s="269">
        <v>90</v>
      </c>
    </row>
    <row r="397" spans="2:17" x14ac:dyDescent="0.25">
      <c r="B397" s="237" t="s">
        <v>323</v>
      </c>
      <c r="C397" s="277">
        <v>4</v>
      </c>
      <c r="D397" s="277">
        <v>2</v>
      </c>
      <c r="E397" s="277">
        <v>6</v>
      </c>
      <c r="F397" s="277">
        <v>61</v>
      </c>
      <c r="G397" s="277">
        <v>65</v>
      </c>
      <c r="H397" s="253">
        <v>126</v>
      </c>
      <c r="I397" s="277">
        <v>1</v>
      </c>
      <c r="J397" s="253">
        <v>1</v>
      </c>
      <c r="K397" s="277">
        <v>2</v>
      </c>
      <c r="L397" s="253">
        <v>3</v>
      </c>
      <c r="M397" s="277">
        <v>2</v>
      </c>
      <c r="N397" s="253">
        <v>5</v>
      </c>
      <c r="O397" s="269">
        <v>69</v>
      </c>
      <c r="P397" s="269">
        <v>70</v>
      </c>
      <c r="Q397" s="269">
        <v>139</v>
      </c>
    </row>
    <row r="398" spans="2:17" x14ac:dyDescent="0.25">
      <c r="B398" s="237" t="s">
        <v>324</v>
      </c>
      <c r="C398" s="277">
        <v>1</v>
      </c>
      <c r="D398" s="277"/>
      <c r="E398" s="277">
        <v>1</v>
      </c>
      <c r="F398" s="277">
        <v>3</v>
      </c>
      <c r="G398" s="277">
        <v>7</v>
      </c>
      <c r="H398" s="253">
        <v>10</v>
      </c>
      <c r="I398" s="277"/>
      <c r="J398" s="253"/>
      <c r="K398" s="277"/>
      <c r="L398" s="253">
        <v>1</v>
      </c>
      <c r="M398" s="277">
        <v>1</v>
      </c>
      <c r="N398" s="253">
        <v>2</v>
      </c>
      <c r="O398" s="269">
        <v>5</v>
      </c>
      <c r="P398" s="269">
        <v>8</v>
      </c>
      <c r="Q398" s="269">
        <v>13</v>
      </c>
    </row>
    <row r="399" spans="2:17" x14ac:dyDescent="0.25">
      <c r="B399" s="237" t="s">
        <v>325</v>
      </c>
      <c r="C399" s="277">
        <v>3</v>
      </c>
      <c r="D399" s="277">
        <v>1</v>
      </c>
      <c r="E399" s="277">
        <v>4</v>
      </c>
      <c r="F399" s="277">
        <v>30</v>
      </c>
      <c r="G399" s="277">
        <v>23</v>
      </c>
      <c r="H399" s="253">
        <v>53</v>
      </c>
      <c r="I399" s="277"/>
      <c r="J399" s="253"/>
      <c r="K399" s="277"/>
      <c r="L399" s="253">
        <v>2</v>
      </c>
      <c r="M399" s="277"/>
      <c r="N399" s="253">
        <v>2</v>
      </c>
      <c r="O399" s="269">
        <v>35</v>
      </c>
      <c r="P399" s="269">
        <v>24</v>
      </c>
      <c r="Q399" s="269">
        <v>59</v>
      </c>
    </row>
    <row r="400" spans="2:17" x14ac:dyDescent="0.25">
      <c r="B400" s="237" t="s">
        <v>326</v>
      </c>
      <c r="C400" s="277"/>
      <c r="D400" s="277">
        <v>1</v>
      </c>
      <c r="E400" s="277">
        <v>1</v>
      </c>
      <c r="F400" s="277">
        <v>30</v>
      </c>
      <c r="G400" s="277">
        <v>32</v>
      </c>
      <c r="H400" s="253">
        <v>62</v>
      </c>
      <c r="I400" s="277"/>
      <c r="J400" s="253"/>
      <c r="K400" s="277"/>
      <c r="L400" s="253"/>
      <c r="M400" s="277">
        <v>2</v>
      </c>
      <c r="N400" s="253">
        <v>2</v>
      </c>
      <c r="O400" s="269">
        <v>30</v>
      </c>
      <c r="P400" s="269">
        <v>35</v>
      </c>
      <c r="Q400" s="269">
        <v>65</v>
      </c>
    </row>
    <row r="401" spans="2:17" x14ac:dyDescent="0.25">
      <c r="B401" s="237" t="s">
        <v>327</v>
      </c>
      <c r="C401" s="277">
        <v>2</v>
      </c>
      <c r="D401" s="277"/>
      <c r="E401" s="277">
        <v>2</v>
      </c>
      <c r="F401" s="277">
        <v>14</v>
      </c>
      <c r="G401" s="277">
        <v>18</v>
      </c>
      <c r="H401" s="253">
        <v>32</v>
      </c>
      <c r="I401" s="277"/>
      <c r="J401" s="253"/>
      <c r="K401" s="277"/>
      <c r="L401" s="253"/>
      <c r="M401" s="277">
        <v>3</v>
      </c>
      <c r="N401" s="253">
        <v>3</v>
      </c>
      <c r="O401" s="269">
        <v>16</v>
      </c>
      <c r="P401" s="269">
        <v>21</v>
      </c>
      <c r="Q401" s="269">
        <v>37</v>
      </c>
    </row>
    <row r="402" spans="2:17" x14ac:dyDescent="0.25">
      <c r="B402" s="237" t="s">
        <v>328</v>
      </c>
      <c r="C402" s="277">
        <v>3</v>
      </c>
      <c r="D402" s="277">
        <v>1</v>
      </c>
      <c r="E402" s="277">
        <v>4</v>
      </c>
      <c r="F402" s="277">
        <v>11</v>
      </c>
      <c r="G402" s="277">
        <v>11</v>
      </c>
      <c r="H402" s="253">
        <v>22</v>
      </c>
      <c r="I402" s="277"/>
      <c r="J402" s="253"/>
      <c r="K402" s="277"/>
      <c r="L402" s="253"/>
      <c r="M402" s="277">
        <v>1</v>
      </c>
      <c r="N402" s="253">
        <v>1</v>
      </c>
      <c r="O402" s="269">
        <v>14</v>
      </c>
      <c r="P402" s="269">
        <v>13</v>
      </c>
      <c r="Q402" s="269">
        <v>27</v>
      </c>
    </row>
    <row r="403" spans="2:17" x14ac:dyDescent="0.25">
      <c r="B403" s="237" t="s">
        <v>329</v>
      </c>
      <c r="C403" s="277"/>
      <c r="D403" s="277"/>
      <c r="E403" s="277"/>
      <c r="F403" s="277">
        <v>14</v>
      </c>
      <c r="G403" s="277">
        <v>25</v>
      </c>
      <c r="H403" s="253">
        <v>39</v>
      </c>
      <c r="I403" s="277">
        <v>1</v>
      </c>
      <c r="J403" s="253">
        <v>1</v>
      </c>
      <c r="K403" s="277">
        <v>2</v>
      </c>
      <c r="L403" s="253"/>
      <c r="M403" s="277"/>
      <c r="N403" s="253"/>
      <c r="O403" s="269">
        <v>15</v>
      </c>
      <c r="P403" s="269">
        <v>26</v>
      </c>
      <c r="Q403" s="269">
        <v>41</v>
      </c>
    </row>
    <row r="404" spans="2:17" x14ac:dyDescent="0.25">
      <c r="B404" s="237" t="s">
        <v>330</v>
      </c>
      <c r="C404" s="277">
        <v>43</v>
      </c>
      <c r="D404" s="277">
        <v>11</v>
      </c>
      <c r="E404" s="277">
        <v>54</v>
      </c>
      <c r="F404" s="277">
        <v>313</v>
      </c>
      <c r="G404" s="277">
        <v>262</v>
      </c>
      <c r="H404" s="253">
        <v>575</v>
      </c>
      <c r="I404" s="277">
        <v>2</v>
      </c>
      <c r="J404" s="253">
        <v>5</v>
      </c>
      <c r="K404" s="277">
        <v>7</v>
      </c>
      <c r="L404" s="253">
        <v>9</v>
      </c>
      <c r="M404" s="277">
        <v>20</v>
      </c>
      <c r="N404" s="253">
        <v>29</v>
      </c>
      <c r="O404" s="269">
        <v>367</v>
      </c>
      <c r="P404" s="269">
        <v>298</v>
      </c>
      <c r="Q404" s="269">
        <v>665</v>
      </c>
    </row>
    <row r="405" spans="2:17" x14ac:dyDescent="0.25">
      <c r="B405" s="237" t="s">
        <v>331</v>
      </c>
      <c r="C405" s="277"/>
      <c r="D405" s="277"/>
      <c r="E405" s="277"/>
      <c r="F405" s="277">
        <v>15</v>
      </c>
      <c r="G405" s="277">
        <v>19</v>
      </c>
      <c r="H405" s="253">
        <v>34</v>
      </c>
      <c r="I405" s="277"/>
      <c r="J405" s="253">
        <v>1</v>
      </c>
      <c r="K405" s="277">
        <v>1</v>
      </c>
      <c r="L405" s="253"/>
      <c r="M405" s="277">
        <v>1</v>
      </c>
      <c r="N405" s="253">
        <v>1</v>
      </c>
      <c r="O405" s="269">
        <v>15</v>
      </c>
      <c r="P405" s="269">
        <v>21</v>
      </c>
      <c r="Q405" s="269">
        <v>36</v>
      </c>
    </row>
    <row r="406" spans="2:17" x14ac:dyDescent="0.25">
      <c r="B406" s="237" t="s">
        <v>332</v>
      </c>
      <c r="C406" s="277">
        <v>1</v>
      </c>
      <c r="D406" s="277"/>
      <c r="E406" s="277">
        <v>1</v>
      </c>
      <c r="F406" s="277">
        <v>12</v>
      </c>
      <c r="G406" s="277">
        <v>7</v>
      </c>
      <c r="H406" s="253">
        <v>19</v>
      </c>
      <c r="I406" s="277"/>
      <c r="J406" s="253"/>
      <c r="K406" s="277"/>
      <c r="L406" s="253"/>
      <c r="M406" s="277"/>
      <c r="N406" s="253"/>
      <c r="O406" s="269">
        <v>13</v>
      </c>
      <c r="P406" s="269">
        <v>7</v>
      </c>
      <c r="Q406" s="269">
        <v>20</v>
      </c>
    </row>
    <row r="407" spans="2:17" x14ac:dyDescent="0.25">
      <c r="B407" s="237" t="s">
        <v>333</v>
      </c>
      <c r="C407" s="277">
        <v>7</v>
      </c>
      <c r="D407" s="277">
        <v>2</v>
      </c>
      <c r="E407" s="277">
        <v>9</v>
      </c>
      <c r="F407" s="277">
        <v>23</v>
      </c>
      <c r="G407" s="277">
        <v>16</v>
      </c>
      <c r="H407" s="253">
        <v>39</v>
      </c>
      <c r="I407" s="277">
        <v>1</v>
      </c>
      <c r="J407" s="253"/>
      <c r="K407" s="277">
        <v>1</v>
      </c>
      <c r="L407" s="253">
        <v>1</v>
      </c>
      <c r="M407" s="277">
        <v>2</v>
      </c>
      <c r="N407" s="253">
        <v>3</v>
      </c>
      <c r="O407" s="269">
        <v>32</v>
      </c>
      <c r="P407" s="269">
        <v>20</v>
      </c>
      <c r="Q407" s="269">
        <v>52</v>
      </c>
    </row>
    <row r="408" spans="2:17" x14ac:dyDescent="0.25">
      <c r="B408" s="237" t="s">
        <v>334</v>
      </c>
      <c r="C408" s="277">
        <v>3</v>
      </c>
      <c r="D408" s="277">
        <v>3</v>
      </c>
      <c r="E408" s="277">
        <v>6</v>
      </c>
      <c r="F408" s="277">
        <v>47</v>
      </c>
      <c r="G408" s="277">
        <v>39</v>
      </c>
      <c r="H408" s="253">
        <v>86</v>
      </c>
      <c r="I408" s="277">
        <v>1</v>
      </c>
      <c r="J408" s="253">
        <v>1</v>
      </c>
      <c r="K408" s="277">
        <v>2</v>
      </c>
      <c r="L408" s="253">
        <v>2</v>
      </c>
      <c r="M408" s="277">
        <v>7</v>
      </c>
      <c r="N408" s="253">
        <v>9</v>
      </c>
      <c r="O408" s="269">
        <v>53</v>
      </c>
      <c r="P408" s="269">
        <v>50</v>
      </c>
      <c r="Q408" s="269">
        <v>103</v>
      </c>
    </row>
    <row r="409" spans="2:17" x14ac:dyDescent="0.25">
      <c r="B409" s="237" t="s">
        <v>335</v>
      </c>
      <c r="C409" s="277">
        <v>5</v>
      </c>
      <c r="D409" s="277"/>
      <c r="E409" s="277">
        <v>5</v>
      </c>
      <c r="F409" s="277">
        <v>26</v>
      </c>
      <c r="G409" s="277">
        <v>34</v>
      </c>
      <c r="H409" s="253">
        <v>60</v>
      </c>
      <c r="I409" s="277"/>
      <c r="J409" s="253">
        <v>1</v>
      </c>
      <c r="K409" s="277">
        <v>1</v>
      </c>
      <c r="L409" s="253">
        <v>1</v>
      </c>
      <c r="M409" s="277">
        <v>7</v>
      </c>
      <c r="N409" s="253">
        <v>8</v>
      </c>
      <c r="O409" s="269">
        <v>32</v>
      </c>
      <c r="P409" s="269">
        <v>42</v>
      </c>
      <c r="Q409" s="269">
        <v>74</v>
      </c>
    </row>
    <row r="410" spans="2:17" x14ac:dyDescent="0.25">
      <c r="B410" s="237" t="s">
        <v>336</v>
      </c>
      <c r="C410" s="277">
        <v>8</v>
      </c>
      <c r="D410" s="277">
        <v>3</v>
      </c>
      <c r="E410" s="277">
        <v>11</v>
      </c>
      <c r="F410" s="277">
        <v>76</v>
      </c>
      <c r="G410" s="277">
        <v>70</v>
      </c>
      <c r="H410" s="253">
        <v>146</v>
      </c>
      <c r="I410" s="277">
        <v>2</v>
      </c>
      <c r="J410" s="253">
        <v>1</v>
      </c>
      <c r="K410" s="277">
        <v>3</v>
      </c>
      <c r="L410" s="253">
        <v>1</v>
      </c>
      <c r="M410" s="277">
        <v>8</v>
      </c>
      <c r="N410" s="253">
        <v>9</v>
      </c>
      <c r="O410" s="269">
        <v>87</v>
      </c>
      <c r="P410" s="269">
        <v>82</v>
      </c>
      <c r="Q410" s="269">
        <v>169</v>
      </c>
    </row>
    <row r="411" spans="2:17" x14ac:dyDescent="0.25">
      <c r="B411" s="311" t="s">
        <v>28</v>
      </c>
      <c r="C411" s="271">
        <v>124</v>
      </c>
      <c r="D411" s="271">
        <v>41</v>
      </c>
      <c r="E411" s="271">
        <v>165</v>
      </c>
      <c r="F411" s="271">
        <v>1064</v>
      </c>
      <c r="G411" s="271">
        <v>1071</v>
      </c>
      <c r="H411" s="269">
        <v>2135</v>
      </c>
      <c r="I411" s="271">
        <v>14</v>
      </c>
      <c r="J411" s="269">
        <v>19</v>
      </c>
      <c r="K411" s="271">
        <v>33</v>
      </c>
      <c r="L411" s="269">
        <v>33</v>
      </c>
      <c r="M411" s="271">
        <v>78</v>
      </c>
      <c r="N411" s="269">
        <v>111</v>
      </c>
      <c r="O411" s="269">
        <v>1235</v>
      </c>
      <c r="P411" s="269">
        <v>1209</v>
      </c>
      <c r="Q411" s="269">
        <v>2444</v>
      </c>
    </row>
    <row r="412" spans="2:17" ht="126.75" customHeight="1" x14ac:dyDescent="0.25">
      <c r="B412" s="428" t="s">
        <v>866</v>
      </c>
      <c r="C412" s="428"/>
      <c r="D412" s="428"/>
      <c r="E412" s="428"/>
      <c r="F412" s="428"/>
      <c r="G412" s="428"/>
      <c r="H412" s="428"/>
      <c r="I412" s="428"/>
      <c r="J412" s="428"/>
      <c r="K412" s="428"/>
      <c r="L412" s="428"/>
      <c r="M412" s="428"/>
      <c r="N412" s="428"/>
      <c r="O412" s="428"/>
      <c r="P412" s="428"/>
      <c r="Q412" s="428"/>
    </row>
    <row r="413" spans="2:17" x14ac:dyDescent="0.25">
      <c r="B413" s="158"/>
      <c r="C413" s="158"/>
      <c r="D413" s="158"/>
      <c r="E413"/>
      <c r="F413"/>
      <c r="G413"/>
    </row>
    <row r="414" spans="2:17" x14ac:dyDescent="0.25">
      <c r="B414" s="158"/>
      <c r="C414" s="158"/>
      <c r="D414" s="158"/>
      <c r="E414"/>
      <c r="F414"/>
      <c r="G414"/>
    </row>
    <row r="415" spans="2:17" x14ac:dyDescent="0.25">
      <c r="B415" s="187" t="s">
        <v>523</v>
      </c>
      <c r="C415"/>
      <c r="D415"/>
      <c r="E415"/>
      <c r="F415"/>
      <c r="G415"/>
    </row>
    <row r="416" spans="2:17" x14ac:dyDescent="0.25">
      <c r="B416" s="187"/>
      <c r="C416"/>
      <c r="D416"/>
      <c r="E416"/>
      <c r="F416"/>
      <c r="G416"/>
    </row>
    <row r="417" spans="2:17" ht="15" customHeight="1" x14ac:dyDescent="0.25">
      <c r="B417" s="430" t="s">
        <v>537</v>
      </c>
      <c r="C417" s="426" t="s">
        <v>481</v>
      </c>
      <c r="D417" s="426"/>
      <c r="E417" s="426"/>
      <c r="F417" s="426"/>
      <c r="G417" s="426"/>
      <c r="H417" s="426"/>
      <c r="I417" s="426"/>
      <c r="J417" s="426"/>
      <c r="K417" s="426"/>
      <c r="L417" s="426"/>
      <c r="M417" s="426"/>
      <c r="N417" s="426"/>
      <c r="O417" s="443" t="s">
        <v>697</v>
      </c>
      <c r="P417" s="444"/>
      <c r="Q417" s="445"/>
    </row>
    <row r="418" spans="2:17" ht="15" customHeight="1" x14ac:dyDescent="0.25">
      <c r="B418" s="431"/>
      <c r="C418" s="426" t="s">
        <v>658</v>
      </c>
      <c r="D418" s="426"/>
      <c r="E418" s="426"/>
      <c r="F418" s="426" t="s">
        <v>490</v>
      </c>
      <c r="G418" s="426"/>
      <c r="H418" s="426"/>
      <c r="I418" s="426" t="s">
        <v>4</v>
      </c>
      <c r="J418" s="426"/>
      <c r="K418" s="426"/>
      <c r="L418" s="426" t="s">
        <v>6</v>
      </c>
      <c r="M418" s="426"/>
      <c r="N418" s="426"/>
      <c r="O418" s="446"/>
      <c r="P418" s="447"/>
      <c r="Q418" s="448"/>
    </row>
    <row r="419" spans="2:17" x14ac:dyDescent="0.25">
      <c r="B419" s="432"/>
      <c r="C419" s="161" t="s">
        <v>76</v>
      </c>
      <c r="D419" s="161" t="s">
        <v>77</v>
      </c>
      <c r="E419" s="161" t="s">
        <v>28</v>
      </c>
      <c r="F419" s="161" t="s">
        <v>76</v>
      </c>
      <c r="G419" s="161" t="s">
        <v>77</v>
      </c>
      <c r="H419" s="161" t="s">
        <v>28</v>
      </c>
      <c r="I419" s="161" t="s">
        <v>76</v>
      </c>
      <c r="J419" s="161" t="s">
        <v>77</v>
      </c>
      <c r="K419" s="161" t="s">
        <v>28</v>
      </c>
      <c r="L419" s="161" t="s">
        <v>76</v>
      </c>
      <c r="M419" s="161" t="s">
        <v>77</v>
      </c>
      <c r="N419" s="161" t="s">
        <v>28</v>
      </c>
      <c r="O419" s="244" t="s">
        <v>76</v>
      </c>
      <c r="P419" s="244" t="s">
        <v>77</v>
      </c>
      <c r="Q419" s="244" t="s">
        <v>28</v>
      </c>
    </row>
    <row r="420" spans="2:17" x14ac:dyDescent="0.25">
      <c r="B420" s="236" t="s">
        <v>439</v>
      </c>
      <c r="C420" s="277"/>
      <c r="D420" s="277"/>
      <c r="E420" s="277"/>
      <c r="F420" s="277">
        <v>5</v>
      </c>
      <c r="G420" s="277">
        <v>7</v>
      </c>
      <c r="H420" s="253">
        <v>12</v>
      </c>
      <c r="I420" s="277"/>
      <c r="J420" s="253"/>
      <c r="K420" s="277"/>
      <c r="L420" s="253"/>
      <c r="M420" s="277"/>
      <c r="N420" s="253"/>
      <c r="O420" s="269">
        <v>5</v>
      </c>
      <c r="P420" s="269">
        <v>7</v>
      </c>
      <c r="Q420" s="269">
        <v>12</v>
      </c>
    </row>
    <row r="421" spans="2:17" x14ac:dyDescent="0.25">
      <c r="B421" s="237" t="s">
        <v>440</v>
      </c>
      <c r="C421" s="277">
        <v>2</v>
      </c>
      <c r="D421" s="277"/>
      <c r="E421" s="277">
        <v>2</v>
      </c>
      <c r="F421" s="277">
        <v>10</v>
      </c>
      <c r="G421" s="277">
        <v>19</v>
      </c>
      <c r="H421" s="253">
        <v>29</v>
      </c>
      <c r="I421" s="277"/>
      <c r="J421" s="253"/>
      <c r="K421" s="277"/>
      <c r="L421" s="253">
        <v>1</v>
      </c>
      <c r="M421" s="277">
        <v>5</v>
      </c>
      <c r="N421" s="253">
        <v>6</v>
      </c>
      <c r="O421" s="269">
        <v>13</v>
      </c>
      <c r="P421" s="269">
        <v>24</v>
      </c>
      <c r="Q421" s="269">
        <v>37</v>
      </c>
    </row>
    <row r="422" spans="2:17" x14ac:dyDescent="0.25">
      <c r="B422" s="237" t="s">
        <v>441</v>
      </c>
      <c r="C422" s="277">
        <v>8</v>
      </c>
      <c r="D422" s="277">
        <v>2</v>
      </c>
      <c r="E422" s="277">
        <v>10</v>
      </c>
      <c r="F422" s="277">
        <v>63</v>
      </c>
      <c r="G422" s="277">
        <v>36</v>
      </c>
      <c r="H422" s="253">
        <v>99</v>
      </c>
      <c r="I422" s="277">
        <v>1</v>
      </c>
      <c r="J422" s="253"/>
      <c r="K422" s="277">
        <v>1</v>
      </c>
      <c r="L422" s="253">
        <v>4</v>
      </c>
      <c r="M422" s="277">
        <v>5</v>
      </c>
      <c r="N422" s="253">
        <v>9</v>
      </c>
      <c r="O422" s="269">
        <v>76</v>
      </c>
      <c r="P422" s="269">
        <v>43</v>
      </c>
      <c r="Q422" s="269">
        <v>119</v>
      </c>
    </row>
    <row r="423" spans="2:17" x14ac:dyDescent="0.25">
      <c r="B423" s="237" t="s">
        <v>442</v>
      </c>
      <c r="C423" s="277">
        <v>5</v>
      </c>
      <c r="D423" s="277">
        <v>1</v>
      </c>
      <c r="E423" s="277">
        <v>6</v>
      </c>
      <c r="F423" s="277">
        <v>12</v>
      </c>
      <c r="G423" s="277">
        <v>11</v>
      </c>
      <c r="H423" s="253">
        <v>23</v>
      </c>
      <c r="I423" s="277"/>
      <c r="J423" s="253">
        <v>2</v>
      </c>
      <c r="K423" s="277">
        <v>2</v>
      </c>
      <c r="L423" s="253"/>
      <c r="M423" s="277"/>
      <c r="N423" s="253"/>
      <c r="O423" s="269">
        <v>17</v>
      </c>
      <c r="P423" s="269">
        <v>14</v>
      </c>
      <c r="Q423" s="269">
        <v>31</v>
      </c>
    </row>
    <row r="424" spans="2:17" x14ac:dyDescent="0.25">
      <c r="B424" s="237" t="s">
        <v>443</v>
      </c>
      <c r="C424" s="277">
        <v>3</v>
      </c>
      <c r="D424" s="277"/>
      <c r="E424" s="277">
        <v>3</v>
      </c>
      <c r="F424" s="277">
        <v>19</v>
      </c>
      <c r="G424" s="277">
        <v>19</v>
      </c>
      <c r="H424" s="253">
        <v>38</v>
      </c>
      <c r="I424" s="277"/>
      <c r="J424" s="253"/>
      <c r="K424" s="277"/>
      <c r="L424" s="253"/>
      <c r="M424" s="277">
        <v>1</v>
      </c>
      <c r="N424" s="253">
        <v>1</v>
      </c>
      <c r="O424" s="269">
        <v>22</v>
      </c>
      <c r="P424" s="269">
        <v>20</v>
      </c>
      <c r="Q424" s="269">
        <v>42</v>
      </c>
    </row>
    <row r="425" spans="2:17" x14ac:dyDescent="0.25">
      <c r="B425" s="237" t="s">
        <v>444</v>
      </c>
      <c r="C425" s="277">
        <v>4</v>
      </c>
      <c r="D425" s="277">
        <v>1</v>
      </c>
      <c r="E425" s="277">
        <v>5</v>
      </c>
      <c r="F425" s="277">
        <v>19</v>
      </c>
      <c r="G425" s="277">
        <v>26</v>
      </c>
      <c r="H425" s="253">
        <v>45</v>
      </c>
      <c r="I425" s="277"/>
      <c r="J425" s="253"/>
      <c r="K425" s="277"/>
      <c r="L425" s="253">
        <v>1</v>
      </c>
      <c r="M425" s="277">
        <v>3</v>
      </c>
      <c r="N425" s="253">
        <v>4</v>
      </c>
      <c r="O425" s="269">
        <v>24</v>
      </c>
      <c r="P425" s="269">
        <v>30</v>
      </c>
      <c r="Q425" s="269">
        <v>54</v>
      </c>
    </row>
    <row r="426" spans="2:17" x14ac:dyDescent="0.25">
      <c r="B426" s="237" t="s">
        <v>445</v>
      </c>
      <c r="C426" s="277"/>
      <c r="D426" s="277"/>
      <c r="E426" s="277"/>
      <c r="F426" s="277">
        <v>2</v>
      </c>
      <c r="G426" s="277">
        <v>12</v>
      </c>
      <c r="H426" s="253">
        <v>14</v>
      </c>
      <c r="I426" s="277"/>
      <c r="J426" s="253"/>
      <c r="K426" s="277"/>
      <c r="L426" s="253">
        <v>2</v>
      </c>
      <c r="M426" s="277"/>
      <c r="N426" s="253">
        <v>2</v>
      </c>
      <c r="O426" s="269">
        <v>4</v>
      </c>
      <c r="P426" s="269">
        <v>12</v>
      </c>
      <c r="Q426" s="269">
        <v>16</v>
      </c>
    </row>
    <row r="427" spans="2:17" x14ac:dyDescent="0.25">
      <c r="B427" s="237" t="s">
        <v>446</v>
      </c>
      <c r="C427" s="277">
        <v>1</v>
      </c>
      <c r="D427" s="277">
        <v>1</v>
      </c>
      <c r="E427" s="277">
        <v>2</v>
      </c>
      <c r="F427" s="277">
        <v>15</v>
      </c>
      <c r="G427" s="277">
        <v>29</v>
      </c>
      <c r="H427" s="253">
        <v>44</v>
      </c>
      <c r="I427" s="277">
        <v>1</v>
      </c>
      <c r="J427" s="253"/>
      <c r="K427" s="277">
        <v>1</v>
      </c>
      <c r="L427" s="253">
        <v>1</v>
      </c>
      <c r="M427" s="277">
        <v>4</v>
      </c>
      <c r="N427" s="253">
        <v>5</v>
      </c>
      <c r="O427" s="269">
        <v>18</v>
      </c>
      <c r="P427" s="269">
        <v>34</v>
      </c>
      <c r="Q427" s="269">
        <v>52</v>
      </c>
    </row>
    <row r="428" spans="2:17" x14ac:dyDescent="0.25">
      <c r="B428" s="237" t="s">
        <v>447</v>
      </c>
      <c r="C428" s="277">
        <v>8</v>
      </c>
      <c r="D428" s="277">
        <v>1</v>
      </c>
      <c r="E428" s="277">
        <v>9</v>
      </c>
      <c r="F428" s="277">
        <v>42</v>
      </c>
      <c r="G428" s="277">
        <v>37</v>
      </c>
      <c r="H428" s="253">
        <v>79</v>
      </c>
      <c r="I428" s="277">
        <v>1</v>
      </c>
      <c r="J428" s="253">
        <v>4</v>
      </c>
      <c r="K428" s="277">
        <v>5</v>
      </c>
      <c r="L428" s="253">
        <v>1</v>
      </c>
      <c r="M428" s="277">
        <v>3</v>
      </c>
      <c r="N428" s="253">
        <v>4</v>
      </c>
      <c r="O428" s="269">
        <v>52</v>
      </c>
      <c r="P428" s="269">
        <v>45</v>
      </c>
      <c r="Q428" s="269">
        <v>97</v>
      </c>
    </row>
    <row r="429" spans="2:17" x14ac:dyDescent="0.25">
      <c r="B429" s="237" t="s">
        <v>448</v>
      </c>
      <c r="C429" s="277">
        <v>5</v>
      </c>
      <c r="D429" s="277">
        <v>2</v>
      </c>
      <c r="E429" s="277">
        <v>7</v>
      </c>
      <c r="F429" s="277">
        <v>44</v>
      </c>
      <c r="G429" s="277">
        <v>35</v>
      </c>
      <c r="H429" s="253">
        <v>79</v>
      </c>
      <c r="I429" s="277">
        <v>1</v>
      </c>
      <c r="J429" s="253">
        <v>1</v>
      </c>
      <c r="K429" s="277">
        <v>2</v>
      </c>
      <c r="L429" s="253">
        <v>1</v>
      </c>
      <c r="M429" s="277">
        <v>5</v>
      </c>
      <c r="N429" s="253">
        <v>6</v>
      </c>
      <c r="O429" s="269">
        <v>51</v>
      </c>
      <c r="P429" s="269">
        <v>43</v>
      </c>
      <c r="Q429" s="269">
        <v>94</v>
      </c>
    </row>
    <row r="430" spans="2:17" x14ac:dyDescent="0.25">
      <c r="B430" s="237" t="s">
        <v>785</v>
      </c>
      <c r="C430" s="277">
        <v>8</v>
      </c>
      <c r="D430" s="277">
        <v>3</v>
      </c>
      <c r="E430" s="277">
        <v>11</v>
      </c>
      <c r="F430" s="277">
        <v>27</v>
      </c>
      <c r="G430" s="277">
        <v>25</v>
      </c>
      <c r="H430" s="253">
        <v>52</v>
      </c>
      <c r="I430" s="277">
        <v>2</v>
      </c>
      <c r="J430" s="253">
        <v>1</v>
      </c>
      <c r="K430" s="277">
        <v>3</v>
      </c>
      <c r="L430" s="253">
        <v>1</v>
      </c>
      <c r="M430" s="277">
        <v>6</v>
      </c>
      <c r="N430" s="253">
        <v>7</v>
      </c>
      <c r="O430" s="269">
        <v>38</v>
      </c>
      <c r="P430" s="269">
        <v>35</v>
      </c>
      <c r="Q430" s="269">
        <v>73</v>
      </c>
    </row>
    <row r="431" spans="2:17" x14ac:dyDescent="0.25">
      <c r="B431" s="237" t="s">
        <v>450</v>
      </c>
      <c r="C431" s="277">
        <v>25</v>
      </c>
      <c r="D431" s="277">
        <v>10</v>
      </c>
      <c r="E431" s="277">
        <v>35</v>
      </c>
      <c r="F431" s="277">
        <v>191</v>
      </c>
      <c r="G431" s="277">
        <v>166</v>
      </c>
      <c r="H431" s="253">
        <v>357</v>
      </c>
      <c r="I431" s="277">
        <v>4</v>
      </c>
      <c r="J431" s="253">
        <v>3</v>
      </c>
      <c r="K431" s="277">
        <v>7</v>
      </c>
      <c r="L431" s="253">
        <v>13</v>
      </c>
      <c r="M431" s="277">
        <v>15</v>
      </c>
      <c r="N431" s="253">
        <v>28</v>
      </c>
      <c r="O431" s="269">
        <v>233</v>
      </c>
      <c r="P431" s="269">
        <v>194</v>
      </c>
      <c r="Q431" s="269">
        <v>427</v>
      </c>
    </row>
    <row r="432" spans="2:17" x14ac:dyDescent="0.25">
      <c r="B432" s="311" t="s">
        <v>28</v>
      </c>
      <c r="C432" s="271">
        <v>69</v>
      </c>
      <c r="D432" s="271">
        <v>21</v>
      </c>
      <c r="E432" s="271">
        <v>90</v>
      </c>
      <c r="F432" s="271">
        <v>449</v>
      </c>
      <c r="G432" s="271">
        <v>422</v>
      </c>
      <c r="H432" s="269">
        <v>871</v>
      </c>
      <c r="I432" s="271">
        <v>10</v>
      </c>
      <c r="J432" s="269">
        <v>11</v>
      </c>
      <c r="K432" s="271">
        <v>21</v>
      </c>
      <c r="L432" s="269">
        <v>25</v>
      </c>
      <c r="M432" s="271">
        <v>47</v>
      </c>
      <c r="N432" s="269">
        <v>72</v>
      </c>
      <c r="O432" s="269">
        <v>553</v>
      </c>
      <c r="P432" s="269">
        <v>501</v>
      </c>
      <c r="Q432" s="269">
        <v>1054</v>
      </c>
    </row>
    <row r="433" spans="2:17" ht="126.75" customHeight="1" x14ac:dyDescent="0.25">
      <c r="B433" s="428" t="s">
        <v>866</v>
      </c>
      <c r="C433" s="428"/>
      <c r="D433" s="428"/>
      <c r="E433" s="428"/>
      <c r="F433" s="428"/>
      <c r="G433" s="428"/>
      <c r="H433" s="428"/>
      <c r="I433" s="428"/>
      <c r="J433" s="428"/>
      <c r="K433" s="428"/>
      <c r="L433" s="428"/>
      <c r="M433" s="428"/>
      <c r="N433" s="428"/>
      <c r="O433" s="428"/>
      <c r="P433" s="428"/>
      <c r="Q433" s="428"/>
    </row>
    <row r="434" spans="2:17" x14ac:dyDescent="0.25">
      <c r="B434" s="158"/>
      <c r="C434" s="158"/>
      <c r="D434" s="158"/>
      <c r="E434"/>
      <c r="F434"/>
      <c r="G434"/>
    </row>
    <row r="435" spans="2:17" x14ac:dyDescent="0.25">
      <c r="B435" s="158"/>
      <c r="C435" s="158"/>
      <c r="D435" s="158"/>
      <c r="E435"/>
      <c r="F435"/>
      <c r="G435"/>
    </row>
    <row r="436" spans="2:17" x14ac:dyDescent="0.25">
      <c r="B436" s="187" t="s">
        <v>519</v>
      </c>
      <c r="C436"/>
      <c r="D436"/>
      <c r="E436"/>
      <c r="F436"/>
      <c r="G436"/>
    </row>
    <row r="437" spans="2:17" x14ac:dyDescent="0.25">
      <c r="B437" s="187"/>
      <c r="C437"/>
      <c r="D437"/>
      <c r="E437"/>
      <c r="F437"/>
      <c r="G437"/>
    </row>
    <row r="438" spans="2:17" ht="15" customHeight="1" x14ac:dyDescent="0.25">
      <c r="B438" s="430" t="s">
        <v>537</v>
      </c>
      <c r="C438" s="426" t="s">
        <v>481</v>
      </c>
      <c r="D438" s="426"/>
      <c r="E438" s="426"/>
      <c r="F438" s="426"/>
      <c r="G438" s="426"/>
      <c r="H438" s="426"/>
      <c r="I438" s="426"/>
      <c r="J438" s="426"/>
      <c r="K438" s="426"/>
      <c r="L438" s="426"/>
      <c r="M438" s="426"/>
      <c r="N438" s="426"/>
      <c r="O438" s="443" t="s">
        <v>697</v>
      </c>
      <c r="P438" s="444"/>
      <c r="Q438" s="445"/>
    </row>
    <row r="439" spans="2:17" ht="15" customHeight="1" x14ac:dyDescent="0.25">
      <c r="B439" s="431"/>
      <c r="C439" s="426" t="s">
        <v>658</v>
      </c>
      <c r="D439" s="426"/>
      <c r="E439" s="426"/>
      <c r="F439" s="426" t="s">
        <v>490</v>
      </c>
      <c r="G439" s="426"/>
      <c r="H439" s="426"/>
      <c r="I439" s="426" t="s">
        <v>4</v>
      </c>
      <c r="J439" s="426"/>
      <c r="K439" s="426"/>
      <c r="L439" s="426" t="s">
        <v>6</v>
      </c>
      <c r="M439" s="426"/>
      <c r="N439" s="426"/>
      <c r="O439" s="446"/>
      <c r="P439" s="447"/>
      <c r="Q439" s="448"/>
    </row>
    <row r="440" spans="2:17" x14ac:dyDescent="0.25">
      <c r="B440" s="432"/>
      <c r="C440" s="161" t="s">
        <v>76</v>
      </c>
      <c r="D440" s="161" t="s">
        <v>77</v>
      </c>
      <c r="E440" s="161" t="s">
        <v>28</v>
      </c>
      <c r="F440" s="161" t="s">
        <v>76</v>
      </c>
      <c r="G440" s="161" t="s">
        <v>77</v>
      </c>
      <c r="H440" s="161" t="s">
        <v>28</v>
      </c>
      <c r="I440" s="161" t="s">
        <v>76</v>
      </c>
      <c r="J440" s="161" t="s">
        <v>77</v>
      </c>
      <c r="K440" s="161" t="s">
        <v>28</v>
      </c>
      <c r="L440" s="161" t="s">
        <v>76</v>
      </c>
      <c r="M440" s="161" t="s">
        <v>77</v>
      </c>
      <c r="N440" s="161" t="s">
        <v>28</v>
      </c>
      <c r="O440" s="244" t="s">
        <v>76</v>
      </c>
      <c r="P440" s="244" t="s">
        <v>77</v>
      </c>
      <c r="Q440" s="244" t="s">
        <v>28</v>
      </c>
    </row>
    <row r="441" spans="2:17" x14ac:dyDescent="0.25">
      <c r="B441" s="236" t="s">
        <v>338</v>
      </c>
      <c r="C441" s="277">
        <v>4</v>
      </c>
      <c r="D441" s="277"/>
      <c r="E441" s="277">
        <v>4</v>
      </c>
      <c r="F441" s="277">
        <v>38</v>
      </c>
      <c r="G441" s="277">
        <v>33</v>
      </c>
      <c r="H441" s="253">
        <v>71</v>
      </c>
      <c r="I441" s="277">
        <v>1</v>
      </c>
      <c r="J441" s="253">
        <v>2</v>
      </c>
      <c r="K441" s="277">
        <v>3</v>
      </c>
      <c r="L441" s="253">
        <v>1</v>
      </c>
      <c r="M441" s="277">
        <v>2</v>
      </c>
      <c r="N441" s="253">
        <v>3</v>
      </c>
      <c r="O441" s="269">
        <v>44</v>
      </c>
      <c r="P441" s="269">
        <v>37</v>
      </c>
      <c r="Q441" s="269">
        <v>81</v>
      </c>
    </row>
    <row r="442" spans="2:17" x14ac:dyDescent="0.25">
      <c r="B442" s="237" t="s">
        <v>339</v>
      </c>
      <c r="C442" s="277">
        <v>2</v>
      </c>
      <c r="D442" s="277">
        <v>1</v>
      </c>
      <c r="E442" s="277">
        <v>3</v>
      </c>
      <c r="F442" s="277">
        <v>38</v>
      </c>
      <c r="G442" s="277">
        <v>43</v>
      </c>
      <c r="H442" s="253">
        <v>81</v>
      </c>
      <c r="I442" s="277">
        <v>1</v>
      </c>
      <c r="J442" s="253"/>
      <c r="K442" s="277">
        <v>1</v>
      </c>
      <c r="L442" s="253">
        <v>3</v>
      </c>
      <c r="M442" s="277">
        <v>5</v>
      </c>
      <c r="N442" s="253">
        <v>8</v>
      </c>
      <c r="O442" s="269">
        <v>44</v>
      </c>
      <c r="P442" s="269">
        <v>49</v>
      </c>
      <c r="Q442" s="269">
        <v>93</v>
      </c>
    </row>
    <row r="443" spans="2:17" x14ac:dyDescent="0.25">
      <c r="B443" s="237" t="s">
        <v>340</v>
      </c>
      <c r="C443" s="277">
        <v>5</v>
      </c>
      <c r="D443" s="277"/>
      <c r="E443" s="277">
        <v>5</v>
      </c>
      <c r="F443" s="277">
        <v>36</v>
      </c>
      <c r="G443" s="277">
        <v>43</v>
      </c>
      <c r="H443" s="253">
        <v>79</v>
      </c>
      <c r="I443" s="277"/>
      <c r="J443" s="253"/>
      <c r="K443" s="277"/>
      <c r="L443" s="253">
        <v>3</v>
      </c>
      <c r="M443" s="277">
        <v>6</v>
      </c>
      <c r="N443" s="253">
        <v>9</v>
      </c>
      <c r="O443" s="269">
        <v>44</v>
      </c>
      <c r="P443" s="269">
        <v>49</v>
      </c>
      <c r="Q443" s="269">
        <v>93</v>
      </c>
    </row>
    <row r="444" spans="2:17" x14ac:dyDescent="0.25">
      <c r="B444" s="237" t="s">
        <v>341</v>
      </c>
      <c r="C444" s="277"/>
      <c r="D444" s="277"/>
      <c r="E444" s="277"/>
      <c r="F444" s="277">
        <v>4</v>
      </c>
      <c r="G444" s="277">
        <v>8</v>
      </c>
      <c r="H444" s="253">
        <v>12</v>
      </c>
      <c r="I444" s="277"/>
      <c r="J444" s="253"/>
      <c r="K444" s="277"/>
      <c r="L444" s="253"/>
      <c r="M444" s="277"/>
      <c r="N444" s="253"/>
      <c r="O444" s="269">
        <v>4</v>
      </c>
      <c r="P444" s="269">
        <v>8</v>
      </c>
      <c r="Q444" s="269">
        <v>12</v>
      </c>
    </row>
    <row r="445" spans="2:17" x14ac:dyDescent="0.25">
      <c r="B445" s="237" t="s">
        <v>342</v>
      </c>
      <c r="C445" s="277"/>
      <c r="D445" s="277">
        <v>1</v>
      </c>
      <c r="E445" s="277">
        <v>1</v>
      </c>
      <c r="F445" s="277">
        <v>14</v>
      </c>
      <c r="G445" s="277">
        <v>13</v>
      </c>
      <c r="H445" s="253">
        <v>27</v>
      </c>
      <c r="I445" s="277"/>
      <c r="J445" s="253">
        <v>1</v>
      </c>
      <c r="K445" s="277">
        <v>1</v>
      </c>
      <c r="L445" s="253">
        <v>1</v>
      </c>
      <c r="M445" s="277">
        <v>3</v>
      </c>
      <c r="N445" s="253">
        <v>4</v>
      </c>
      <c r="O445" s="269">
        <v>15</v>
      </c>
      <c r="P445" s="269">
        <v>18</v>
      </c>
      <c r="Q445" s="269">
        <v>33</v>
      </c>
    </row>
    <row r="446" spans="2:17" x14ac:dyDescent="0.25">
      <c r="B446" s="237" t="s">
        <v>343</v>
      </c>
      <c r="C446" s="277"/>
      <c r="D446" s="277"/>
      <c r="E446" s="277"/>
      <c r="F446" s="277">
        <v>4</v>
      </c>
      <c r="G446" s="277">
        <v>4</v>
      </c>
      <c r="H446" s="253">
        <v>8</v>
      </c>
      <c r="I446" s="277"/>
      <c r="J446" s="253"/>
      <c r="K446" s="277"/>
      <c r="L446" s="253"/>
      <c r="M446" s="277"/>
      <c r="N446" s="253"/>
      <c r="O446" s="269">
        <v>4</v>
      </c>
      <c r="P446" s="269">
        <v>4</v>
      </c>
      <c r="Q446" s="269">
        <v>8</v>
      </c>
    </row>
    <row r="447" spans="2:17" x14ac:dyDescent="0.25">
      <c r="B447" s="237" t="s">
        <v>344</v>
      </c>
      <c r="C447" s="277"/>
      <c r="D447" s="277"/>
      <c r="E447" s="277"/>
      <c r="F447" s="277">
        <v>6</v>
      </c>
      <c r="G447" s="277">
        <v>4</v>
      </c>
      <c r="H447" s="253">
        <v>10</v>
      </c>
      <c r="I447" s="277">
        <v>1</v>
      </c>
      <c r="J447" s="253"/>
      <c r="K447" s="277">
        <v>1</v>
      </c>
      <c r="L447" s="253"/>
      <c r="M447" s="277"/>
      <c r="N447" s="253"/>
      <c r="O447" s="269">
        <v>7</v>
      </c>
      <c r="P447" s="269">
        <v>4</v>
      </c>
      <c r="Q447" s="269">
        <v>11</v>
      </c>
    </row>
    <row r="448" spans="2:17" x14ac:dyDescent="0.25">
      <c r="B448" s="237" t="s">
        <v>345</v>
      </c>
      <c r="C448" s="277">
        <v>1</v>
      </c>
      <c r="D448" s="277"/>
      <c r="E448" s="277">
        <v>1</v>
      </c>
      <c r="F448" s="277">
        <v>13</v>
      </c>
      <c r="G448" s="277">
        <v>6</v>
      </c>
      <c r="H448" s="253">
        <v>19</v>
      </c>
      <c r="I448" s="277">
        <v>1</v>
      </c>
      <c r="J448" s="253"/>
      <c r="K448" s="277">
        <v>1</v>
      </c>
      <c r="L448" s="253">
        <v>1</v>
      </c>
      <c r="M448" s="277">
        <v>1</v>
      </c>
      <c r="N448" s="253">
        <v>2</v>
      </c>
      <c r="O448" s="269">
        <v>16</v>
      </c>
      <c r="P448" s="269">
        <v>7</v>
      </c>
      <c r="Q448" s="269">
        <v>23</v>
      </c>
    </row>
    <row r="449" spans="2:17" x14ac:dyDescent="0.25">
      <c r="B449" s="237" t="s">
        <v>346</v>
      </c>
      <c r="C449" s="277">
        <v>3</v>
      </c>
      <c r="D449" s="277">
        <v>1</v>
      </c>
      <c r="E449" s="277">
        <v>4</v>
      </c>
      <c r="F449" s="277">
        <v>13</v>
      </c>
      <c r="G449" s="277">
        <v>17</v>
      </c>
      <c r="H449" s="253">
        <v>30</v>
      </c>
      <c r="I449" s="277"/>
      <c r="J449" s="253"/>
      <c r="K449" s="277"/>
      <c r="L449" s="253">
        <v>1</v>
      </c>
      <c r="M449" s="277"/>
      <c r="N449" s="253">
        <v>1</v>
      </c>
      <c r="O449" s="269">
        <v>17</v>
      </c>
      <c r="P449" s="269">
        <v>18</v>
      </c>
      <c r="Q449" s="269">
        <v>35</v>
      </c>
    </row>
    <row r="450" spans="2:17" x14ac:dyDescent="0.25">
      <c r="B450" s="237" t="s">
        <v>347</v>
      </c>
      <c r="C450" s="277">
        <v>4</v>
      </c>
      <c r="D450" s="277">
        <v>1</v>
      </c>
      <c r="E450" s="277">
        <v>5</v>
      </c>
      <c r="F450" s="277">
        <v>33</v>
      </c>
      <c r="G450" s="277">
        <v>25</v>
      </c>
      <c r="H450" s="253">
        <v>58</v>
      </c>
      <c r="I450" s="277">
        <v>1</v>
      </c>
      <c r="J450" s="253"/>
      <c r="K450" s="277">
        <v>1</v>
      </c>
      <c r="L450" s="253"/>
      <c r="M450" s="277">
        <v>2</v>
      </c>
      <c r="N450" s="253">
        <v>2</v>
      </c>
      <c r="O450" s="269">
        <v>38</v>
      </c>
      <c r="P450" s="269">
        <v>28</v>
      </c>
      <c r="Q450" s="269">
        <v>66</v>
      </c>
    </row>
    <row r="451" spans="2:17" x14ac:dyDescent="0.25">
      <c r="B451" s="237" t="s">
        <v>348</v>
      </c>
      <c r="C451" s="277"/>
      <c r="D451" s="277"/>
      <c r="E451" s="277"/>
      <c r="F451" s="277">
        <v>2</v>
      </c>
      <c r="G451" s="277"/>
      <c r="H451" s="253">
        <v>2</v>
      </c>
      <c r="I451" s="277"/>
      <c r="J451" s="253"/>
      <c r="K451" s="277"/>
      <c r="L451" s="253"/>
      <c r="M451" s="277"/>
      <c r="N451" s="253"/>
      <c r="O451" s="269">
        <v>2</v>
      </c>
      <c r="P451" s="269"/>
      <c r="Q451" s="269">
        <v>2</v>
      </c>
    </row>
    <row r="452" spans="2:17" x14ac:dyDescent="0.25">
      <c r="B452" s="237" t="s">
        <v>349</v>
      </c>
      <c r="C452" s="277"/>
      <c r="D452" s="277"/>
      <c r="E452" s="277"/>
      <c r="F452" s="277">
        <v>6</v>
      </c>
      <c r="G452" s="277">
        <v>6</v>
      </c>
      <c r="H452" s="253">
        <v>12</v>
      </c>
      <c r="I452" s="277"/>
      <c r="J452" s="253"/>
      <c r="K452" s="277"/>
      <c r="L452" s="253">
        <v>1</v>
      </c>
      <c r="M452" s="277"/>
      <c r="N452" s="253">
        <v>1</v>
      </c>
      <c r="O452" s="269">
        <v>7</v>
      </c>
      <c r="P452" s="269">
        <v>6</v>
      </c>
      <c r="Q452" s="269">
        <v>13</v>
      </c>
    </row>
    <row r="453" spans="2:17" x14ac:dyDescent="0.25">
      <c r="B453" s="237" t="s">
        <v>350</v>
      </c>
      <c r="C453" s="277">
        <v>8</v>
      </c>
      <c r="D453" s="277"/>
      <c r="E453" s="277">
        <v>8</v>
      </c>
      <c r="F453" s="277">
        <v>27</v>
      </c>
      <c r="G453" s="277">
        <v>17</v>
      </c>
      <c r="H453" s="253">
        <v>44</v>
      </c>
      <c r="I453" s="277"/>
      <c r="J453" s="253">
        <v>1</v>
      </c>
      <c r="K453" s="277">
        <v>1</v>
      </c>
      <c r="L453" s="253"/>
      <c r="M453" s="277"/>
      <c r="N453" s="253"/>
      <c r="O453" s="269">
        <v>35</v>
      </c>
      <c r="P453" s="269">
        <v>18</v>
      </c>
      <c r="Q453" s="269">
        <v>53</v>
      </c>
    </row>
    <row r="454" spans="2:17" x14ac:dyDescent="0.25">
      <c r="B454" s="237" t="s">
        <v>351</v>
      </c>
      <c r="C454" s="277">
        <v>1</v>
      </c>
      <c r="D454" s="277">
        <v>4</v>
      </c>
      <c r="E454" s="277">
        <v>5</v>
      </c>
      <c r="F454" s="277">
        <v>26</v>
      </c>
      <c r="G454" s="277">
        <v>13</v>
      </c>
      <c r="H454" s="253">
        <v>39</v>
      </c>
      <c r="I454" s="277"/>
      <c r="J454" s="253"/>
      <c r="K454" s="277"/>
      <c r="L454" s="253"/>
      <c r="M454" s="277"/>
      <c r="N454" s="253"/>
      <c r="O454" s="269">
        <v>27</v>
      </c>
      <c r="P454" s="269">
        <v>17</v>
      </c>
      <c r="Q454" s="269">
        <v>44</v>
      </c>
    </row>
    <row r="455" spans="2:17" x14ac:dyDescent="0.25">
      <c r="B455" s="237" t="s">
        <v>352</v>
      </c>
      <c r="C455" s="277">
        <v>7</v>
      </c>
      <c r="D455" s="277">
        <v>4</v>
      </c>
      <c r="E455" s="277">
        <v>11</v>
      </c>
      <c r="F455" s="277">
        <v>11</v>
      </c>
      <c r="G455" s="277">
        <v>18</v>
      </c>
      <c r="H455" s="253">
        <v>29</v>
      </c>
      <c r="I455" s="277">
        <v>1</v>
      </c>
      <c r="J455" s="253"/>
      <c r="K455" s="277">
        <v>1</v>
      </c>
      <c r="L455" s="253"/>
      <c r="M455" s="277">
        <v>1</v>
      </c>
      <c r="N455" s="253">
        <v>1</v>
      </c>
      <c r="O455" s="269">
        <v>19</v>
      </c>
      <c r="P455" s="269">
        <v>23</v>
      </c>
      <c r="Q455" s="269">
        <v>42</v>
      </c>
    </row>
    <row r="456" spans="2:17" x14ac:dyDescent="0.25">
      <c r="B456" s="237" t="s">
        <v>353</v>
      </c>
      <c r="C456" s="277">
        <v>50</v>
      </c>
      <c r="D456" s="277">
        <v>16</v>
      </c>
      <c r="E456" s="277">
        <v>66</v>
      </c>
      <c r="F456" s="277">
        <v>220</v>
      </c>
      <c r="G456" s="277">
        <v>165</v>
      </c>
      <c r="H456" s="253">
        <v>385</v>
      </c>
      <c r="I456" s="277">
        <v>5</v>
      </c>
      <c r="J456" s="253">
        <v>2</v>
      </c>
      <c r="K456" s="277">
        <v>7</v>
      </c>
      <c r="L456" s="253">
        <v>13</v>
      </c>
      <c r="M456" s="277">
        <v>27</v>
      </c>
      <c r="N456" s="253">
        <v>40</v>
      </c>
      <c r="O456" s="269">
        <v>288</v>
      </c>
      <c r="P456" s="269">
        <v>210</v>
      </c>
      <c r="Q456" s="269">
        <v>498</v>
      </c>
    </row>
    <row r="457" spans="2:17" x14ac:dyDescent="0.25">
      <c r="B457" s="237" t="s">
        <v>354</v>
      </c>
      <c r="C457" s="277"/>
      <c r="D457" s="277"/>
      <c r="E457" s="277"/>
      <c r="F457" s="277">
        <v>2</v>
      </c>
      <c r="G457" s="277">
        <v>2</v>
      </c>
      <c r="H457" s="253">
        <v>4</v>
      </c>
      <c r="I457" s="277"/>
      <c r="J457" s="253"/>
      <c r="K457" s="277"/>
      <c r="L457" s="253"/>
      <c r="M457" s="277"/>
      <c r="N457" s="253"/>
      <c r="O457" s="269">
        <v>2</v>
      </c>
      <c r="P457" s="269">
        <v>2</v>
      </c>
      <c r="Q457" s="269">
        <v>4</v>
      </c>
    </row>
    <row r="458" spans="2:17" x14ac:dyDescent="0.25">
      <c r="B458" s="237" t="s">
        <v>355</v>
      </c>
      <c r="C458" s="277">
        <v>29</v>
      </c>
      <c r="D458" s="277">
        <v>11</v>
      </c>
      <c r="E458" s="277">
        <v>40</v>
      </c>
      <c r="F458" s="277">
        <v>260</v>
      </c>
      <c r="G458" s="277">
        <v>208</v>
      </c>
      <c r="H458" s="253">
        <v>468</v>
      </c>
      <c r="I458" s="277">
        <v>1</v>
      </c>
      <c r="J458" s="253">
        <v>6</v>
      </c>
      <c r="K458" s="277">
        <v>7</v>
      </c>
      <c r="L458" s="253">
        <v>8</v>
      </c>
      <c r="M458" s="277">
        <v>16</v>
      </c>
      <c r="N458" s="253">
        <v>24</v>
      </c>
      <c r="O458" s="269">
        <v>298</v>
      </c>
      <c r="P458" s="269">
        <v>241</v>
      </c>
      <c r="Q458" s="269">
        <v>539</v>
      </c>
    </row>
    <row r="459" spans="2:17" x14ac:dyDescent="0.25">
      <c r="B459" s="237" t="s">
        <v>356</v>
      </c>
      <c r="C459" s="277">
        <v>1</v>
      </c>
      <c r="D459" s="277">
        <v>2</v>
      </c>
      <c r="E459" s="277">
        <v>3</v>
      </c>
      <c r="F459" s="277">
        <v>8</v>
      </c>
      <c r="G459" s="277">
        <v>13</v>
      </c>
      <c r="H459" s="253">
        <v>21</v>
      </c>
      <c r="I459" s="277"/>
      <c r="J459" s="253"/>
      <c r="K459" s="277"/>
      <c r="L459" s="253"/>
      <c r="M459" s="277">
        <v>1</v>
      </c>
      <c r="N459" s="253">
        <v>1</v>
      </c>
      <c r="O459" s="269">
        <v>9</v>
      </c>
      <c r="P459" s="269">
        <v>16</v>
      </c>
      <c r="Q459" s="269">
        <v>25</v>
      </c>
    </row>
    <row r="460" spans="2:17" x14ac:dyDescent="0.25">
      <c r="B460" s="237" t="s">
        <v>357</v>
      </c>
      <c r="C460" s="277">
        <v>8</v>
      </c>
      <c r="D460" s="277">
        <v>2</v>
      </c>
      <c r="E460" s="277">
        <v>10</v>
      </c>
      <c r="F460" s="277">
        <v>43</v>
      </c>
      <c r="G460" s="277">
        <v>33</v>
      </c>
      <c r="H460" s="253">
        <v>76</v>
      </c>
      <c r="I460" s="277">
        <v>1</v>
      </c>
      <c r="J460" s="253"/>
      <c r="K460" s="277">
        <v>1</v>
      </c>
      <c r="L460" s="253">
        <v>2</v>
      </c>
      <c r="M460" s="277">
        <v>1</v>
      </c>
      <c r="N460" s="253">
        <v>3</v>
      </c>
      <c r="O460" s="269">
        <v>54</v>
      </c>
      <c r="P460" s="269">
        <v>36</v>
      </c>
      <c r="Q460" s="269">
        <v>90</v>
      </c>
    </row>
    <row r="461" spans="2:17" x14ac:dyDescent="0.25">
      <c r="B461" s="237" t="s">
        <v>358</v>
      </c>
      <c r="C461" s="277"/>
      <c r="D461" s="277"/>
      <c r="E461" s="277"/>
      <c r="F461" s="277">
        <v>6</v>
      </c>
      <c r="G461" s="277">
        <v>3</v>
      </c>
      <c r="H461" s="253">
        <v>9</v>
      </c>
      <c r="I461" s="277"/>
      <c r="J461" s="253"/>
      <c r="K461" s="277"/>
      <c r="L461" s="253"/>
      <c r="M461" s="277"/>
      <c r="N461" s="253"/>
      <c r="O461" s="269">
        <v>6</v>
      </c>
      <c r="P461" s="269">
        <v>3</v>
      </c>
      <c r="Q461" s="269">
        <v>9</v>
      </c>
    </row>
    <row r="462" spans="2:17" x14ac:dyDescent="0.25">
      <c r="B462" s="237" t="s">
        <v>359</v>
      </c>
      <c r="C462" s="277">
        <v>6</v>
      </c>
      <c r="D462" s="277"/>
      <c r="E462" s="277">
        <v>6</v>
      </c>
      <c r="F462" s="277">
        <v>25</v>
      </c>
      <c r="G462" s="277">
        <v>24</v>
      </c>
      <c r="H462" s="253">
        <v>49</v>
      </c>
      <c r="I462" s="277">
        <v>1</v>
      </c>
      <c r="J462" s="253"/>
      <c r="K462" s="277">
        <v>1</v>
      </c>
      <c r="L462" s="253"/>
      <c r="M462" s="277">
        <v>3</v>
      </c>
      <c r="N462" s="253">
        <v>3</v>
      </c>
      <c r="O462" s="269">
        <v>32</v>
      </c>
      <c r="P462" s="269">
        <v>27</v>
      </c>
      <c r="Q462" s="269">
        <v>59</v>
      </c>
    </row>
    <row r="463" spans="2:17" x14ac:dyDescent="0.25">
      <c r="B463" s="237" t="s">
        <v>360</v>
      </c>
      <c r="C463" s="277">
        <v>1</v>
      </c>
      <c r="D463" s="277">
        <v>3</v>
      </c>
      <c r="E463" s="277">
        <v>4</v>
      </c>
      <c r="F463" s="277">
        <v>17</v>
      </c>
      <c r="G463" s="277">
        <v>17</v>
      </c>
      <c r="H463" s="253">
        <v>34</v>
      </c>
      <c r="I463" s="277">
        <v>1</v>
      </c>
      <c r="J463" s="253"/>
      <c r="K463" s="277">
        <v>1</v>
      </c>
      <c r="L463" s="253"/>
      <c r="M463" s="277">
        <v>1</v>
      </c>
      <c r="N463" s="253">
        <v>1</v>
      </c>
      <c r="O463" s="269">
        <v>19</v>
      </c>
      <c r="P463" s="269">
        <v>21</v>
      </c>
      <c r="Q463" s="269">
        <v>40</v>
      </c>
    </row>
    <row r="464" spans="2:17" x14ac:dyDescent="0.25">
      <c r="B464" s="237" t="s">
        <v>361</v>
      </c>
      <c r="C464" s="277"/>
      <c r="D464" s="277"/>
      <c r="E464" s="277"/>
      <c r="F464" s="277">
        <v>7</v>
      </c>
      <c r="G464" s="277">
        <v>5</v>
      </c>
      <c r="H464" s="253">
        <v>12</v>
      </c>
      <c r="I464" s="277"/>
      <c r="J464" s="253">
        <v>2</v>
      </c>
      <c r="K464" s="277">
        <v>2</v>
      </c>
      <c r="L464" s="253">
        <v>1</v>
      </c>
      <c r="M464" s="277">
        <v>1</v>
      </c>
      <c r="N464" s="253">
        <v>2</v>
      </c>
      <c r="O464" s="269">
        <v>8</v>
      </c>
      <c r="P464" s="269">
        <v>8</v>
      </c>
      <c r="Q464" s="269">
        <v>16</v>
      </c>
    </row>
    <row r="465" spans="2:17" x14ac:dyDescent="0.25">
      <c r="B465" s="237" t="s">
        <v>362</v>
      </c>
      <c r="C465" s="277">
        <v>1</v>
      </c>
      <c r="D465" s="277">
        <v>2</v>
      </c>
      <c r="E465" s="277">
        <v>3</v>
      </c>
      <c r="F465" s="277">
        <v>15</v>
      </c>
      <c r="G465" s="277">
        <v>22</v>
      </c>
      <c r="H465" s="253">
        <v>37</v>
      </c>
      <c r="I465" s="277"/>
      <c r="J465" s="253"/>
      <c r="K465" s="277"/>
      <c r="L465" s="253"/>
      <c r="M465" s="277">
        <v>1</v>
      </c>
      <c r="N465" s="253">
        <v>1</v>
      </c>
      <c r="O465" s="269">
        <v>16</v>
      </c>
      <c r="P465" s="269">
        <v>25</v>
      </c>
      <c r="Q465" s="269">
        <v>41</v>
      </c>
    </row>
    <row r="466" spans="2:17" x14ac:dyDescent="0.25">
      <c r="B466" s="237" t="s">
        <v>363</v>
      </c>
      <c r="C466" s="277">
        <v>1</v>
      </c>
      <c r="D466" s="277"/>
      <c r="E466" s="277">
        <v>1</v>
      </c>
      <c r="F466" s="277">
        <v>12</v>
      </c>
      <c r="G466" s="277">
        <v>8</v>
      </c>
      <c r="H466" s="253">
        <v>20</v>
      </c>
      <c r="I466" s="277"/>
      <c r="J466" s="253"/>
      <c r="K466" s="277"/>
      <c r="L466" s="253"/>
      <c r="M466" s="277"/>
      <c r="N466" s="253"/>
      <c r="O466" s="269">
        <v>13</v>
      </c>
      <c r="P466" s="269">
        <v>8</v>
      </c>
      <c r="Q466" s="269">
        <v>21</v>
      </c>
    </row>
    <row r="467" spans="2:17" x14ac:dyDescent="0.25">
      <c r="B467" s="237" t="s">
        <v>364</v>
      </c>
      <c r="C467" s="277">
        <v>3</v>
      </c>
      <c r="D467" s="277"/>
      <c r="E467" s="277">
        <v>3</v>
      </c>
      <c r="F467" s="277">
        <v>6</v>
      </c>
      <c r="G467" s="277">
        <v>7</v>
      </c>
      <c r="H467" s="253">
        <v>13</v>
      </c>
      <c r="I467" s="277"/>
      <c r="J467" s="253"/>
      <c r="K467" s="277"/>
      <c r="L467" s="253">
        <v>1</v>
      </c>
      <c r="M467" s="277"/>
      <c r="N467" s="253">
        <v>1</v>
      </c>
      <c r="O467" s="269">
        <v>10</v>
      </c>
      <c r="P467" s="269">
        <v>7</v>
      </c>
      <c r="Q467" s="269">
        <v>17</v>
      </c>
    </row>
    <row r="468" spans="2:17" x14ac:dyDescent="0.25">
      <c r="B468" s="237" t="s">
        <v>365</v>
      </c>
      <c r="C468" s="277">
        <v>4</v>
      </c>
      <c r="D468" s="277">
        <v>2</v>
      </c>
      <c r="E468" s="277">
        <v>6</v>
      </c>
      <c r="F468" s="277">
        <v>25</v>
      </c>
      <c r="G468" s="277">
        <v>19</v>
      </c>
      <c r="H468" s="253">
        <v>44</v>
      </c>
      <c r="I468" s="277"/>
      <c r="J468" s="253"/>
      <c r="K468" s="277"/>
      <c r="L468" s="253">
        <v>1</v>
      </c>
      <c r="M468" s="277">
        <v>5</v>
      </c>
      <c r="N468" s="253">
        <v>6</v>
      </c>
      <c r="O468" s="269">
        <v>30</v>
      </c>
      <c r="P468" s="269">
        <v>26</v>
      </c>
      <c r="Q468" s="269">
        <v>56</v>
      </c>
    </row>
    <row r="469" spans="2:17" x14ac:dyDescent="0.25">
      <c r="B469" s="237" t="s">
        <v>366</v>
      </c>
      <c r="C469" s="277">
        <v>1</v>
      </c>
      <c r="D469" s="277">
        <v>1</v>
      </c>
      <c r="E469" s="277">
        <v>2</v>
      </c>
      <c r="F469" s="277">
        <v>13</v>
      </c>
      <c r="G469" s="277">
        <v>7</v>
      </c>
      <c r="H469" s="253">
        <v>20</v>
      </c>
      <c r="I469" s="277"/>
      <c r="J469" s="253"/>
      <c r="K469" s="277"/>
      <c r="L469" s="253"/>
      <c r="M469" s="277">
        <v>3</v>
      </c>
      <c r="N469" s="253">
        <v>3</v>
      </c>
      <c r="O469" s="269">
        <v>14</v>
      </c>
      <c r="P469" s="269">
        <v>11</v>
      </c>
      <c r="Q469" s="269">
        <v>25</v>
      </c>
    </row>
    <row r="470" spans="2:17" x14ac:dyDescent="0.25">
      <c r="B470" s="237" t="s">
        <v>367</v>
      </c>
      <c r="C470" s="277"/>
      <c r="D470" s="277">
        <v>2</v>
      </c>
      <c r="E470" s="277">
        <v>2</v>
      </c>
      <c r="F470" s="277">
        <v>4</v>
      </c>
      <c r="G470" s="277">
        <v>10</v>
      </c>
      <c r="H470" s="253">
        <v>14</v>
      </c>
      <c r="I470" s="277"/>
      <c r="J470" s="253">
        <v>1</v>
      </c>
      <c r="K470" s="277">
        <v>1</v>
      </c>
      <c r="L470" s="253">
        <v>1</v>
      </c>
      <c r="M470" s="277">
        <v>1</v>
      </c>
      <c r="N470" s="253">
        <v>2</v>
      </c>
      <c r="O470" s="269">
        <v>5</v>
      </c>
      <c r="P470" s="269">
        <v>14</v>
      </c>
      <c r="Q470" s="269">
        <v>19</v>
      </c>
    </row>
    <row r="471" spans="2:17" x14ac:dyDescent="0.25">
      <c r="B471" s="311" t="s">
        <v>28</v>
      </c>
      <c r="C471" s="271">
        <v>140</v>
      </c>
      <c r="D471" s="271">
        <v>53</v>
      </c>
      <c r="E471" s="271">
        <v>193</v>
      </c>
      <c r="F471" s="271">
        <v>934</v>
      </c>
      <c r="G471" s="271">
        <v>793</v>
      </c>
      <c r="H471" s="269">
        <v>1727</v>
      </c>
      <c r="I471" s="271">
        <v>15</v>
      </c>
      <c r="J471" s="269">
        <v>15</v>
      </c>
      <c r="K471" s="271">
        <v>30</v>
      </c>
      <c r="L471" s="269">
        <v>38</v>
      </c>
      <c r="M471" s="271">
        <v>80</v>
      </c>
      <c r="N471" s="269">
        <v>118</v>
      </c>
      <c r="O471" s="269">
        <v>1127</v>
      </c>
      <c r="P471" s="269">
        <v>941</v>
      </c>
      <c r="Q471" s="269">
        <v>2068</v>
      </c>
    </row>
    <row r="472" spans="2:17" ht="123" customHeight="1" x14ac:dyDescent="0.25">
      <c r="B472" s="428" t="s">
        <v>866</v>
      </c>
      <c r="C472" s="428"/>
      <c r="D472" s="428"/>
      <c r="E472" s="428"/>
      <c r="F472" s="428"/>
      <c r="G472" s="428"/>
      <c r="H472" s="428"/>
      <c r="I472" s="428"/>
      <c r="J472" s="428"/>
      <c r="K472" s="428"/>
      <c r="L472" s="428"/>
      <c r="M472" s="428"/>
      <c r="N472" s="428"/>
      <c r="O472" s="428"/>
      <c r="P472" s="428"/>
      <c r="Q472" s="428"/>
    </row>
    <row r="473" spans="2:17" x14ac:dyDescent="0.25">
      <c r="B473" s="158"/>
      <c r="C473" s="158"/>
      <c r="D473" s="158"/>
      <c r="E473" s="158"/>
      <c r="F473" s="158"/>
      <c r="G473"/>
    </row>
    <row r="474" spans="2:17" x14ac:dyDescent="0.25">
      <c r="B474" s="187" t="s">
        <v>520</v>
      </c>
      <c r="C474"/>
      <c r="D474"/>
      <c r="E474"/>
      <c r="F474"/>
      <c r="G474"/>
    </row>
    <row r="475" spans="2:17" x14ac:dyDescent="0.25">
      <c r="B475" s="187"/>
      <c r="C475"/>
      <c r="D475"/>
      <c r="E475"/>
      <c r="F475"/>
      <c r="G475"/>
    </row>
    <row r="476" spans="2:17" ht="15" customHeight="1" x14ac:dyDescent="0.25">
      <c r="B476" s="430" t="s">
        <v>537</v>
      </c>
      <c r="C476" s="426" t="s">
        <v>481</v>
      </c>
      <c r="D476" s="426"/>
      <c r="E476" s="426"/>
      <c r="F476" s="426"/>
      <c r="G476" s="426"/>
      <c r="H476" s="426"/>
      <c r="I476" s="426"/>
      <c r="J476" s="426"/>
      <c r="K476" s="426"/>
      <c r="L476" s="426"/>
      <c r="M476" s="426"/>
      <c r="N476" s="426"/>
      <c r="O476" s="443" t="s">
        <v>697</v>
      </c>
      <c r="P476" s="444"/>
      <c r="Q476" s="445"/>
    </row>
    <row r="477" spans="2:17" ht="15" customHeight="1" x14ac:dyDescent="0.25">
      <c r="B477" s="431"/>
      <c r="C477" s="426" t="s">
        <v>658</v>
      </c>
      <c r="D477" s="426"/>
      <c r="E477" s="426"/>
      <c r="F477" s="426" t="s">
        <v>490</v>
      </c>
      <c r="G477" s="426"/>
      <c r="H477" s="426"/>
      <c r="I477" s="426" t="s">
        <v>4</v>
      </c>
      <c r="J477" s="426"/>
      <c r="K477" s="426"/>
      <c r="L477" s="426" t="s">
        <v>6</v>
      </c>
      <c r="M477" s="426"/>
      <c r="N477" s="426"/>
      <c r="O477" s="446"/>
      <c r="P477" s="447"/>
      <c r="Q477" s="448"/>
    </row>
    <row r="478" spans="2:17" x14ac:dyDescent="0.25">
      <c r="B478" s="432"/>
      <c r="C478" s="161" t="s">
        <v>76</v>
      </c>
      <c r="D478" s="161" t="s">
        <v>77</v>
      </c>
      <c r="E478" s="161" t="s">
        <v>28</v>
      </c>
      <c r="F478" s="161" t="s">
        <v>76</v>
      </c>
      <c r="G478" s="161" t="s">
        <v>77</v>
      </c>
      <c r="H478" s="161" t="s">
        <v>28</v>
      </c>
      <c r="I478" s="161" t="s">
        <v>76</v>
      </c>
      <c r="J478" s="161" t="s">
        <v>77</v>
      </c>
      <c r="K478" s="161" t="s">
        <v>28</v>
      </c>
      <c r="L478" s="161" t="s">
        <v>76</v>
      </c>
      <c r="M478" s="161" t="s">
        <v>77</v>
      </c>
      <c r="N478" s="161" t="s">
        <v>28</v>
      </c>
      <c r="O478" s="244" t="s">
        <v>76</v>
      </c>
      <c r="P478" s="244" t="s">
        <v>77</v>
      </c>
      <c r="Q478" s="244" t="s">
        <v>28</v>
      </c>
    </row>
    <row r="479" spans="2:17" x14ac:dyDescent="0.25">
      <c r="B479" s="236" t="s">
        <v>368</v>
      </c>
      <c r="C479" s="277"/>
      <c r="D479" s="277"/>
      <c r="E479" s="277"/>
      <c r="F479" s="277">
        <v>9</v>
      </c>
      <c r="G479" s="277">
        <v>3</v>
      </c>
      <c r="H479" s="253">
        <v>12</v>
      </c>
      <c r="I479" s="277"/>
      <c r="J479" s="253"/>
      <c r="K479" s="277"/>
      <c r="L479" s="253"/>
      <c r="M479" s="277"/>
      <c r="N479" s="253"/>
      <c r="O479" s="269">
        <v>9</v>
      </c>
      <c r="P479" s="269">
        <v>3</v>
      </c>
      <c r="Q479" s="269">
        <v>12</v>
      </c>
    </row>
    <row r="480" spans="2:17" x14ac:dyDescent="0.25">
      <c r="B480" s="237" t="s">
        <v>369</v>
      </c>
      <c r="C480" s="277"/>
      <c r="D480" s="277"/>
      <c r="E480" s="277"/>
      <c r="F480" s="277">
        <v>7</v>
      </c>
      <c r="G480" s="277">
        <v>9</v>
      </c>
      <c r="H480" s="253">
        <v>16</v>
      </c>
      <c r="I480" s="277"/>
      <c r="J480" s="253"/>
      <c r="K480" s="277"/>
      <c r="L480" s="253"/>
      <c r="M480" s="277"/>
      <c r="N480" s="253"/>
      <c r="O480" s="269">
        <v>7</v>
      </c>
      <c r="P480" s="269">
        <v>9</v>
      </c>
      <c r="Q480" s="269">
        <v>16</v>
      </c>
    </row>
    <row r="481" spans="2:17" x14ac:dyDescent="0.25">
      <c r="B481" s="237" t="s">
        <v>370</v>
      </c>
      <c r="C481" s="277"/>
      <c r="D481" s="277"/>
      <c r="E481" s="277"/>
      <c r="F481" s="277">
        <v>1</v>
      </c>
      <c r="G481" s="277">
        <v>4</v>
      </c>
      <c r="H481" s="253">
        <v>5</v>
      </c>
      <c r="I481" s="277"/>
      <c r="J481" s="253"/>
      <c r="K481" s="277"/>
      <c r="L481" s="253"/>
      <c r="M481" s="277"/>
      <c r="N481" s="253"/>
      <c r="O481" s="269">
        <v>1</v>
      </c>
      <c r="P481" s="269">
        <v>4</v>
      </c>
      <c r="Q481" s="269">
        <v>5</v>
      </c>
    </row>
    <row r="482" spans="2:17" x14ac:dyDescent="0.25">
      <c r="B482" s="237" t="s">
        <v>371</v>
      </c>
      <c r="C482" s="277">
        <v>3</v>
      </c>
      <c r="D482" s="277">
        <v>1</v>
      </c>
      <c r="E482" s="277">
        <v>4</v>
      </c>
      <c r="F482" s="277">
        <v>69</v>
      </c>
      <c r="G482" s="277">
        <v>46</v>
      </c>
      <c r="H482" s="253">
        <v>115</v>
      </c>
      <c r="I482" s="277"/>
      <c r="J482" s="253"/>
      <c r="K482" s="277"/>
      <c r="L482" s="253">
        <v>6</v>
      </c>
      <c r="M482" s="277"/>
      <c r="N482" s="253">
        <v>6</v>
      </c>
      <c r="O482" s="269">
        <v>78</v>
      </c>
      <c r="P482" s="269">
        <v>47</v>
      </c>
      <c r="Q482" s="269">
        <v>125</v>
      </c>
    </row>
    <row r="483" spans="2:17" x14ac:dyDescent="0.25">
      <c r="B483" s="237" t="s">
        <v>372</v>
      </c>
      <c r="C483" s="277"/>
      <c r="D483" s="277"/>
      <c r="E483" s="277"/>
      <c r="F483" s="277">
        <v>1</v>
      </c>
      <c r="G483" s="277"/>
      <c r="H483" s="253">
        <v>1</v>
      </c>
      <c r="I483" s="277"/>
      <c r="J483" s="253"/>
      <c r="K483" s="277"/>
      <c r="L483" s="253"/>
      <c r="M483" s="277"/>
      <c r="N483" s="253"/>
      <c r="O483" s="269">
        <v>1</v>
      </c>
      <c r="P483" s="269"/>
      <c r="Q483" s="269">
        <v>1</v>
      </c>
    </row>
    <row r="484" spans="2:17" x14ac:dyDescent="0.25">
      <c r="B484" s="237" t="s">
        <v>375</v>
      </c>
      <c r="C484" s="277">
        <v>3</v>
      </c>
      <c r="D484" s="277"/>
      <c r="E484" s="277">
        <v>3</v>
      </c>
      <c r="F484" s="277">
        <v>26</v>
      </c>
      <c r="G484" s="277">
        <v>25</v>
      </c>
      <c r="H484" s="253">
        <v>51</v>
      </c>
      <c r="I484" s="277"/>
      <c r="J484" s="253"/>
      <c r="K484" s="277"/>
      <c r="L484" s="253">
        <v>2</v>
      </c>
      <c r="M484" s="277">
        <v>3</v>
      </c>
      <c r="N484" s="253">
        <v>5</v>
      </c>
      <c r="O484" s="269">
        <v>31</v>
      </c>
      <c r="P484" s="269">
        <v>28</v>
      </c>
      <c r="Q484" s="269">
        <v>59</v>
      </c>
    </row>
    <row r="485" spans="2:17" x14ac:dyDescent="0.25">
      <c r="B485" s="237" t="s">
        <v>501</v>
      </c>
      <c r="C485" s="277"/>
      <c r="D485" s="277"/>
      <c r="E485" s="277"/>
      <c r="F485" s="277"/>
      <c r="G485" s="277">
        <v>7</v>
      </c>
      <c r="H485" s="253">
        <v>7</v>
      </c>
      <c r="I485" s="277"/>
      <c r="J485" s="253"/>
      <c r="K485" s="277"/>
      <c r="L485" s="253"/>
      <c r="M485" s="277"/>
      <c r="N485" s="253"/>
      <c r="O485" s="269"/>
      <c r="P485" s="269">
        <v>7</v>
      </c>
      <c r="Q485" s="269">
        <v>7</v>
      </c>
    </row>
    <row r="486" spans="2:17" x14ac:dyDescent="0.25">
      <c r="B486" s="311" t="s">
        <v>28</v>
      </c>
      <c r="C486" s="271">
        <v>6</v>
      </c>
      <c r="D486" s="271">
        <v>1</v>
      </c>
      <c r="E486" s="271">
        <v>7</v>
      </c>
      <c r="F486" s="271">
        <v>113</v>
      </c>
      <c r="G486" s="271">
        <v>94</v>
      </c>
      <c r="H486" s="269">
        <v>207</v>
      </c>
      <c r="I486" s="271"/>
      <c r="J486" s="269"/>
      <c r="K486" s="271"/>
      <c r="L486" s="269">
        <v>8</v>
      </c>
      <c r="M486" s="271">
        <v>3</v>
      </c>
      <c r="N486" s="269">
        <v>11</v>
      </c>
      <c r="O486" s="269">
        <v>127</v>
      </c>
      <c r="P486" s="269">
        <v>98</v>
      </c>
      <c r="Q486" s="269">
        <v>225</v>
      </c>
    </row>
    <row r="487" spans="2:17" ht="123.75" customHeight="1" x14ac:dyDescent="0.25">
      <c r="B487" s="428" t="s">
        <v>866</v>
      </c>
      <c r="C487" s="428"/>
      <c r="D487" s="428"/>
      <c r="E487" s="428"/>
      <c r="F487" s="428"/>
      <c r="G487" s="428"/>
      <c r="H487" s="428"/>
      <c r="I487" s="428"/>
      <c r="J487" s="428"/>
      <c r="K487" s="428"/>
      <c r="L487" s="428"/>
      <c r="M487" s="428"/>
      <c r="N487" s="428"/>
      <c r="O487" s="428"/>
      <c r="P487" s="428"/>
      <c r="Q487" s="428"/>
    </row>
    <row r="488" spans="2:17" x14ac:dyDescent="0.25">
      <c r="B488" s="158"/>
      <c r="C488" s="158"/>
      <c r="D488" s="158"/>
      <c r="E488"/>
      <c r="F488"/>
      <c r="G488"/>
    </row>
    <row r="489" spans="2:17" x14ac:dyDescent="0.25">
      <c r="B489" s="187" t="s">
        <v>521</v>
      </c>
      <c r="C489"/>
      <c r="D489"/>
      <c r="E489"/>
      <c r="F489"/>
      <c r="G489"/>
    </row>
    <row r="490" spans="2:17" x14ac:dyDescent="0.25">
      <c r="B490" s="187"/>
      <c r="C490"/>
      <c r="D490"/>
      <c r="E490"/>
      <c r="F490"/>
      <c r="G490"/>
    </row>
    <row r="491" spans="2:17" ht="15" customHeight="1" x14ac:dyDescent="0.25">
      <c r="B491" s="430" t="s">
        <v>537</v>
      </c>
      <c r="C491" s="426" t="s">
        <v>481</v>
      </c>
      <c r="D491" s="426"/>
      <c r="E491" s="426"/>
      <c r="F491" s="426"/>
      <c r="G491" s="426"/>
      <c r="H491" s="426"/>
      <c r="I491" s="426"/>
      <c r="J491" s="426"/>
      <c r="K491" s="426"/>
      <c r="L491" s="426"/>
      <c r="M491" s="426"/>
      <c r="N491" s="426"/>
      <c r="O491" s="443" t="s">
        <v>697</v>
      </c>
      <c r="P491" s="444"/>
      <c r="Q491" s="445"/>
    </row>
    <row r="492" spans="2:17" ht="15" customHeight="1" x14ac:dyDescent="0.25">
      <c r="B492" s="431"/>
      <c r="C492" s="426" t="s">
        <v>658</v>
      </c>
      <c r="D492" s="426"/>
      <c r="E492" s="426"/>
      <c r="F492" s="426" t="s">
        <v>490</v>
      </c>
      <c r="G492" s="426"/>
      <c r="H492" s="426"/>
      <c r="I492" s="426" t="s">
        <v>4</v>
      </c>
      <c r="J492" s="426"/>
      <c r="K492" s="426"/>
      <c r="L492" s="426" t="s">
        <v>6</v>
      </c>
      <c r="M492" s="426"/>
      <c r="N492" s="426"/>
      <c r="O492" s="446"/>
      <c r="P492" s="447"/>
      <c r="Q492" s="448"/>
    </row>
    <row r="493" spans="2:17" x14ac:dyDescent="0.25">
      <c r="B493" s="432"/>
      <c r="C493" s="161" t="s">
        <v>76</v>
      </c>
      <c r="D493" s="161" t="s">
        <v>77</v>
      </c>
      <c r="E493" s="161" t="s">
        <v>28</v>
      </c>
      <c r="F493" s="161" t="s">
        <v>76</v>
      </c>
      <c r="G493" s="161" t="s">
        <v>77</v>
      </c>
      <c r="H493" s="161" t="s">
        <v>28</v>
      </c>
      <c r="I493" s="161" t="s">
        <v>76</v>
      </c>
      <c r="J493" s="161" t="s">
        <v>77</v>
      </c>
      <c r="K493" s="161" t="s">
        <v>28</v>
      </c>
      <c r="L493" s="161" t="s">
        <v>76</v>
      </c>
      <c r="M493" s="161" t="s">
        <v>77</v>
      </c>
      <c r="N493" s="161" t="s">
        <v>28</v>
      </c>
      <c r="O493" s="244" t="s">
        <v>76</v>
      </c>
      <c r="P493" s="244" t="s">
        <v>77</v>
      </c>
      <c r="Q493" s="244" t="s">
        <v>28</v>
      </c>
    </row>
    <row r="494" spans="2:17" x14ac:dyDescent="0.25">
      <c r="B494" s="236" t="s">
        <v>377</v>
      </c>
      <c r="C494" s="277"/>
      <c r="D494" s="277"/>
      <c r="E494" s="277"/>
      <c r="F494" s="277">
        <v>1</v>
      </c>
      <c r="G494" s="277">
        <v>2</v>
      </c>
      <c r="H494" s="253">
        <v>3</v>
      </c>
      <c r="I494" s="277"/>
      <c r="J494" s="253"/>
      <c r="K494" s="277"/>
      <c r="L494" s="253"/>
      <c r="M494" s="277"/>
      <c r="N494" s="253"/>
      <c r="O494" s="269">
        <v>1</v>
      </c>
      <c r="P494" s="269">
        <v>2</v>
      </c>
      <c r="Q494" s="269">
        <v>3</v>
      </c>
    </row>
    <row r="495" spans="2:17" x14ac:dyDescent="0.25">
      <c r="B495" s="236" t="s">
        <v>380</v>
      </c>
      <c r="C495" s="277">
        <v>4</v>
      </c>
      <c r="D495" s="277">
        <v>3</v>
      </c>
      <c r="E495" s="277">
        <v>7</v>
      </c>
      <c r="F495" s="277">
        <v>23</v>
      </c>
      <c r="G495" s="277">
        <v>22</v>
      </c>
      <c r="H495" s="253">
        <v>45</v>
      </c>
      <c r="I495" s="277"/>
      <c r="J495" s="253"/>
      <c r="K495" s="277"/>
      <c r="L495" s="253"/>
      <c r="M495" s="277">
        <v>1</v>
      </c>
      <c r="N495" s="253">
        <v>1</v>
      </c>
      <c r="O495" s="269">
        <v>27</v>
      </c>
      <c r="P495" s="269">
        <v>26</v>
      </c>
      <c r="Q495" s="269">
        <v>53</v>
      </c>
    </row>
    <row r="496" spans="2:17" x14ac:dyDescent="0.25">
      <c r="B496" s="236" t="s">
        <v>381</v>
      </c>
      <c r="C496" s="277">
        <v>1</v>
      </c>
      <c r="D496" s="277"/>
      <c r="E496" s="277">
        <v>1</v>
      </c>
      <c r="F496" s="277">
        <v>8</v>
      </c>
      <c r="G496" s="277">
        <v>5</v>
      </c>
      <c r="H496" s="253">
        <v>13</v>
      </c>
      <c r="I496" s="277"/>
      <c r="J496" s="253"/>
      <c r="K496" s="277"/>
      <c r="L496" s="253"/>
      <c r="M496" s="277">
        <v>1</v>
      </c>
      <c r="N496" s="253">
        <v>1</v>
      </c>
      <c r="O496" s="269">
        <v>9</v>
      </c>
      <c r="P496" s="269">
        <v>6</v>
      </c>
      <c r="Q496" s="269">
        <v>15</v>
      </c>
    </row>
    <row r="497" spans="2:17" x14ac:dyDescent="0.25">
      <c r="B497" s="237" t="s">
        <v>383</v>
      </c>
      <c r="C497" s="277">
        <v>16</v>
      </c>
      <c r="D497" s="277">
        <v>3</v>
      </c>
      <c r="E497" s="277">
        <v>19</v>
      </c>
      <c r="F497" s="277">
        <v>154</v>
      </c>
      <c r="G497" s="277">
        <v>130</v>
      </c>
      <c r="H497" s="253">
        <v>284</v>
      </c>
      <c r="I497" s="277">
        <v>2</v>
      </c>
      <c r="J497" s="253">
        <v>3</v>
      </c>
      <c r="K497" s="277">
        <v>5</v>
      </c>
      <c r="L497" s="253">
        <v>5</v>
      </c>
      <c r="M497" s="277">
        <v>9</v>
      </c>
      <c r="N497" s="253">
        <v>14</v>
      </c>
      <c r="O497" s="269">
        <v>177</v>
      </c>
      <c r="P497" s="269">
        <v>145</v>
      </c>
      <c r="Q497" s="269">
        <v>322</v>
      </c>
    </row>
    <row r="498" spans="2:17" x14ac:dyDescent="0.25">
      <c r="B498" s="237" t="s">
        <v>384</v>
      </c>
      <c r="C498" s="277"/>
      <c r="D498" s="277"/>
      <c r="E498" s="277"/>
      <c r="F498" s="277"/>
      <c r="G498" s="277">
        <v>1</v>
      </c>
      <c r="H498" s="253">
        <v>1</v>
      </c>
      <c r="I498" s="277"/>
      <c r="J498" s="253"/>
      <c r="K498" s="277"/>
      <c r="L498" s="253"/>
      <c r="M498" s="277"/>
      <c r="N498" s="253"/>
      <c r="O498" s="269"/>
      <c r="P498" s="269">
        <v>1</v>
      </c>
      <c r="Q498" s="269">
        <v>1</v>
      </c>
    </row>
    <row r="499" spans="2:17" x14ac:dyDescent="0.25">
      <c r="B499" s="237" t="s">
        <v>386</v>
      </c>
      <c r="C499" s="277"/>
      <c r="D499" s="277"/>
      <c r="E499" s="277"/>
      <c r="F499" s="277">
        <v>1</v>
      </c>
      <c r="G499" s="277"/>
      <c r="H499" s="253">
        <v>1</v>
      </c>
      <c r="I499" s="277"/>
      <c r="J499" s="253"/>
      <c r="K499" s="277"/>
      <c r="L499" s="253"/>
      <c r="M499" s="277"/>
      <c r="N499" s="253"/>
      <c r="O499" s="269">
        <v>1</v>
      </c>
      <c r="P499" s="269"/>
      <c r="Q499" s="269">
        <v>1</v>
      </c>
    </row>
    <row r="500" spans="2:17" x14ac:dyDescent="0.25">
      <c r="B500" s="237" t="s">
        <v>387</v>
      </c>
      <c r="C500" s="277"/>
      <c r="D500" s="277"/>
      <c r="E500" s="277"/>
      <c r="F500" s="277"/>
      <c r="G500" s="277">
        <v>1</v>
      </c>
      <c r="H500" s="253">
        <v>1</v>
      </c>
      <c r="I500" s="277"/>
      <c r="J500" s="253"/>
      <c r="K500" s="277"/>
      <c r="L500" s="253"/>
      <c r="M500" s="277"/>
      <c r="N500" s="253"/>
      <c r="O500" s="269"/>
      <c r="P500" s="269">
        <v>1</v>
      </c>
      <c r="Q500" s="269">
        <v>1</v>
      </c>
    </row>
    <row r="501" spans="2:17" x14ac:dyDescent="0.25">
      <c r="B501" s="311" t="s">
        <v>28</v>
      </c>
      <c r="C501" s="271">
        <v>21</v>
      </c>
      <c r="D501" s="271">
        <v>6</v>
      </c>
      <c r="E501" s="271">
        <v>27</v>
      </c>
      <c r="F501" s="271">
        <v>187</v>
      </c>
      <c r="G501" s="271">
        <v>161</v>
      </c>
      <c r="H501" s="269">
        <v>348</v>
      </c>
      <c r="I501" s="271">
        <v>2</v>
      </c>
      <c r="J501" s="269">
        <v>3</v>
      </c>
      <c r="K501" s="271">
        <v>5</v>
      </c>
      <c r="L501" s="269">
        <v>5</v>
      </c>
      <c r="M501" s="271">
        <v>11</v>
      </c>
      <c r="N501" s="269">
        <v>16</v>
      </c>
      <c r="O501" s="269">
        <v>215</v>
      </c>
      <c r="P501" s="269">
        <v>181</v>
      </c>
      <c r="Q501" s="269">
        <v>396</v>
      </c>
    </row>
    <row r="502" spans="2:17" ht="124.5" customHeight="1" x14ac:dyDescent="0.25">
      <c r="B502" s="428" t="s">
        <v>866</v>
      </c>
      <c r="C502" s="428"/>
      <c r="D502" s="428"/>
      <c r="E502" s="428"/>
      <c r="F502" s="428"/>
      <c r="G502" s="428"/>
      <c r="H502" s="428"/>
      <c r="I502" s="428"/>
      <c r="J502" s="428"/>
      <c r="K502" s="428"/>
      <c r="L502" s="428"/>
      <c r="M502" s="428"/>
      <c r="N502" s="428"/>
      <c r="O502" s="428"/>
      <c r="P502" s="428"/>
      <c r="Q502" s="428"/>
    </row>
    <row r="503" spans="2:17" x14ac:dyDescent="0.25">
      <c r="B503" s="158"/>
      <c r="C503" s="158"/>
      <c r="D503" s="158"/>
      <c r="E503"/>
      <c r="F503"/>
      <c r="G503"/>
    </row>
    <row r="523" spans="2:7" x14ac:dyDescent="0.25">
      <c r="B523" s="158"/>
      <c r="C523" s="158"/>
      <c r="D523" s="158"/>
      <c r="E523"/>
      <c r="F523"/>
      <c r="G523"/>
    </row>
    <row r="524" spans="2:7" x14ac:dyDescent="0.25">
      <c r="B524" s="158"/>
      <c r="C524" s="158"/>
      <c r="D524" s="158"/>
      <c r="E524"/>
      <c r="F524"/>
      <c r="G524"/>
    </row>
  </sheetData>
  <mergeCells count="136">
    <mergeCell ref="F492:H492"/>
    <mergeCell ref="I492:K492"/>
    <mergeCell ref="L492:N492"/>
    <mergeCell ref="C164:N164"/>
    <mergeCell ref="O335:Q336"/>
    <mergeCell ref="C336:E336"/>
    <mergeCell ref="F336:H336"/>
    <mergeCell ref="I336:K336"/>
    <mergeCell ref="L336:N336"/>
    <mergeCell ref="B300:Q300"/>
    <mergeCell ref="B476:B478"/>
    <mergeCell ref="B438:B440"/>
    <mergeCell ref="B376:B378"/>
    <mergeCell ref="B335:B337"/>
    <mergeCell ref="C335:N335"/>
    <mergeCell ref="C438:N438"/>
    <mergeCell ref="C266:N266"/>
    <mergeCell ref="O266:Q267"/>
    <mergeCell ref="C491:N491"/>
    <mergeCell ref="C376:N376"/>
    <mergeCell ref="O376:Q377"/>
    <mergeCell ref="C377:E377"/>
    <mergeCell ref="F377:H377"/>
    <mergeCell ref="I377:K377"/>
    <mergeCell ref="B502:Q502"/>
    <mergeCell ref="B164:B166"/>
    <mergeCell ref="B491:B493"/>
    <mergeCell ref="O305:Q306"/>
    <mergeCell ref="C306:E306"/>
    <mergeCell ref="F306:H306"/>
    <mergeCell ref="I306:K306"/>
    <mergeCell ref="L306:N306"/>
    <mergeCell ref="C417:N417"/>
    <mergeCell ref="O417:Q418"/>
    <mergeCell ref="C418:E418"/>
    <mergeCell ref="F418:H418"/>
    <mergeCell ref="I418:K418"/>
    <mergeCell ref="L418:N418"/>
    <mergeCell ref="B433:Q433"/>
    <mergeCell ref="B305:B307"/>
    <mergeCell ref="B417:B419"/>
    <mergeCell ref="C305:N305"/>
    <mergeCell ref="C267:E267"/>
    <mergeCell ref="F267:H267"/>
    <mergeCell ref="I267:K267"/>
    <mergeCell ref="L267:N267"/>
    <mergeCell ref="B262:Q262"/>
    <mergeCell ref="B330:Q330"/>
    <mergeCell ref="O95:Q96"/>
    <mergeCell ref="C96:E96"/>
    <mergeCell ref="F96:H96"/>
    <mergeCell ref="I96:K96"/>
    <mergeCell ref="L96:N96"/>
    <mergeCell ref="O225:Q226"/>
    <mergeCell ref="C226:E226"/>
    <mergeCell ref="F226:H226"/>
    <mergeCell ref="I226:K226"/>
    <mergeCell ref="L226:N226"/>
    <mergeCell ref="O164:Q165"/>
    <mergeCell ref="C165:E165"/>
    <mergeCell ref="F165:H165"/>
    <mergeCell ref="I165:K165"/>
    <mergeCell ref="L165:N165"/>
    <mergeCell ref="B220:Q220"/>
    <mergeCell ref="L119:N119"/>
    <mergeCell ref="B114:Q114"/>
    <mergeCell ref="B160:Q160"/>
    <mergeCell ref="B27:Q27"/>
    <mergeCell ref="O61:Q62"/>
    <mergeCell ref="C62:E62"/>
    <mergeCell ref="F62:H62"/>
    <mergeCell ref="I62:K62"/>
    <mergeCell ref="L62:N62"/>
    <mergeCell ref="C78:N78"/>
    <mergeCell ref="O78:Q79"/>
    <mergeCell ref="C79:E79"/>
    <mergeCell ref="F79:H79"/>
    <mergeCell ref="I79:K79"/>
    <mergeCell ref="L79:N79"/>
    <mergeCell ref="B74:Q74"/>
    <mergeCell ref="B78:B80"/>
    <mergeCell ref="C34:N34"/>
    <mergeCell ref="O34:Q35"/>
    <mergeCell ref="F35:H35"/>
    <mergeCell ref="I35:K35"/>
    <mergeCell ref="L35:N35"/>
    <mergeCell ref="B41:Q41"/>
    <mergeCell ref="B34:B36"/>
    <mergeCell ref="O491:Q492"/>
    <mergeCell ref="C492:E492"/>
    <mergeCell ref="B7:B9"/>
    <mergeCell ref="B46:B48"/>
    <mergeCell ref="B61:B63"/>
    <mergeCell ref="B266:B268"/>
    <mergeCell ref="B225:B227"/>
    <mergeCell ref="B118:B120"/>
    <mergeCell ref="B95:B97"/>
    <mergeCell ref="C61:N61"/>
    <mergeCell ref="C95:N95"/>
    <mergeCell ref="C225:N225"/>
    <mergeCell ref="B57:Q57"/>
    <mergeCell ref="O7:Q8"/>
    <mergeCell ref="C7:N7"/>
    <mergeCell ref="C8:E8"/>
    <mergeCell ref="F8:H8"/>
    <mergeCell ref="I8:K8"/>
    <mergeCell ref="L377:N377"/>
    <mergeCell ref="B372:Q372"/>
    <mergeCell ref="O438:Q439"/>
    <mergeCell ref="C439:E439"/>
    <mergeCell ref="F439:H439"/>
    <mergeCell ref="I439:K439"/>
    <mergeCell ref="L8:N8"/>
    <mergeCell ref="C46:N46"/>
    <mergeCell ref="O46:Q47"/>
    <mergeCell ref="C47:E47"/>
    <mergeCell ref="F47:H47"/>
    <mergeCell ref="I47:K47"/>
    <mergeCell ref="L47:N47"/>
    <mergeCell ref="C35:E35"/>
    <mergeCell ref="B487:Q487"/>
    <mergeCell ref="F477:H477"/>
    <mergeCell ref="I477:K477"/>
    <mergeCell ref="L477:N477"/>
    <mergeCell ref="B472:Q472"/>
    <mergeCell ref="B412:Q412"/>
    <mergeCell ref="L439:N439"/>
    <mergeCell ref="C476:N476"/>
    <mergeCell ref="O476:Q477"/>
    <mergeCell ref="C477:E477"/>
    <mergeCell ref="B91:Q91"/>
    <mergeCell ref="C118:N118"/>
    <mergeCell ref="O118:Q119"/>
    <mergeCell ref="C119:E119"/>
    <mergeCell ref="F119:H119"/>
    <mergeCell ref="I119:K119"/>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W235"/>
  <sheetViews>
    <sheetView showGridLines="0" workbookViewId="0"/>
    <sheetView workbookViewId="1"/>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0" ht="23.25" x14ac:dyDescent="0.25">
      <c r="B2" s="1" t="s">
        <v>726</v>
      </c>
    </row>
    <row r="3" spans="2:20" ht="23.25" x14ac:dyDescent="0.25">
      <c r="B3" s="1"/>
    </row>
    <row r="4" spans="2:20" ht="18.75" x14ac:dyDescent="0.3">
      <c r="B4" s="462" t="s">
        <v>808</v>
      </c>
      <c r="C4" s="462"/>
      <c r="D4" s="462"/>
      <c r="E4" s="462"/>
      <c r="F4" s="462"/>
      <c r="G4" s="462"/>
      <c r="H4" s="462"/>
    </row>
    <row r="5" spans="2:20" x14ac:dyDescent="0.25">
      <c r="B5" s="456" t="s">
        <v>857</v>
      </c>
      <c r="C5" s="456"/>
      <c r="D5" s="456"/>
      <c r="E5" s="456"/>
      <c r="F5" s="456"/>
      <c r="G5" s="456"/>
      <c r="H5" s="456"/>
    </row>
    <row r="6" spans="2:20" x14ac:dyDescent="0.25">
      <c r="B6" s="3"/>
      <c r="C6" s="3"/>
      <c r="D6" s="3"/>
      <c r="E6" s="3"/>
      <c r="F6" s="3"/>
      <c r="G6" s="3"/>
      <c r="H6" s="3"/>
      <c r="I6" s="3"/>
    </row>
    <row r="7" spans="2:20" x14ac:dyDescent="0.25">
      <c r="B7" s="426" t="s">
        <v>782</v>
      </c>
      <c r="C7" s="426"/>
      <c r="D7" s="426"/>
      <c r="E7" s="426"/>
      <c r="F7" s="426" t="s">
        <v>481</v>
      </c>
      <c r="G7" s="426"/>
      <c r="H7" s="426"/>
      <c r="I7" s="426"/>
      <c r="J7" s="426"/>
      <c r="K7" s="426"/>
      <c r="L7" s="426"/>
      <c r="M7" s="426"/>
      <c r="N7" s="426"/>
      <c r="O7" s="426"/>
      <c r="P7" s="426"/>
      <c r="Q7" s="426"/>
      <c r="R7" s="463" t="s">
        <v>28</v>
      </c>
      <c r="S7" s="463"/>
      <c r="T7" s="463"/>
    </row>
    <row r="8" spans="2:20" x14ac:dyDescent="0.25">
      <c r="B8" s="426"/>
      <c r="C8" s="426"/>
      <c r="D8" s="426"/>
      <c r="E8" s="426"/>
      <c r="F8" s="464" t="s">
        <v>658</v>
      </c>
      <c r="G8" s="464"/>
      <c r="H8" s="464"/>
      <c r="I8" s="464" t="s">
        <v>490</v>
      </c>
      <c r="J8" s="464"/>
      <c r="K8" s="464"/>
      <c r="L8" s="464" t="s">
        <v>4</v>
      </c>
      <c r="M8" s="464"/>
      <c r="N8" s="464"/>
      <c r="O8" s="464" t="s">
        <v>6</v>
      </c>
      <c r="P8" s="464"/>
      <c r="Q8" s="464"/>
      <c r="R8" s="463"/>
      <c r="S8" s="463"/>
      <c r="T8" s="463"/>
    </row>
    <row r="9" spans="2:20" x14ac:dyDescent="0.25">
      <c r="B9" s="426"/>
      <c r="C9" s="426"/>
      <c r="D9" s="426"/>
      <c r="E9" s="426"/>
      <c r="F9" s="240" t="s">
        <v>76</v>
      </c>
      <c r="G9" s="240" t="s">
        <v>77</v>
      </c>
      <c r="H9" s="240" t="s">
        <v>28</v>
      </c>
      <c r="I9" s="240" t="s">
        <v>76</v>
      </c>
      <c r="J9" s="240" t="s">
        <v>77</v>
      </c>
      <c r="K9" s="240" t="s">
        <v>28</v>
      </c>
      <c r="L9" s="240" t="s">
        <v>76</v>
      </c>
      <c r="M9" s="240" t="s">
        <v>77</v>
      </c>
      <c r="N9" s="240" t="s">
        <v>28</v>
      </c>
      <c r="O9" s="240" t="s">
        <v>76</v>
      </c>
      <c r="P9" s="240" t="s">
        <v>77</v>
      </c>
      <c r="Q9" s="240" t="s">
        <v>28</v>
      </c>
      <c r="R9" s="322" t="s">
        <v>76</v>
      </c>
      <c r="S9" s="322" t="s">
        <v>77</v>
      </c>
      <c r="T9" s="322" t="s">
        <v>28</v>
      </c>
    </row>
    <row r="10" spans="2:20" x14ac:dyDescent="0.25">
      <c r="B10" s="460" t="s">
        <v>789</v>
      </c>
      <c r="C10" s="460"/>
      <c r="D10" s="460"/>
      <c r="E10" s="460"/>
      <c r="F10" s="324"/>
      <c r="G10" s="325"/>
      <c r="H10" s="325"/>
      <c r="I10" s="325"/>
      <c r="J10" s="325"/>
      <c r="K10" s="325"/>
      <c r="L10" s="325"/>
      <c r="M10" s="325"/>
      <c r="N10" s="325"/>
      <c r="O10" s="325">
        <v>14</v>
      </c>
      <c r="P10" s="325">
        <v>2</v>
      </c>
      <c r="Q10" s="325">
        <v>16</v>
      </c>
      <c r="R10" s="326">
        <v>14</v>
      </c>
      <c r="S10" s="326">
        <v>2</v>
      </c>
      <c r="T10" s="326">
        <v>16</v>
      </c>
    </row>
    <row r="11" spans="2:20" x14ac:dyDescent="0.25">
      <c r="B11" s="460" t="s">
        <v>790</v>
      </c>
      <c r="C11" s="460"/>
      <c r="D11" s="460"/>
      <c r="E11" s="460"/>
      <c r="F11" s="324">
        <v>3</v>
      </c>
      <c r="G11" s="325">
        <v>4</v>
      </c>
      <c r="H11" s="325">
        <v>7</v>
      </c>
      <c r="I11" s="325">
        <v>1</v>
      </c>
      <c r="J11" s="325">
        <v>3</v>
      </c>
      <c r="K11" s="325">
        <v>4</v>
      </c>
      <c r="L11" s="325"/>
      <c r="M11" s="325"/>
      <c r="N11" s="325"/>
      <c r="O11" s="325"/>
      <c r="P11" s="325"/>
      <c r="Q11" s="325"/>
      <c r="R11" s="326">
        <v>4</v>
      </c>
      <c r="S11" s="326">
        <v>7</v>
      </c>
      <c r="T11" s="326">
        <v>11</v>
      </c>
    </row>
    <row r="12" spans="2:20" ht="32.25" customHeight="1" x14ac:dyDescent="0.25">
      <c r="B12" s="460" t="s">
        <v>791</v>
      </c>
      <c r="C12" s="460"/>
      <c r="D12" s="460"/>
      <c r="E12" s="460"/>
      <c r="F12" s="324">
        <v>3</v>
      </c>
      <c r="G12" s="325"/>
      <c r="H12" s="325">
        <v>3</v>
      </c>
      <c r="I12" s="325">
        <v>1</v>
      </c>
      <c r="J12" s="325"/>
      <c r="K12" s="325">
        <v>1</v>
      </c>
      <c r="L12" s="325"/>
      <c r="M12" s="325"/>
      <c r="N12" s="325"/>
      <c r="O12" s="325"/>
      <c r="P12" s="325"/>
      <c r="Q12" s="325"/>
      <c r="R12" s="326">
        <v>4</v>
      </c>
      <c r="S12" s="326"/>
      <c r="T12" s="326">
        <v>4</v>
      </c>
    </row>
    <row r="13" spans="2:20" ht="30" customHeight="1" x14ac:dyDescent="0.25">
      <c r="B13" s="460" t="s">
        <v>792</v>
      </c>
      <c r="C13" s="460"/>
      <c r="D13" s="460"/>
      <c r="E13" s="460"/>
      <c r="F13" s="324"/>
      <c r="G13" s="325"/>
      <c r="H13" s="325"/>
      <c r="I13" s="325">
        <v>1580</v>
      </c>
      <c r="J13" s="325">
        <v>2387</v>
      </c>
      <c r="K13" s="325">
        <v>3967</v>
      </c>
      <c r="L13" s="325">
        <v>11</v>
      </c>
      <c r="M13" s="325">
        <v>3</v>
      </c>
      <c r="N13" s="325">
        <v>14</v>
      </c>
      <c r="O13" s="325">
        <v>5</v>
      </c>
      <c r="P13" s="325">
        <v>14</v>
      </c>
      <c r="Q13" s="325">
        <v>19</v>
      </c>
      <c r="R13" s="326">
        <v>1596</v>
      </c>
      <c r="S13" s="326">
        <v>2404</v>
      </c>
      <c r="T13" s="326">
        <v>4000</v>
      </c>
    </row>
    <row r="14" spans="2:20" x14ac:dyDescent="0.25">
      <c r="B14" s="460" t="s">
        <v>793</v>
      </c>
      <c r="C14" s="460"/>
      <c r="D14" s="460"/>
      <c r="E14" s="460"/>
      <c r="F14" s="324">
        <v>6</v>
      </c>
      <c r="G14" s="325">
        <v>9</v>
      </c>
      <c r="H14" s="325">
        <v>15</v>
      </c>
      <c r="I14" s="325">
        <v>7</v>
      </c>
      <c r="J14" s="325">
        <v>9</v>
      </c>
      <c r="K14" s="325">
        <v>16</v>
      </c>
      <c r="L14" s="325"/>
      <c r="M14" s="325"/>
      <c r="N14" s="325"/>
      <c r="O14" s="325"/>
      <c r="P14" s="325"/>
      <c r="Q14" s="325"/>
      <c r="R14" s="326">
        <v>13</v>
      </c>
      <c r="S14" s="326">
        <v>18</v>
      </c>
      <c r="T14" s="326">
        <v>31</v>
      </c>
    </row>
    <row r="15" spans="2:20" x14ac:dyDescent="0.25">
      <c r="B15" s="460" t="s">
        <v>794</v>
      </c>
      <c r="C15" s="460"/>
      <c r="D15" s="460"/>
      <c r="E15" s="460"/>
      <c r="F15" s="324"/>
      <c r="G15" s="325"/>
      <c r="H15" s="325"/>
      <c r="I15" s="325"/>
      <c r="J15" s="325"/>
      <c r="K15" s="325"/>
      <c r="L15" s="325">
        <v>1</v>
      </c>
      <c r="M15" s="325"/>
      <c r="N15" s="325">
        <v>1</v>
      </c>
      <c r="O15" s="325">
        <v>14</v>
      </c>
      <c r="P15" s="325">
        <v>35</v>
      </c>
      <c r="Q15" s="325">
        <v>49</v>
      </c>
      <c r="R15" s="326">
        <v>15</v>
      </c>
      <c r="S15" s="326">
        <v>35</v>
      </c>
      <c r="T15" s="326">
        <v>50</v>
      </c>
    </row>
    <row r="16" spans="2:20" x14ac:dyDescent="0.25">
      <c r="B16" s="460" t="s">
        <v>795</v>
      </c>
      <c r="C16" s="460"/>
      <c r="D16" s="460"/>
      <c r="E16" s="460"/>
      <c r="F16" s="324"/>
      <c r="G16" s="325"/>
      <c r="H16" s="325"/>
      <c r="I16" s="325"/>
      <c r="J16" s="325"/>
      <c r="K16" s="325"/>
      <c r="L16" s="325">
        <v>14</v>
      </c>
      <c r="M16" s="325"/>
      <c r="N16" s="325">
        <v>14</v>
      </c>
      <c r="O16" s="325"/>
      <c r="P16" s="325"/>
      <c r="Q16" s="325"/>
      <c r="R16" s="326">
        <v>14</v>
      </c>
      <c r="S16" s="326"/>
      <c r="T16" s="326">
        <v>14</v>
      </c>
    </row>
    <row r="17" spans="2:23" x14ac:dyDescent="0.25">
      <c r="B17" s="460" t="s">
        <v>796</v>
      </c>
      <c r="C17" s="460"/>
      <c r="D17" s="460"/>
      <c r="E17" s="460"/>
      <c r="F17" s="324"/>
      <c r="G17" s="325"/>
      <c r="H17" s="325"/>
      <c r="I17" s="325">
        <v>4</v>
      </c>
      <c r="J17" s="325">
        <v>34</v>
      </c>
      <c r="K17" s="325">
        <v>38</v>
      </c>
      <c r="L17" s="325"/>
      <c r="M17" s="325"/>
      <c r="N17" s="325"/>
      <c r="O17" s="325">
        <v>2</v>
      </c>
      <c r="P17" s="325">
        <v>2</v>
      </c>
      <c r="Q17" s="325">
        <v>4</v>
      </c>
      <c r="R17" s="326">
        <v>6</v>
      </c>
      <c r="S17" s="326">
        <v>36</v>
      </c>
      <c r="T17" s="326">
        <v>42</v>
      </c>
    </row>
    <row r="18" spans="2:23" ht="30" customHeight="1" x14ac:dyDescent="0.25">
      <c r="B18" s="460" t="s">
        <v>797</v>
      </c>
      <c r="C18" s="460"/>
      <c r="D18" s="460"/>
      <c r="E18" s="460"/>
      <c r="F18" s="324"/>
      <c r="G18" s="325"/>
      <c r="H18" s="325"/>
      <c r="I18" s="325"/>
      <c r="J18" s="325"/>
      <c r="K18" s="325"/>
      <c r="L18" s="325"/>
      <c r="M18" s="325"/>
      <c r="N18" s="325"/>
      <c r="O18" s="325">
        <v>24</v>
      </c>
      <c r="P18" s="325">
        <v>58</v>
      </c>
      <c r="Q18" s="325">
        <v>82</v>
      </c>
      <c r="R18" s="326">
        <v>24</v>
      </c>
      <c r="S18" s="326">
        <v>58</v>
      </c>
      <c r="T18" s="326">
        <v>82</v>
      </c>
    </row>
    <row r="19" spans="2:23" ht="30" customHeight="1" x14ac:dyDescent="0.25">
      <c r="B19" s="460" t="s">
        <v>798</v>
      </c>
      <c r="C19" s="460"/>
      <c r="D19" s="460"/>
      <c r="E19" s="460"/>
      <c r="F19" s="324">
        <v>1</v>
      </c>
      <c r="G19" s="325"/>
      <c r="H19" s="325">
        <v>1</v>
      </c>
      <c r="I19" s="325"/>
      <c r="J19" s="325"/>
      <c r="K19" s="325"/>
      <c r="L19" s="325"/>
      <c r="M19" s="325"/>
      <c r="N19" s="325"/>
      <c r="O19" s="325"/>
      <c r="P19" s="325"/>
      <c r="Q19" s="325"/>
      <c r="R19" s="326">
        <v>1</v>
      </c>
      <c r="S19" s="326"/>
      <c r="T19" s="326">
        <v>1</v>
      </c>
    </row>
    <row r="20" spans="2:23" ht="30" customHeight="1" x14ac:dyDescent="0.25">
      <c r="B20" s="460" t="s">
        <v>799</v>
      </c>
      <c r="C20" s="460"/>
      <c r="D20" s="460"/>
      <c r="E20" s="460"/>
      <c r="F20" s="324"/>
      <c r="G20" s="325"/>
      <c r="H20" s="325"/>
      <c r="I20" s="325"/>
      <c r="J20" s="325"/>
      <c r="K20" s="325"/>
      <c r="L20" s="325"/>
      <c r="M20" s="325">
        <v>1</v>
      </c>
      <c r="N20" s="325">
        <v>1</v>
      </c>
      <c r="O20" s="325"/>
      <c r="P20" s="325"/>
      <c r="Q20" s="325"/>
      <c r="R20" s="326"/>
      <c r="S20" s="326">
        <v>1</v>
      </c>
      <c r="T20" s="326">
        <v>1</v>
      </c>
    </row>
    <row r="21" spans="2:23" x14ac:dyDescent="0.25">
      <c r="B21" s="460" t="s">
        <v>800</v>
      </c>
      <c r="C21" s="460"/>
      <c r="D21" s="460"/>
      <c r="E21" s="460"/>
      <c r="F21" s="324"/>
      <c r="G21" s="325"/>
      <c r="H21" s="325"/>
      <c r="I21" s="325"/>
      <c r="J21" s="325"/>
      <c r="K21" s="325"/>
      <c r="L21" s="325"/>
      <c r="M21" s="325"/>
      <c r="N21" s="325"/>
      <c r="O21" s="325">
        <v>1</v>
      </c>
      <c r="P21" s="325"/>
      <c r="Q21" s="325">
        <v>1</v>
      </c>
      <c r="R21" s="326">
        <v>1</v>
      </c>
      <c r="S21" s="326"/>
      <c r="T21" s="326">
        <v>1</v>
      </c>
    </row>
    <row r="22" spans="2:23" x14ac:dyDescent="0.25">
      <c r="B22" s="460" t="s">
        <v>867</v>
      </c>
      <c r="C22" s="460"/>
      <c r="D22" s="460"/>
      <c r="E22" s="460"/>
      <c r="F22" s="324"/>
      <c r="G22" s="325"/>
      <c r="H22" s="325"/>
      <c r="I22" s="325"/>
      <c r="J22" s="325"/>
      <c r="K22" s="325"/>
      <c r="L22" s="325"/>
      <c r="M22" s="325"/>
      <c r="N22" s="325"/>
      <c r="O22" s="325">
        <v>1</v>
      </c>
      <c r="P22" s="325"/>
      <c r="Q22" s="325">
        <v>1</v>
      </c>
      <c r="R22" s="326">
        <v>1</v>
      </c>
      <c r="S22" s="326"/>
      <c r="T22" s="326">
        <v>1</v>
      </c>
    </row>
    <row r="23" spans="2:23" ht="30" customHeight="1" x14ac:dyDescent="0.25">
      <c r="B23" s="460" t="s">
        <v>801</v>
      </c>
      <c r="C23" s="460"/>
      <c r="D23" s="460"/>
      <c r="E23" s="460"/>
      <c r="F23" s="324">
        <v>2</v>
      </c>
      <c r="G23" s="325">
        <v>6</v>
      </c>
      <c r="H23" s="325">
        <v>8</v>
      </c>
      <c r="I23" s="325">
        <v>1</v>
      </c>
      <c r="J23" s="325">
        <v>1</v>
      </c>
      <c r="K23" s="325">
        <v>2</v>
      </c>
      <c r="L23" s="325"/>
      <c r="M23" s="325"/>
      <c r="N23" s="325"/>
      <c r="O23" s="325"/>
      <c r="P23" s="325"/>
      <c r="Q23" s="325"/>
      <c r="R23" s="326">
        <v>3</v>
      </c>
      <c r="S23" s="326">
        <v>7</v>
      </c>
      <c r="T23" s="326">
        <v>10</v>
      </c>
    </row>
    <row r="24" spans="2:23" x14ac:dyDescent="0.25">
      <c r="B24" s="460" t="s">
        <v>802</v>
      </c>
      <c r="C24" s="460"/>
      <c r="D24" s="460"/>
      <c r="E24" s="460"/>
      <c r="F24" s="324"/>
      <c r="G24" s="325"/>
      <c r="H24" s="325"/>
      <c r="I24" s="325"/>
      <c r="J24" s="325"/>
      <c r="K24" s="325"/>
      <c r="L24" s="325"/>
      <c r="M24" s="325"/>
      <c r="N24" s="325"/>
      <c r="O24" s="325">
        <v>1</v>
      </c>
      <c r="P24" s="325">
        <v>1</v>
      </c>
      <c r="Q24" s="325">
        <v>2</v>
      </c>
      <c r="R24" s="326">
        <v>1</v>
      </c>
      <c r="S24" s="326">
        <v>1</v>
      </c>
      <c r="T24" s="326">
        <v>2</v>
      </c>
    </row>
    <row r="25" spans="2:23" x14ac:dyDescent="0.25">
      <c r="B25" s="461" t="s">
        <v>28</v>
      </c>
      <c r="C25" s="461"/>
      <c r="D25" s="461"/>
      <c r="E25" s="461"/>
      <c r="F25" s="350">
        <v>15</v>
      </c>
      <c r="G25" s="323">
        <v>19</v>
      </c>
      <c r="H25" s="323">
        <v>34</v>
      </c>
      <c r="I25" s="323">
        <v>1594</v>
      </c>
      <c r="J25" s="323">
        <v>2434</v>
      </c>
      <c r="K25" s="323">
        <v>4028</v>
      </c>
      <c r="L25" s="323">
        <v>26</v>
      </c>
      <c r="M25" s="323">
        <v>4</v>
      </c>
      <c r="N25" s="323">
        <v>30</v>
      </c>
      <c r="O25" s="323">
        <v>62</v>
      </c>
      <c r="P25" s="323">
        <v>112</v>
      </c>
      <c r="Q25" s="323">
        <v>174</v>
      </c>
      <c r="R25" s="323">
        <v>1697</v>
      </c>
      <c r="S25" s="323">
        <v>2569</v>
      </c>
      <c r="T25" s="323">
        <v>4266</v>
      </c>
    </row>
    <row r="26" spans="2:23" ht="113.25" customHeight="1" x14ac:dyDescent="0.25">
      <c r="B26" s="428" t="s">
        <v>814</v>
      </c>
      <c r="C26" s="428"/>
      <c r="D26" s="428"/>
      <c r="E26" s="428"/>
      <c r="F26" s="428"/>
      <c r="G26" s="428"/>
      <c r="H26" s="428"/>
      <c r="I26" s="428"/>
      <c r="J26" s="428"/>
      <c r="K26" s="428"/>
      <c r="L26" s="428"/>
      <c r="M26" s="428"/>
      <c r="N26" s="428"/>
      <c r="O26" s="428"/>
      <c r="P26" s="428"/>
      <c r="Q26" s="428"/>
      <c r="R26" s="428"/>
      <c r="S26" s="428"/>
      <c r="T26" s="428"/>
    </row>
    <row r="28" spans="2:23" ht="18.75" x14ac:dyDescent="0.3">
      <c r="B28" s="462" t="s">
        <v>809</v>
      </c>
      <c r="C28" s="462"/>
      <c r="D28" s="462"/>
      <c r="E28" s="462"/>
      <c r="F28" s="462"/>
      <c r="G28" s="462"/>
      <c r="H28" s="462"/>
    </row>
    <row r="29" spans="2:23" x14ac:dyDescent="0.25">
      <c r="B29" s="459" t="s">
        <v>860</v>
      </c>
      <c r="C29" s="459"/>
      <c r="D29" s="459"/>
      <c r="E29" s="459"/>
      <c r="F29" s="459"/>
      <c r="G29" s="459"/>
      <c r="H29" s="459"/>
    </row>
    <row r="30" spans="2:23" x14ac:dyDescent="0.25">
      <c r="B30" s="3"/>
      <c r="C30" s="3"/>
      <c r="D30" s="3"/>
      <c r="E30" s="3"/>
      <c r="F30" s="3"/>
      <c r="G30" s="3"/>
      <c r="H30" s="3"/>
    </row>
    <row r="31" spans="2:23" x14ac:dyDescent="0.25">
      <c r="B31" s="433" t="s">
        <v>476</v>
      </c>
      <c r="C31" s="434" t="s">
        <v>481</v>
      </c>
      <c r="D31" s="435"/>
      <c r="E31" s="435"/>
      <c r="F31" s="435"/>
      <c r="G31" s="435"/>
      <c r="H31" s="435"/>
      <c r="I31" s="435"/>
      <c r="J31" s="435"/>
      <c r="K31" s="435"/>
      <c r="L31" s="435"/>
      <c r="M31" s="435"/>
      <c r="N31" s="435"/>
      <c r="O31" s="435"/>
      <c r="P31" s="435"/>
      <c r="Q31" s="435"/>
      <c r="R31" s="435"/>
      <c r="S31" s="435"/>
      <c r="T31" s="436"/>
      <c r="U31" s="429" t="s">
        <v>480</v>
      </c>
      <c r="V31" s="429"/>
      <c r="W31" s="429"/>
    </row>
    <row r="32" spans="2:23" x14ac:dyDescent="0.25">
      <c r="B32" s="433"/>
      <c r="C32" s="422" t="s">
        <v>658</v>
      </c>
      <c r="D32" s="422"/>
      <c r="E32" s="422"/>
      <c r="F32" s="422" t="s">
        <v>490</v>
      </c>
      <c r="G32" s="422"/>
      <c r="H32" s="422"/>
      <c r="I32" s="422" t="s">
        <v>3</v>
      </c>
      <c r="J32" s="422"/>
      <c r="K32" s="422"/>
      <c r="L32" s="422" t="s">
        <v>4</v>
      </c>
      <c r="M32" s="422"/>
      <c r="N32" s="422"/>
      <c r="O32" s="422" t="s">
        <v>5</v>
      </c>
      <c r="P32" s="422"/>
      <c r="Q32" s="422"/>
      <c r="R32" s="422" t="s">
        <v>6</v>
      </c>
      <c r="S32" s="422"/>
      <c r="T32" s="422"/>
      <c r="U32" s="429"/>
      <c r="V32" s="429"/>
      <c r="W32" s="429"/>
    </row>
    <row r="33" spans="2:23" x14ac:dyDescent="0.25">
      <c r="B33" s="433"/>
      <c r="C33" s="239" t="s">
        <v>76</v>
      </c>
      <c r="D33" s="239" t="s">
        <v>77</v>
      </c>
      <c r="E33" s="239" t="s">
        <v>28</v>
      </c>
      <c r="F33" s="239" t="s">
        <v>76</v>
      </c>
      <c r="G33" s="239" t="s">
        <v>77</v>
      </c>
      <c r="H33" s="239" t="s">
        <v>28</v>
      </c>
      <c r="I33" s="239" t="s">
        <v>76</v>
      </c>
      <c r="J33" s="239" t="s">
        <v>77</v>
      </c>
      <c r="K33" s="239" t="s">
        <v>28</v>
      </c>
      <c r="L33" s="239" t="s">
        <v>76</v>
      </c>
      <c r="M33" s="239" t="s">
        <v>77</v>
      </c>
      <c r="N33" s="239" t="s">
        <v>28</v>
      </c>
      <c r="O33" s="239" t="s">
        <v>76</v>
      </c>
      <c r="P33" s="239" t="s">
        <v>77</v>
      </c>
      <c r="Q33" s="239" t="s">
        <v>28</v>
      </c>
      <c r="R33" s="239" t="s">
        <v>76</v>
      </c>
      <c r="S33" s="239" t="s">
        <v>77</v>
      </c>
      <c r="T33" s="239" t="s">
        <v>28</v>
      </c>
      <c r="U33" s="329" t="s">
        <v>76</v>
      </c>
      <c r="V33" s="329" t="s">
        <v>77</v>
      </c>
      <c r="W33" s="329" t="s">
        <v>28</v>
      </c>
    </row>
    <row r="34" spans="2:23" hidden="1" outlineLevel="1" x14ac:dyDescent="0.25">
      <c r="B34" s="362">
        <v>39630</v>
      </c>
      <c r="C34" s="365"/>
      <c r="D34" s="365"/>
      <c r="E34" s="365"/>
      <c r="F34" s="365"/>
      <c r="G34" s="365"/>
      <c r="H34" s="365"/>
      <c r="I34" s="365">
        <v>208</v>
      </c>
      <c r="J34" s="365">
        <v>88</v>
      </c>
      <c r="K34" s="365">
        <v>296</v>
      </c>
      <c r="L34" s="365">
        <v>3789</v>
      </c>
      <c r="M34" s="365">
        <v>504</v>
      </c>
      <c r="N34" s="365">
        <v>4293</v>
      </c>
      <c r="O34" s="365">
        <v>653</v>
      </c>
      <c r="P34" s="365">
        <v>391</v>
      </c>
      <c r="Q34" s="365">
        <v>1044</v>
      </c>
      <c r="R34" s="365">
        <v>1055</v>
      </c>
      <c r="S34" s="365">
        <v>474</v>
      </c>
      <c r="T34" s="365">
        <v>1529</v>
      </c>
      <c r="U34" s="363">
        <v>5705</v>
      </c>
      <c r="V34" s="363">
        <v>1457</v>
      </c>
      <c r="W34" s="363">
        <v>7162</v>
      </c>
    </row>
    <row r="35" spans="2:23" hidden="1" outlineLevel="1" x14ac:dyDescent="0.25">
      <c r="B35" s="362">
        <v>39661</v>
      </c>
      <c r="C35" s="365"/>
      <c r="D35" s="365"/>
      <c r="E35" s="365"/>
      <c r="F35" s="365"/>
      <c r="G35" s="365"/>
      <c r="H35" s="365"/>
      <c r="I35" s="365">
        <v>152</v>
      </c>
      <c r="J35" s="365">
        <v>33</v>
      </c>
      <c r="K35" s="365">
        <v>185</v>
      </c>
      <c r="L35" s="365">
        <v>3042</v>
      </c>
      <c r="M35" s="365">
        <v>485</v>
      </c>
      <c r="N35" s="365">
        <v>3527</v>
      </c>
      <c r="O35" s="365">
        <v>305</v>
      </c>
      <c r="P35" s="365">
        <v>252</v>
      </c>
      <c r="Q35" s="365">
        <v>557</v>
      </c>
      <c r="R35" s="365">
        <v>864</v>
      </c>
      <c r="S35" s="365">
        <v>468</v>
      </c>
      <c r="T35" s="365">
        <v>1332</v>
      </c>
      <c r="U35" s="363">
        <v>4363</v>
      </c>
      <c r="V35" s="363">
        <v>1238</v>
      </c>
      <c r="W35" s="363">
        <v>5601</v>
      </c>
    </row>
    <row r="36" spans="2:23" hidden="1" outlineLevel="1" x14ac:dyDescent="0.25">
      <c r="B36" s="362">
        <v>39692</v>
      </c>
      <c r="C36" s="365"/>
      <c r="D36" s="365"/>
      <c r="E36" s="365"/>
      <c r="F36" s="365"/>
      <c r="G36" s="365"/>
      <c r="H36" s="365"/>
      <c r="I36" s="365">
        <v>70</v>
      </c>
      <c r="J36" s="365">
        <v>35</v>
      </c>
      <c r="K36" s="365">
        <v>105</v>
      </c>
      <c r="L36" s="365">
        <v>2100</v>
      </c>
      <c r="M36" s="365">
        <v>349</v>
      </c>
      <c r="N36" s="365">
        <v>2449</v>
      </c>
      <c r="O36" s="365">
        <v>286</v>
      </c>
      <c r="P36" s="365">
        <v>250</v>
      </c>
      <c r="Q36" s="365">
        <v>536</v>
      </c>
      <c r="R36" s="365">
        <v>447</v>
      </c>
      <c r="S36" s="365">
        <v>209</v>
      </c>
      <c r="T36" s="365">
        <v>656</v>
      </c>
      <c r="U36" s="363">
        <v>2903</v>
      </c>
      <c r="V36" s="363">
        <v>843</v>
      </c>
      <c r="W36" s="363">
        <v>3746</v>
      </c>
    </row>
    <row r="37" spans="2:23" hidden="1" outlineLevel="1" x14ac:dyDescent="0.25">
      <c r="B37" s="362">
        <v>39722</v>
      </c>
      <c r="C37" s="365"/>
      <c r="D37" s="365"/>
      <c r="E37" s="365"/>
      <c r="F37" s="365"/>
      <c r="G37" s="365"/>
      <c r="H37" s="365"/>
      <c r="I37" s="365">
        <v>84</v>
      </c>
      <c r="J37" s="365">
        <v>20</v>
      </c>
      <c r="K37" s="365">
        <v>104</v>
      </c>
      <c r="L37" s="365">
        <v>2211</v>
      </c>
      <c r="M37" s="365">
        <v>383</v>
      </c>
      <c r="N37" s="365">
        <v>2594</v>
      </c>
      <c r="O37" s="365">
        <v>237</v>
      </c>
      <c r="P37" s="365">
        <v>243</v>
      </c>
      <c r="Q37" s="365">
        <v>480</v>
      </c>
      <c r="R37" s="365">
        <v>244</v>
      </c>
      <c r="S37" s="365">
        <v>106</v>
      </c>
      <c r="T37" s="365">
        <v>350</v>
      </c>
      <c r="U37" s="363">
        <v>2776</v>
      </c>
      <c r="V37" s="363">
        <v>752</v>
      </c>
      <c r="W37" s="363">
        <v>3528</v>
      </c>
    </row>
    <row r="38" spans="2:23" hidden="1" outlineLevel="1" x14ac:dyDescent="0.25">
      <c r="B38" s="362">
        <v>39753</v>
      </c>
      <c r="C38" s="365"/>
      <c r="D38" s="365"/>
      <c r="E38" s="365"/>
      <c r="F38" s="365"/>
      <c r="G38" s="365"/>
      <c r="H38" s="365"/>
      <c r="I38" s="365">
        <v>38</v>
      </c>
      <c r="J38" s="365">
        <v>21</v>
      </c>
      <c r="K38" s="365">
        <v>59</v>
      </c>
      <c r="L38" s="365">
        <v>1227</v>
      </c>
      <c r="M38" s="365">
        <v>216</v>
      </c>
      <c r="N38" s="365">
        <v>1443</v>
      </c>
      <c r="O38" s="365">
        <v>157</v>
      </c>
      <c r="P38" s="365">
        <v>129</v>
      </c>
      <c r="Q38" s="365">
        <v>286</v>
      </c>
      <c r="R38" s="365">
        <v>227</v>
      </c>
      <c r="S38" s="365">
        <v>79</v>
      </c>
      <c r="T38" s="365">
        <v>306</v>
      </c>
      <c r="U38" s="363">
        <v>1649</v>
      </c>
      <c r="V38" s="363">
        <v>445</v>
      </c>
      <c r="W38" s="363">
        <v>2094</v>
      </c>
    </row>
    <row r="39" spans="2:23" hidden="1" outlineLevel="1" x14ac:dyDescent="0.25">
      <c r="B39" s="362">
        <v>39783</v>
      </c>
      <c r="C39" s="365"/>
      <c r="D39" s="365"/>
      <c r="E39" s="365"/>
      <c r="F39" s="365"/>
      <c r="G39" s="365"/>
      <c r="H39" s="365"/>
      <c r="I39" s="365">
        <v>11</v>
      </c>
      <c r="J39" s="365">
        <v>4</v>
      </c>
      <c r="K39" s="365">
        <v>15</v>
      </c>
      <c r="L39" s="365">
        <v>1157</v>
      </c>
      <c r="M39" s="365">
        <v>236</v>
      </c>
      <c r="N39" s="365">
        <v>1393</v>
      </c>
      <c r="O39" s="365">
        <v>178</v>
      </c>
      <c r="P39" s="365">
        <v>165</v>
      </c>
      <c r="Q39" s="365">
        <v>343</v>
      </c>
      <c r="R39" s="365">
        <v>205</v>
      </c>
      <c r="S39" s="365">
        <v>106</v>
      </c>
      <c r="T39" s="365">
        <v>311</v>
      </c>
      <c r="U39" s="363">
        <v>1551</v>
      </c>
      <c r="V39" s="363">
        <v>511</v>
      </c>
      <c r="W39" s="363">
        <v>2062</v>
      </c>
    </row>
    <row r="40" spans="2:23" collapsed="1" x14ac:dyDescent="0.25">
      <c r="B40" s="364" t="s">
        <v>699</v>
      </c>
      <c r="C40" s="363" t="s">
        <v>804</v>
      </c>
      <c r="D40" s="363" t="s">
        <v>804</v>
      </c>
      <c r="E40" s="363" t="s">
        <v>804</v>
      </c>
      <c r="F40" s="363" t="s">
        <v>804</v>
      </c>
      <c r="G40" s="363" t="s">
        <v>804</v>
      </c>
      <c r="H40" s="363" t="s">
        <v>804</v>
      </c>
      <c r="I40" s="363">
        <v>94</v>
      </c>
      <c r="J40" s="363">
        <v>34</v>
      </c>
      <c r="K40" s="363">
        <v>127</v>
      </c>
      <c r="L40" s="363">
        <v>2254</v>
      </c>
      <c r="M40" s="363">
        <v>362</v>
      </c>
      <c r="N40" s="363">
        <v>2617</v>
      </c>
      <c r="O40" s="363">
        <v>303</v>
      </c>
      <c r="P40" s="363">
        <v>238</v>
      </c>
      <c r="Q40" s="363">
        <v>541</v>
      </c>
      <c r="R40" s="363">
        <v>507</v>
      </c>
      <c r="S40" s="363">
        <v>240</v>
      </c>
      <c r="T40" s="363">
        <v>747</v>
      </c>
      <c r="U40" s="363">
        <v>3158</v>
      </c>
      <c r="V40" s="363">
        <v>874</v>
      </c>
      <c r="W40" s="363">
        <v>4032</v>
      </c>
    </row>
    <row r="41" spans="2:23" hidden="1" outlineLevel="1" x14ac:dyDescent="0.25">
      <c r="B41" s="362">
        <v>39814</v>
      </c>
      <c r="C41" s="365"/>
      <c r="D41" s="365"/>
      <c r="E41" s="365"/>
      <c r="F41" s="365"/>
      <c r="G41" s="365"/>
      <c r="H41" s="365"/>
      <c r="I41" s="365">
        <v>9</v>
      </c>
      <c r="J41" s="365">
        <v>13</v>
      </c>
      <c r="K41" s="365">
        <v>22</v>
      </c>
      <c r="L41" s="365">
        <v>1014</v>
      </c>
      <c r="M41" s="365">
        <v>187</v>
      </c>
      <c r="N41" s="365">
        <v>1201</v>
      </c>
      <c r="O41" s="365">
        <v>105</v>
      </c>
      <c r="P41" s="365">
        <v>122</v>
      </c>
      <c r="Q41" s="365">
        <v>227</v>
      </c>
      <c r="R41" s="365">
        <v>160</v>
      </c>
      <c r="S41" s="365">
        <v>68</v>
      </c>
      <c r="T41" s="365">
        <v>228</v>
      </c>
      <c r="U41" s="363">
        <v>1288</v>
      </c>
      <c r="V41" s="363">
        <v>390</v>
      </c>
      <c r="W41" s="363">
        <v>1678</v>
      </c>
    </row>
    <row r="42" spans="2:23" hidden="1" outlineLevel="1" x14ac:dyDescent="0.25">
      <c r="B42" s="362">
        <v>39845</v>
      </c>
      <c r="C42" s="365"/>
      <c r="D42" s="365"/>
      <c r="E42" s="365"/>
      <c r="F42" s="365"/>
      <c r="G42" s="365"/>
      <c r="H42" s="365"/>
      <c r="I42" s="365">
        <v>2</v>
      </c>
      <c r="J42" s="365">
        <v>2</v>
      </c>
      <c r="K42" s="365">
        <v>4</v>
      </c>
      <c r="L42" s="365">
        <v>777</v>
      </c>
      <c r="M42" s="365">
        <v>140</v>
      </c>
      <c r="N42" s="365">
        <v>917</v>
      </c>
      <c r="O42" s="365">
        <v>36</v>
      </c>
      <c r="P42" s="365">
        <v>27</v>
      </c>
      <c r="Q42" s="365">
        <v>63</v>
      </c>
      <c r="R42" s="365">
        <v>101</v>
      </c>
      <c r="S42" s="365">
        <v>36</v>
      </c>
      <c r="T42" s="365">
        <v>137</v>
      </c>
      <c r="U42" s="363">
        <v>916</v>
      </c>
      <c r="V42" s="363">
        <v>205</v>
      </c>
      <c r="W42" s="363">
        <v>1121</v>
      </c>
    </row>
    <row r="43" spans="2:23" hidden="1" outlineLevel="1" x14ac:dyDescent="0.25">
      <c r="B43" s="362">
        <v>39873</v>
      </c>
      <c r="C43" s="365"/>
      <c r="D43" s="365"/>
      <c r="E43" s="365"/>
      <c r="F43" s="365"/>
      <c r="G43" s="365"/>
      <c r="H43" s="365"/>
      <c r="I43" s="365">
        <v>2</v>
      </c>
      <c r="J43" s="365">
        <v>3</v>
      </c>
      <c r="K43" s="365">
        <v>5</v>
      </c>
      <c r="L43" s="365">
        <v>1115</v>
      </c>
      <c r="M43" s="365">
        <v>196</v>
      </c>
      <c r="N43" s="365">
        <v>1311</v>
      </c>
      <c r="O43" s="365">
        <v>54</v>
      </c>
      <c r="P43" s="365">
        <v>31</v>
      </c>
      <c r="Q43" s="365">
        <v>85</v>
      </c>
      <c r="R43" s="365">
        <v>140</v>
      </c>
      <c r="S43" s="365">
        <v>52</v>
      </c>
      <c r="T43" s="365">
        <v>192</v>
      </c>
      <c r="U43" s="363">
        <v>1311</v>
      </c>
      <c r="V43" s="363">
        <v>282</v>
      </c>
      <c r="W43" s="363">
        <v>1593</v>
      </c>
    </row>
    <row r="44" spans="2:23" hidden="1" outlineLevel="1" x14ac:dyDescent="0.25">
      <c r="B44" s="362">
        <v>39904</v>
      </c>
      <c r="C44" s="365"/>
      <c r="D44" s="365"/>
      <c r="E44" s="365"/>
      <c r="F44" s="365"/>
      <c r="G44" s="365"/>
      <c r="H44" s="365"/>
      <c r="I44" s="365">
        <v>12</v>
      </c>
      <c r="J44" s="365">
        <v>6</v>
      </c>
      <c r="K44" s="365">
        <v>18</v>
      </c>
      <c r="L44" s="365">
        <v>899</v>
      </c>
      <c r="M44" s="365">
        <v>150</v>
      </c>
      <c r="N44" s="365">
        <v>1049</v>
      </c>
      <c r="O44" s="365">
        <v>33</v>
      </c>
      <c r="P44" s="365">
        <v>24</v>
      </c>
      <c r="Q44" s="365">
        <v>57</v>
      </c>
      <c r="R44" s="365">
        <v>78</v>
      </c>
      <c r="S44" s="365">
        <v>41</v>
      </c>
      <c r="T44" s="365">
        <v>119</v>
      </c>
      <c r="U44" s="363">
        <v>1022</v>
      </c>
      <c r="V44" s="363">
        <v>221</v>
      </c>
      <c r="W44" s="363">
        <v>1243</v>
      </c>
    </row>
    <row r="45" spans="2:23" hidden="1" outlineLevel="1" x14ac:dyDescent="0.25">
      <c r="B45" s="362">
        <v>39934</v>
      </c>
      <c r="C45" s="365"/>
      <c r="D45" s="365"/>
      <c r="E45" s="365"/>
      <c r="F45" s="365"/>
      <c r="G45" s="365"/>
      <c r="H45" s="365"/>
      <c r="I45" s="365">
        <v>60</v>
      </c>
      <c r="J45" s="365">
        <v>8</v>
      </c>
      <c r="K45" s="365">
        <v>68</v>
      </c>
      <c r="L45" s="365">
        <v>821</v>
      </c>
      <c r="M45" s="365">
        <v>158</v>
      </c>
      <c r="N45" s="365">
        <v>979</v>
      </c>
      <c r="O45" s="365">
        <v>26</v>
      </c>
      <c r="P45" s="365">
        <v>28</v>
      </c>
      <c r="Q45" s="365">
        <v>54</v>
      </c>
      <c r="R45" s="365">
        <v>54</v>
      </c>
      <c r="S45" s="365">
        <v>42</v>
      </c>
      <c r="T45" s="365">
        <v>96</v>
      </c>
      <c r="U45" s="363">
        <v>961</v>
      </c>
      <c r="V45" s="363">
        <v>236</v>
      </c>
      <c r="W45" s="363">
        <v>1197</v>
      </c>
    </row>
    <row r="46" spans="2:23" hidden="1" outlineLevel="1" x14ac:dyDescent="0.25">
      <c r="B46" s="362">
        <v>39965</v>
      </c>
      <c r="C46" s="365"/>
      <c r="D46" s="365"/>
      <c r="E46" s="365"/>
      <c r="F46" s="365"/>
      <c r="G46" s="365"/>
      <c r="H46" s="365"/>
      <c r="I46" s="365">
        <v>65</v>
      </c>
      <c r="J46" s="365">
        <v>58</v>
      </c>
      <c r="K46" s="365">
        <v>123</v>
      </c>
      <c r="L46" s="365">
        <v>831</v>
      </c>
      <c r="M46" s="365">
        <v>170</v>
      </c>
      <c r="N46" s="365">
        <v>1001</v>
      </c>
      <c r="O46" s="365">
        <v>10641</v>
      </c>
      <c r="P46" s="365">
        <v>980</v>
      </c>
      <c r="Q46" s="365">
        <v>11621</v>
      </c>
      <c r="R46" s="365">
        <v>53</v>
      </c>
      <c r="S46" s="365">
        <v>31</v>
      </c>
      <c r="T46" s="365">
        <v>84</v>
      </c>
      <c r="U46" s="363">
        <v>11590</v>
      </c>
      <c r="V46" s="363">
        <v>1239</v>
      </c>
      <c r="W46" s="363">
        <v>12829</v>
      </c>
    </row>
    <row r="47" spans="2:23" hidden="1" outlineLevel="1" x14ac:dyDescent="0.25">
      <c r="B47" s="362">
        <v>39995</v>
      </c>
      <c r="C47" s="365"/>
      <c r="D47" s="365"/>
      <c r="E47" s="365"/>
      <c r="F47" s="365"/>
      <c r="G47" s="365"/>
      <c r="H47" s="365"/>
      <c r="I47" s="365">
        <v>197</v>
      </c>
      <c r="J47" s="365">
        <v>36</v>
      </c>
      <c r="K47" s="365">
        <v>233</v>
      </c>
      <c r="L47" s="365">
        <v>1131</v>
      </c>
      <c r="M47" s="365">
        <v>167</v>
      </c>
      <c r="N47" s="365">
        <v>1298</v>
      </c>
      <c r="O47" s="365">
        <v>2145</v>
      </c>
      <c r="P47" s="365">
        <v>740</v>
      </c>
      <c r="Q47" s="365">
        <v>2885</v>
      </c>
      <c r="R47" s="365">
        <v>30</v>
      </c>
      <c r="S47" s="365">
        <v>30</v>
      </c>
      <c r="T47" s="365">
        <v>60</v>
      </c>
      <c r="U47" s="363">
        <v>3503</v>
      </c>
      <c r="V47" s="363">
        <v>973</v>
      </c>
      <c r="W47" s="363">
        <v>4476</v>
      </c>
    </row>
    <row r="48" spans="2:23" hidden="1" outlineLevel="1" x14ac:dyDescent="0.25">
      <c r="B48" s="362">
        <v>40026</v>
      </c>
      <c r="C48" s="365"/>
      <c r="D48" s="365"/>
      <c r="E48" s="365"/>
      <c r="F48" s="365"/>
      <c r="G48" s="365"/>
      <c r="H48" s="365"/>
      <c r="I48" s="365">
        <v>108</v>
      </c>
      <c r="J48" s="365">
        <v>28</v>
      </c>
      <c r="K48" s="365">
        <v>136</v>
      </c>
      <c r="L48" s="365">
        <v>1218</v>
      </c>
      <c r="M48" s="365">
        <v>225</v>
      </c>
      <c r="N48" s="365">
        <v>1443</v>
      </c>
      <c r="O48" s="365">
        <v>693</v>
      </c>
      <c r="P48" s="365">
        <v>478</v>
      </c>
      <c r="Q48" s="365">
        <v>1171</v>
      </c>
      <c r="R48" s="365">
        <v>207</v>
      </c>
      <c r="S48" s="365">
        <v>65</v>
      </c>
      <c r="T48" s="365">
        <v>272</v>
      </c>
      <c r="U48" s="363">
        <v>2226</v>
      </c>
      <c r="V48" s="363">
        <v>796</v>
      </c>
      <c r="W48" s="363">
        <v>3022</v>
      </c>
    </row>
    <row r="49" spans="2:23" hidden="1" outlineLevel="1" x14ac:dyDescent="0.25">
      <c r="B49" s="362">
        <v>40057</v>
      </c>
      <c r="C49" s="365"/>
      <c r="D49" s="365"/>
      <c r="E49" s="365"/>
      <c r="F49" s="365"/>
      <c r="G49" s="365"/>
      <c r="H49" s="365"/>
      <c r="I49" s="365">
        <v>136</v>
      </c>
      <c r="J49" s="365">
        <v>96</v>
      </c>
      <c r="K49" s="365">
        <v>232</v>
      </c>
      <c r="L49" s="365">
        <v>1146</v>
      </c>
      <c r="M49" s="365">
        <v>223</v>
      </c>
      <c r="N49" s="365">
        <v>1369</v>
      </c>
      <c r="O49" s="365">
        <v>1012</v>
      </c>
      <c r="P49" s="365">
        <v>562</v>
      </c>
      <c r="Q49" s="365">
        <v>1574</v>
      </c>
      <c r="R49" s="365">
        <v>136</v>
      </c>
      <c r="S49" s="365">
        <v>91</v>
      </c>
      <c r="T49" s="365">
        <v>227</v>
      </c>
      <c r="U49" s="363">
        <v>2430</v>
      </c>
      <c r="V49" s="363">
        <v>972</v>
      </c>
      <c r="W49" s="363">
        <v>3402</v>
      </c>
    </row>
    <row r="50" spans="2:23" hidden="1" outlineLevel="1" x14ac:dyDescent="0.25">
      <c r="B50" s="362">
        <v>40087</v>
      </c>
      <c r="C50" s="365"/>
      <c r="D50" s="365"/>
      <c r="E50" s="365"/>
      <c r="F50" s="365"/>
      <c r="G50" s="365"/>
      <c r="H50" s="365"/>
      <c r="I50" s="365">
        <v>152</v>
      </c>
      <c r="J50" s="365">
        <v>94</v>
      </c>
      <c r="K50" s="365">
        <v>246</v>
      </c>
      <c r="L50" s="365">
        <v>1125</v>
      </c>
      <c r="M50" s="365">
        <v>207</v>
      </c>
      <c r="N50" s="365">
        <v>1332</v>
      </c>
      <c r="O50" s="365">
        <v>783</v>
      </c>
      <c r="P50" s="365">
        <v>454</v>
      </c>
      <c r="Q50" s="365">
        <v>1237</v>
      </c>
      <c r="R50" s="365">
        <v>85</v>
      </c>
      <c r="S50" s="365">
        <v>65</v>
      </c>
      <c r="T50" s="365">
        <v>150</v>
      </c>
      <c r="U50" s="363">
        <v>2145</v>
      </c>
      <c r="V50" s="363">
        <v>820</v>
      </c>
      <c r="W50" s="363">
        <v>2965</v>
      </c>
    </row>
    <row r="51" spans="2:23" hidden="1" outlineLevel="1" x14ac:dyDescent="0.25">
      <c r="B51" s="362">
        <v>40118</v>
      </c>
      <c r="C51" s="365"/>
      <c r="D51" s="365"/>
      <c r="E51" s="365"/>
      <c r="F51" s="365"/>
      <c r="G51" s="365"/>
      <c r="H51" s="365"/>
      <c r="I51" s="365">
        <v>73</v>
      </c>
      <c r="J51" s="365">
        <v>30</v>
      </c>
      <c r="K51" s="365">
        <v>103</v>
      </c>
      <c r="L51" s="365">
        <v>972</v>
      </c>
      <c r="M51" s="365">
        <v>143</v>
      </c>
      <c r="N51" s="365">
        <v>1115</v>
      </c>
      <c r="O51" s="365">
        <v>526</v>
      </c>
      <c r="P51" s="365">
        <v>272</v>
      </c>
      <c r="Q51" s="365">
        <v>798</v>
      </c>
      <c r="R51" s="365">
        <v>79</v>
      </c>
      <c r="S51" s="365">
        <v>29</v>
      </c>
      <c r="T51" s="365">
        <v>108</v>
      </c>
      <c r="U51" s="363">
        <v>1650</v>
      </c>
      <c r="V51" s="363">
        <v>474</v>
      </c>
      <c r="W51" s="363">
        <v>2124</v>
      </c>
    </row>
    <row r="52" spans="2:23" hidden="1" outlineLevel="1" x14ac:dyDescent="0.25">
      <c r="B52" s="362">
        <v>40148</v>
      </c>
      <c r="C52" s="365"/>
      <c r="D52" s="365"/>
      <c r="E52" s="365"/>
      <c r="F52" s="365"/>
      <c r="G52" s="365"/>
      <c r="H52" s="365"/>
      <c r="I52" s="365">
        <v>41</v>
      </c>
      <c r="J52" s="365">
        <v>16</v>
      </c>
      <c r="K52" s="365">
        <v>57</v>
      </c>
      <c r="L52" s="365">
        <v>926</v>
      </c>
      <c r="M52" s="365">
        <v>178</v>
      </c>
      <c r="N52" s="365">
        <v>1104</v>
      </c>
      <c r="O52" s="365">
        <v>465</v>
      </c>
      <c r="P52" s="365">
        <v>578</v>
      </c>
      <c r="Q52" s="365">
        <v>1043</v>
      </c>
      <c r="R52" s="365">
        <v>74</v>
      </c>
      <c r="S52" s="365">
        <v>44</v>
      </c>
      <c r="T52" s="365">
        <v>118</v>
      </c>
      <c r="U52" s="363">
        <v>1506</v>
      </c>
      <c r="V52" s="363">
        <v>816</v>
      </c>
      <c r="W52" s="363">
        <v>2322</v>
      </c>
    </row>
    <row r="53" spans="2:23" collapsed="1" x14ac:dyDescent="0.25">
      <c r="B53" s="364" t="s">
        <v>700</v>
      </c>
      <c r="C53" s="363" t="s">
        <v>804</v>
      </c>
      <c r="D53" s="363" t="s">
        <v>804</v>
      </c>
      <c r="E53" s="363" t="s">
        <v>804</v>
      </c>
      <c r="F53" s="363" t="s">
        <v>804</v>
      </c>
      <c r="G53" s="363" t="s">
        <v>804</v>
      </c>
      <c r="H53" s="363" t="s">
        <v>804</v>
      </c>
      <c r="I53" s="363">
        <v>71</v>
      </c>
      <c r="J53" s="363">
        <v>33</v>
      </c>
      <c r="K53" s="363">
        <v>104</v>
      </c>
      <c r="L53" s="363">
        <v>998</v>
      </c>
      <c r="M53" s="363">
        <v>179</v>
      </c>
      <c r="N53" s="363">
        <v>1177</v>
      </c>
      <c r="O53" s="363">
        <v>1377</v>
      </c>
      <c r="P53" s="363">
        <v>358</v>
      </c>
      <c r="Q53" s="363">
        <v>1735</v>
      </c>
      <c r="R53" s="363">
        <v>100</v>
      </c>
      <c r="S53" s="363">
        <v>50</v>
      </c>
      <c r="T53" s="363">
        <v>149</v>
      </c>
      <c r="U53" s="363">
        <v>2546</v>
      </c>
      <c r="V53" s="363">
        <v>619</v>
      </c>
      <c r="W53" s="363">
        <v>3164</v>
      </c>
    </row>
    <row r="54" spans="2:23" hidden="1" outlineLevel="1" x14ac:dyDescent="0.25">
      <c r="B54" s="362">
        <v>40179</v>
      </c>
      <c r="C54" s="365"/>
      <c r="D54" s="365"/>
      <c r="E54" s="365"/>
      <c r="F54" s="365"/>
      <c r="G54" s="365"/>
      <c r="H54" s="365"/>
      <c r="I54" s="365">
        <v>12</v>
      </c>
      <c r="J54" s="365">
        <v>7</v>
      </c>
      <c r="K54" s="365">
        <v>19</v>
      </c>
      <c r="L54" s="365">
        <v>797</v>
      </c>
      <c r="M54" s="365">
        <v>158</v>
      </c>
      <c r="N54" s="365">
        <v>955</v>
      </c>
      <c r="O54" s="365">
        <v>254</v>
      </c>
      <c r="P54" s="365">
        <v>389</v>
      </c>
      <c r="Q54" s="365">
        <v>643</v>
      </c>
      <c r="R54" s="365">
        <v>56</v>
      </c>
      <c r="S54" s="365">
        <v>8</v>
      </c>
      <c r="T54" s="365">
        <v>64</v>
      </c>
      <c r="U54" s="363">
        <v>1119</v>
      </c>
      <c r="V54" s="363">
        <v>562</v>
      </c>
      <c r="W54" s="363">
        <v>1681</v>
      </c>
    </row>
    <row r="55" spans="2:23" hidden="1" outlineLevel="1" x14ac:dyDescent="0.25">
      <c r="B55" s="362">
        <v>40210</v>
      </c>
      <c r="C55" s="365"/>
      <c r="D55" s="365"/>
      <c r="E55" s="365"/>
      <c r="F55" s="365"/>
      <c r="G55" s="365"/>
      <c r="H55" s="365"/>
      <c r="I55" s="365">
        <v>15</v>
      </c>
      <c r="J55" s="365">
        <v>20</v>
      </c>
      <c r="K55" s="365">
        <v>35</v>
      </c>
      <c r="L55" s="365">
        <v>712</v>
      </c>
      <c r="M55" s="365">
        <v>125</v>
      </c>
      <c r="N55" s="365">
        <v>837</v>
      </c>
      <c r="O55" s="365">
        <v>119</v>
      </c>
      <c r="P55" s="365">
        <v>152</v>
      </c>
      <c r="Q55" s="365">
        <v>271</v>
      </c>
      <c r="R55" s="365">
        <v>38</v>
      </c>
      <c r="S55" s="365">
        <v>18</v>
      </c>
      <c r="T55" s="365">
        <v>56</v>
      </c>
      <c r="U55" s="363">
        <v>884</v>
      </c>
      <c r="V55" s="363">
        <v>315</v>
      </c>
      <c r="W55" s="363">
        <v>1199</v>
      </c>
    </row>
    <row r="56" spans="2:23" hidden="1" outlineLevel="1" x14ac:dyDescent="0.25">
      <c r="B56" s="362">
        <v>40238</v>
      </c>
      <c r="C56" s="365"/>
      <c r="D56" s="365"/>
      <c r="E56" s="365"/>
      <c r="F56" s="365"/>
      <c r="G56" s="365"/>
      <c r="H56" s="365"/>
      <c r="I56" s="365">
        <v>18</v>
      </c>
      <c r="J56" s="365">
        <v>21</v>
      </c>
      <c r="K56" s="365">
        <v>39</v>
      </c>
      <c r="L56" s="365">
        <v>603</v>
      </c>
      <c r="M56" s="365">
        <v>133</v>
      </c>
      <c r="N56" s="365">
        <v>736</v>
      </c>
      <c r="O56" s="365">
        <v>141</v>
      </c>
      <c r="P56" s="365">
        <v>164</v>
      </c>
      <c r="Q56" s="365">
        <v>305</v>
      </c>
      <c r="R56" s="365">
        <v>37</v>
      </c>
      <c r="S56" s="365">
        <v>9</v>
      </c>
      <c r="T56" s="365">
        <v>46</v>
      </c>
      <c r="U56" s="363">
        <v>799</v>
      </c>
      <c r="V56" s="363">
        <v>327</v>
      </c>
      <c r="W56" s="363">
        <v>1126</v>
      </c>
    </row>
    <row r="57" spans="2:23" hidden="1" outlineLevel="1" x14ac:dyDescent="0.25">
      <c r="B57" s="362">
        <v>40269</v>
      </c>
      <c r="C57" s="365"/>
      <c r="D57" s="365"/>
      <c r="E57" s="365"/>
      <c r="F57" s="365"/>
      <c r="G57" s="365"/>
      <c r="H57" s="365"/>
      <c r="I57" s="365">
        <v>16</v>
      </c>
      <c r="J57" s="365">
        <v>15</v>
      </c>
      <c r="K57" s="365">
        <v>31</v>
      </c>
      <c r="L57" s="365">
        <v>815</v>
      </c>
      <c r="M57" s="365">
        <v>156</v>
      </c>
      <c r="N57" s="365">
        <v>971</v>
      </c>
      <c r="O57" s="365">
        <v>172</v>
      </c>
      <c r="P57" s="365">
        <v>219</v>
      </c>
      <c r="Q57" s="365">
        <v>391</v>
      </c>
      <c r="R57" s="365">
        <v>52</v>
      </c>
      <c r="S57" s="365">
        <v>8</v>
      </c>
      <c r="T57" s="365">
        <v>60</v>
      </c>
      <c r="U57" s="363">
        <v>1055</v>
      </c>
      <c r="V57" s="363">
        <v>398</v>
      </c>
      <c r="W57" s="363">
        <v>1453</v>
      </c>
    </row>
    <row r="58" spans="2:23" hidden="1" outlineLevel="1" x14ac:dyDescent="0.25">
      <c r="B58" s="362">
        <v>40299</v>
      </c>
      <c r="C58" s="365"/>
      <c r="D58" s="365"/>
      <c r="E58" s="365"/>
      <c r="F58" s="365"/>
      <c r="G58" s="365"/>
      <c r="H58" s="365"/>
      <c r="I58" s="365">
        <v>16</v>
      </c>
      <c r="J58" s="365">
        <v>8</v>
      </c>
      <c r="K58" s="365">
        <v>24</v>
      </c>
      <c r="L58" s="365">
        <v>790</v>
      </c>
      <c r="M58" s="365">
        <v>137</v>
      </c>
      <c r="N58" s="365">
        <v>927</v>
      </c>
      <c r="O58" s="365">
        <v>113</v>
      </c>
      <c r="P58" s="365">
        <v>133</v>
      </c>
      <c r="Q58" s="365">
        <v>246</v>
      </c>
      <c r="R58" s="365">
        <v>44</v>
      </c>
      <c r="S58" s="365">
        <v>9</v>
      </c>
      <c r="T58" s="365">
        <v>53</v>
      </c>
      <c r="U58" s="363">
        <v>963</v>
      </c>
      <c r="V58" s="363">
        <v>287</v>
      </c>
      <c r="W58" s="363">
        <v>1250</v>
      </c>
    </row>
    <row r="59" spans="2:23" hidden="1" outlineLevel="1" x14ac:dyDescent="0.25">
      <c r="B59" s="362">
        <v>40330</v>
      </c>
      <c r="C59" s="365"/>
      <c r="D59" s="365"/>
      <c r="E59" s="365"/>
      <c r="F59" s="365"/>
      <c r="G59" s="365"/>
      <c r="H59" s="365"/>
      <c r="I59" s="365">
        <v>4</v>
      </c>
      <c r="J59" s="365">
        <v>9</v>
      </c>
      <c r="K59" s="365">
        <v>13</v>
      </c>
      <c r="L59" s="365">
        <v>826</v>
      </c>
      <c r="M59" s="365">
        <v>153</v>
      </c>
      <c r="N59" s="365">
        <v>979</v>
      </c>
      <c r="O59" s="365">
        <v>242</v>
      </c>
      <c r="P59" s="365">
        <v>205</v>
      </c>
      <c r="Q59" s="365">
        <v>447</v>
      </c>
      <c r="R59" s="365">
        <v>77</v>
      </c>
      <c r="S59" s="365">
        <v>28</v>
      </c>
      <c r="T59" s="365">
        <v>105</v>
      </c>
      <c r="U59" s="363">
        <v>1149</v>
      </c>
      <c r="V59" s="363">
        <v>395</v>
      </c>
      <c r="W59" s="363">
        <v>1544</v>
      </c>
    </row>
    <row r="60" spans="2:23" hidden="1" outlineLevel="1" x14ac:dyDescent="0.25">
      <c r="B60" s="362">
        <v>40360</v>
      </c>
      <c r="C60" s="365"/>
      <c r="D60" s="365"/>
      <c r="E60" s="365"/>
      <c r="F60" s="365"/>
      <c r="G60" s="365"/>
      <c r="H60" s="365"/>
      <c r="I60" s="365">
        <v>659</v>
      </c>
      <c r="J60" s="365">
        <v>96</v>
      </c>
      <c r="K60" s="365">
        <v>755</v>
      </c>
      <c r="L60" s="365">
        <v>874</v>
      </c>
      <c r="M60" s="365">
        <v>221</v>
      </c>
      <c r="N60" s="365">
        <v>1095</v>
      </c>
      <c r="O60" s="365">
        <v>4092</v>
      </c>
      <c r="P60" s="365">
        <v>2474</v>
      </c>
      <c r="Q60" s="365">
        <v>6566</v>
      </c>
      <c r="R60" s="365">
        <v>203</v>
      </c>
      <c r="S60" s="365">
        <v>150</v>
      </c>
      <c r="T60" s="365">
        <v>353</v>
      </c>
      <c r="U60" s="363">
        <v>5828</v>
      </c>
      <c r="V60" s="363">
        <v>2941</v>
      </c>
      <c r="W60" s="363">
        <v>8769</v>
      </c>
    </row>
    <row r="61" spans="2:23" hidden="1" outlineLevel="1" x14ac:dyDescent="0.25">
      <c r="B61" s="362">
        <v>40391</v>
      </c>
      <c r="C61" s="365"/>
      <c r="D61" s="365"/>
      <c r="E61" s="365"/>
      <c r="F61" s="365"/>
      <c r="G61" s="365"/>
      <c r="H61" s="365"/>
      <c r="I61" s="365">
        <v>819</v>
      </c>
      <c r="J61" s="365">
        <v>137</v>
      </c>
      <c r="K61" s="365">
        <v>956</v>
      </c>
      <c r="L61" s="365">
        <v>1030</v>
      </c>
      <c r="M61" s="365">
        <v>228</v>
      </c>
      <c r="N61" s="365">
        <v>1258</v>
      </c>
      <c r="O61" s="365">
        <v>4273</v>
      </c>
      <c r="P61" s="365">
        <v>2581</v>
      </c>
      <c r="Q61" s="365">
        <v>6854</v>
      </c>
      <c r="R61" s="365">
        <v>144</v>
      </c>
      <c r="S61" s="365">
        <v>125</v>
      </c>
      <c r="T61" s="365">
        <v>269</v>
      </c>
      <c r="U61" s="363">
        <v>6266</v>
      </c>
      <c r="V61" s="363">
        <v>3071</v>
      </c>
      <c r="W61" s="363">
        <v>9337</v>
      </c>
    </row>
    <row r="62" spans="2:23" hidden="1" outlineLevel="1" x14ac:dyDescent="0.25">
      <c r="B62" s="362">
        <v>40422</v>
      </c>
      <c r="C62" s="365"/>
      <c r="D62" s="365"/>
      <c r="E62" s="365"/>
      <c r="F62" s="365"/>
      <c r="G62" s="365"/>
      <c r="H62" s="365"/>
      <c r="I62" s="365">
        <v>594</v>
      </c>
      <c r="J62" s="365">
        <v>96</v>
      </c>
      <c r="K62" s="365">
        <v>690</v>
      </c>
      <c r="L62" s="365">
        <v>758</v>
      </c>
      <c r="M62" s="365">
        <v>145</v>
      </c>
      <c r="N62" s="365">
        <v>903</v>
      </c>
      <c r="O62" s="365">
        <v>2654</v>
      </c>
      <c r="P62" s="365">
        <v>1734</v>
      </c>
      <c r="Q62" s="365">
        <v>4388</v>
      </c>
      <c r="R62" s="365">
        <v>132</v>
      </c>
      <c r="S62" s="365">
        <v>107</v>
      </c>
      <c r="T62" s="365">
        <v>239</v>
      </c>
      <c r="U62" s="363">
        <v>4138</v>
      </c>
      <c r="V62" s="363">
        <v>2082</v>
      </c>
      <c r="W62" s="363">
        <v>6220</v>
      </c>
    </row>
    <row r="63" spans="2:23" hidden="1" outlineLevel="1" x14ac:dyDescent="0.25">
      <c r="B63" s="362">
        <v>40452</v>
      </c>
      <c r="C63" s="365"/>
      <c r="D63" s="365"/>
      <c r="E63" s="365"/>
      <c r="F63" s="365"/>
      <c r="G63" s="365"/>
      <c r="H63" s="365"/>
      <c r="I63" s="365">
        <v>634</v>
      </c>
      <c r="J63" s="365">
        <v>84</v>
      </c>
      <c r="K63" s="365">
        <v>718</v>
      </c>
      <c r="L63" s="365">
        <v>855</v>
      </c>
      <c r="M63" s="365">
        <v>239</v>
      </c>
      <c r="N63" s="365">
        <v>1094</v>
      </c>
      <c r="O63" s="365">
        <v>2351</v>
      </c>
      <c r="P63" s="365">
        <v>1455</v>
      </c>
      <c r="Q63" s="365">
        <v>3806</v>
      </c>
      <c r="R63" s="365">
        <v>153</v>
      </c>
      <c r="S63" s="365">
        <v>121</v>
      </c>
      <c r="T63" s="365">
        <v>274</v>
      </c>
      <c r="U63" s="363">
        <v>3993</v>
      </c>
      <c r="V63" s="363">
        <v>1899</v>
      </c>
      <c r="W63" s="363">
        <v>5892</v>
      </c>
    </row>
    <row r="64" spans="2:23" hidden="1" outlineLevel="1" x14ac:dyDescent="0.25">
      <c r="B64" s="362">
        <v>40483</v>
      </c>
      <c r="C64" s="365"/>
      <c r="D64" s="365"/>
      <c r="E64" s="365"/>
      <c r="F64" s="365"/>
      <c r="G64" s="365"/>
      <c r="H64" s="365"/>
      <c r="I64" s="365">
        <v>580</v>
      </c>
      <c r="J64" s="365">
        <v>88</v>
      </c>
      <c r="K64" s="365">
        <v>668</v>
      </c>
      <c r="L64" s="365">
        <v>926</v>
      </c>
      <c r="M64" s="365">
        <v>197</v>
      </c>
      <c r="N64" s="365">
        <v>1123</v>
      </c>
      <c r="O64" s="365">
        <v>1953</v>
      </c>
      <c r="P64" s="365">
        <v>1147</v>
      </c>
      <c r="Q64" s="365">
        <v>3100</v>
      </c>
      <c r="R64" s="365">
        <v>120</v>
      </c>
      <c r="S64" s="365">
        <v>84</v>
      </c>
      <c r="T64" s="365">
        <v>204</v>
      </c>
      <c r="U64" s="363">
        <v>3579</v>
      </c>
      <c r="V64" s="363">
        <v>1516</v>
      </c>
      <c r="W64" s="363">
        <v>5095</v>
      </c>
    </row>
    <row r="65" spans="2:23" hidden="1" outlineLevel="1" x14ac:dyDescent="0.25">
      <c r="B65" s="362">
        <v>40513</v>
      </c>
      <c r="C65" s="365"/>
      <c r="D65" s="365"/>
      <c r="E65" s="365"/>
      <c r="F65" s="365"/>
      <c r="G65" s="365"/>
      <c r="H65" s="365"/>
      <c r="I65" s="365">
        <v>471</v>
      </c>
      <c r="J65" s="365">
        <v>76</v>
      </c>
      <c r="K65" s="365">
        <v>547</v>
      </c>
      <c r="L65" s="365">
        <v>562</v>
      </c>
      <c r="M65" s="365">
        <v>120</v>
      </c>
      <c r="N65" s="365">
        <v>682</v>
      </c>
      <c r="O65" s="365">
        <v>1477</v>
      </c>
      <c r="P65" s="365">
        <v>883</v>
      </c>
      <c r="Q65" s="365">
        <v>2360</v>
      </c>
      <c r="R65" s="365">
        <v>80</v>
      </c>
      <c r="S65" s="365">
        <v>56</v>
      </c>
      <c r="T65" s="365">
        <v>136</v>
      </c>
      <c r="U65" s="363">
        <v>2590</v>
      </c>
      <c r="V65" s="363">
        <v>1135</v>
      </c>
      <c r="W65" s="363">
        <v>3725</v>
      </c>
    </row>
    <row r="66" spans="2:23" collapsed="1" x14ac:dyDescent="0.25">
      <c r="B66" s="364" t="s">
        <v>701</v>
      </c>
      <c r="C66" s="363" t="s">
        <v>804</v>
      </c>
      <c r="D66" s="363" t="s">
        <v>804</v>
      </c>
      <c r="E66" s="363" t="s">
        <v>804</v>
      </c>
      <c r="F66" s="363" t="s">
        <v>804</v>
      </c>
      <c r="G66" s="363" t="s">
        <v>804</v>
      </c>
      <c r="H66" s="363" t="s">
        <v>804</v>
      </c>
      <c r="I66" s="363">
        <v>320</v>
      </c>
      <c r="J66" s="363">
        <v>55</v>
      </c>
      <c r="K66" s="363">
        <v>375</v>
      </c>
      <c r="L66" s="363">
        <v>796</v>
      </c>
      <c r="M66" s="363">
        <v>168</v>
      </c>
      <c r="N66" s="363">
        <v>963</v>
      </c>
      <c r="O66" s="363">
        <v>1487</v>
      </c>
      <c r="P66" s="363">
        <v>961</v>
      </c>
      <c r="Q66" s="363">
        <v>2448</v>
      </c>
      <c r="R66" s="363">
        <v>95</v>
      </c>
      <c r="S66" s="363">
        <v>60</v>
      </c>
      <c r="T66" s="363">
        <v>155</v>
      </c>
      <c r="U66" s="363">
        <v>2697</v>
      </c>
      <c r="V66" s="363">
        <v>1244</v>
      </c>
      <c r="W66" s="363">
        <v>3941</v>
      </c>
    </row>
    <row r="67" spans="2:23" hidden="1" outlineLevel="1" x14ac:dyDescent="0.25">
      <c r="B67" s="362">
        <v>40544</v>
      </c>
      <c r="C67" s="365"/>
      <c r="D67" s="365"/>
      <c r="E67" s="365"/>
      <c r="F67" s="365"/>
      <c r="G67" s="365"/>
      <c r="H67" s="365"/>
      <c r="I67" s="365">
        <v>709</v>
      </c>
      <c r="J67" s="365">
        <v>108</v>
      </c>
      <c r="K67" s="365">
        <v>817</v>
      </c>
      <c r="L67" s="365">
        <v>775</v>
      </c>
      <c r="M67" s="365">
        <v>141</v>
      </c>
      <c r="N67" s="365">
        <v>916</v>
      </c>
      <c r="O67" s="365">
        <v>1860</v>
      </c>
      <c r="P67" s="365">
        <v>1179</v>
      </c>
      <c r="Q67" s="365">
        <v>3039</v>
      </c>
      <c r="R67" s="365">
        <v>91</v>
      </c>
      <c r="S67" s="365">
        <v>42</v>
      </c>
      <c r="T67" s="365">
        <v>133</v>
      </c>
      <c r="U67" s="363">
        <v>3435</v>
      </c>
      <c r="V67" s="363">
        <v>1470</v>
      </c>
      <c r="W67" s="363">
        <v>4905</v>
      </c>
    </row>
    <row r="68" spans="2:23" hidden="1" outlineLevel="1" x14ac:dyDescent="0.25">
      <c r="B68" s="362">
        <v>40575</v>
      </c>
      <c r="C68" s="365"/>
      <c r="D68" s="365"/>
      <c r="E68" s="365"/>
      <c r="F68" s="365"/>
      <c r="G68" s="365"/>
      <c r="H68" s="365"/>
      <c r="I68" s="365">
        <v>543</v>
      </c>
      <c r="J68" s="365">
        <v>96</v>
      </c>
      <c r="K68" s="365">
        <v>639</v>
      </c>
      <c r="L68" s="365">
        <v>697</v>
      </c>
      <c r="M68" s="365">
        <v>136</v>
      </c>
      <c r="N68" s="365">
        <v>833</v>
      </c>
      <c r="O68" s="365">
        <v>1508</v>
      </c>
      <c r="P68" s="365">
        <v>1036</v>
      </c>
      <c r="Q68" s="365">
        <v>2544</v>
      </c>
      <c r="R68" s="365">
        <v>87</v>
      </c>
      <c r="S68" s="365">
        <v>30</v>
      </c>
      <c r="T68" s="365">
        <v>117</v>
      </c>
      <c r="U68" s="363">
        <v>2835</v>
      </c>
      <c r="V68" s="363">
        <v>1298</v>
      </c>
      <c r="W68" s="363">
        <v>4133</v>
      </c>
    </row>
    <row r="69" spans="2:23" hidden="1" outlineLevel="1" x14ac:dyDescent="0.25">
      <c r="B69" s="362">
        <v>40603</v>
      </c>
      <c r="C69" s="365"/>
      <c r="D69" s="365"/>
      <c r="E69" s="365"/>
      <c r="F69" s="365"/>
      <c r="G69" s="365"/>
      <c r="H69" s="365"/>
      <c r="I69" s="365">
        <v>617</v>
      </c>
      <c r="J69" s="365">
        <v>72</v>
      </c>
      <c r="K69" s="365">
        <v>689</v>
      </c>
      <c r="L69" s="365">
        <v>941</v>
      </c>
      <c r="M69" s="365">
        <v>159</v>
      </c>
      <c r="N69" s="365">
        <v>1100</v>
      </c>
      <c r="O69" s="365">
        <v>1633</v>
      </c>
      <c r="P69" s="365">
        <v>1056</v>
      </c>
      <c r="Q69" s="365">
        <v>2689</v>
      </c>
      <c r="R69" s="365">
        <v>111</v>
      </c>
      <c r="S69" s="365">
        <v>53</v>
      </c>
      <c r="T69" s="365">
        <v>164</v>
      </c>
      <c r="U69" s="363">
        <v>3302</v>
      </c>
      <c r="V69" s="363">
        <v>1340</v>
      </c>
      <c r="W69" s="363">
        <v>4642</v>
      </c>
    </row>
    <row r="70" spans="2:23" hidden="1" outlineLevel="1" x14ac:dyDescent="0.25">
      <c r="B70" s="362">
        <v>40634</v>
      </c>
      <c r="C70" s="365"/>
      <c r="D70" s="365"/>
      <c r="E70" s="365"/>
      <c r="F70" s="365"/>
      <c r="G70" s="365"/>
      <c r="H70" s="365"/>
      <c r="I70" s="365">
        <v>454</v>
      </c>
      <c r="J70" s="365">
        <v>75</v>
      </c>
      <c r="K70" s="365">
        <v>529</v>
      </c>
      <c r="L70" s="365">
        <v>746</v>
      </c>
      <c r="M70" s="365">
        <v>122</v>
      </c>
      <c r="N70" s="365">
        <v>868</v>
      </c>
      <c r="O70" s="365">
        <v>1213</v>
      </c>
      <c r="P70" s="365">
        <v>729</v>
      </c>
      <c r="Q70" s="365">
        <v>1942</v>
      </c>
      <c r="R70" s="365">
        <v>66</v>
      </c>
      <c r="S70" s="365">
        <v>32</v>
      </c>
      <c r="T70" s="365">
        <v>98</v>
      </c>
      <c r="U70" s="363">
        <v>2479</v>
      </c>
      <c r="V70" s="363">
        <v>958</v>
      </c>
      <c r="W70" s="363">
        <v>3437</v>
      </c>
    </row>
    <row r="71" spans="2:23" hidden="1" outlineLevel="1" x14ac:dyDescent="0.25">
      <c r="B71" s="362">
        <v>40664</v>
      </c>
      <c r="C71" s="365"/>
      <c r="D71" s="365"/>
      <c r="E71" s="365"/>
      <c r="F71" s="365"/>
      <c r="G71" s="365"/>
      <c r="H71" s="365"/>
      <c r="I71" s="365">
        <v>639</v>
      </c>
      <c r="J71" s="365">
        <v>81</v>
      </c>
      <c r="K71" s="365">
        <v>720</v>
      </c>
      <c r="L71" s="365">
        <v>815</v>
      </c>
      <c r="M71" s="365">
        <v>168</v>
      </c>
      <c r="N71" s="365">
        <v>983</v>
      </c>
      <c r="O71" s="365">
        <v>1662</v>
      </c>
      <c r="P71" s="365">
        <v>953</v>
      </c>
      <c r="Q71" s="365">
        <v>2615</v>
      </c>
      <c r="R71" s="365">
        <v>114</v>
      </c>
      <c r="S71" s="365">
        <v>43</v>
      </c>
      <c r="T71" s="365">
        <v>157</v>
      </c>
      <c r="U71" s="363">
        <v>3230</v>
      </c>
      <c r="V71" s="363">
        <v>1245</v>
      </c>
      <c r="W71" s="363">
        <v>4475</v>
      </c>
    </row>
    <row r="72" spans="2:23" hidden="1" outlineLevel="1" x14ac:dyDescent="0.25">
      <c r="B72" s="362">
        <v>40695</v>
      </c>
      <c r="C72" s="365"/>
      <c r="D72" s="365"/>
      <c r="E72" s="365"/>
      <c r="F72" s="365"/>
      <c r="G72" s="365"/>
      <c r="H72" s="365"/>
      <c r="I72" s="365">
        <v>582</v>
      </c>
      <c r="J72" s="365">
        <v>95</v>
      </c>
      <c r="K72" s="365">
        <v>677</v>
      </c>
      <c r="L72" s="365">
        <v>687</v>
      </c>
      <c r="M72" s="365">
        <v>156</v>
      </c>
      <c r="N72" s="365">
        <v>843</v>
      </c>
      <c r="O72" s="365">
        <v>1591</v>
      </c>
      <c r="P72" s="365">
        <v>908</v>
      </c>
      <c r="Q72" s="365">
        <v>2499</v>
      </c>
      <c r="R72" s="365">
        <v>116</v>
      </c>
      <c r="S72" s="365">
        <v>44</v>
      </c>
      <c r="T72" s="365">
        <v>160</v>
      </c>
      <c r="U72" s="363">
        <v>2976</v>
      </c>
      <c r="V72" s="363">
        <v>1203</v>
      </c>
      <c r="W72" s="363">
        <v>4179</v>
      </c>
    </row>
    <row r="73" spans="2:23" hidden="1" outlineLevel="1" x14ac:dyDescent="0.25">
      <c r="B73" s="362">
        <v>40725</v>
      </c>
      <c r="C73" s="365"/>
      <c r="D73" s="365"/>
      <c r="E73" s="365"/>
      <c r="F73" s="365"/>
      <c r="G73" s="365"/>
      <c r="H73" s="365"/>
      <c r="I73" s="365">
        <v>712</v>
      </c>
      <c r="J73" s="365">
        <v>82</v>
      </c>
      <c r="K73" s="365">
        <v>794</v>
      </c>
      <c r="L73" s="365">
        <v>760</v>
      </c>
      <c r="M73" s="365">
        <v>145</v>
      </c>
      <c r="N73" s="365">
        <v>905</v>
      </c>
      <c r="O73" s="365">
        <v>3028</v>
      </c>
      <c r="P73" s="365">
        <v>1924</v>
      </c>
      <c r="Q73" s="365">
        <v>4952</v>
      </c>
      <c r="R73" s="365">
        <v>138</v>
      </c>
      <c r="S73" s="365">
        <v>64</v>
      </c>
      <c r="T73" s="365">
        <v>202</v>
      </c>
      <c r="U73" s="363">
        <v>4638</v>
      </c>
      <c r="V73" s="363">
        <v>2215</v>
      </c>
      <c r="W73" s="363">
        <v>6853</v>
      </c>
    </row>
    <row r="74" spans="2:23" hidden="1" outlineLevel="1" x14ac:dyDescent="0.25">
      <c r="B74" s="362">
        <v>40756</v>
      </c>
      <c r="C74" s="365"/>
      <c r="D74" s="365"/>
      <c r="E74" s="365"/>
      <c r="F74" s="365"/>
      <c r="G74" s="365"/>
      <c r="H74" s="365"/>
      <c r="I74" s="365">
        <v>567</v>
      </c>
      <c r="J74" s="365">
        <v>84</v>
      </c>
      <c r="K74" s="365">
        <v>651</v>
      </c>
      <c r="L74" s="365">
        <v>733</v>
      </c>
      <c r="M74" s="365">
        <v>153</v>
      </c>
      <c r="N74" s="365">
        <v>886</v>
      </c>
      <c r="O74" s="365">
        <v>2404</v>
      </c>
      <c r="P74" s="365">
        <v>1632</v>
      </c>
      <c r="Q74" s="365">
        <v>4036</v>
      </c>
      <c r="R74" s="365">
        <v>127</v>
      </c>
      <c r="S74" s="365">
        <v>55</v>
      </c>
      <c r="T74" s="365">
        <v>182</v>
      </c>
      <c r="U74" s="363">
        <v>3831</v>
      </c>
      <c r="V74" s="363">
        <v>1924</v>
      </c>
      <c r="W74" s="363">
        <v>5755</v>
      </c>
    </row>
    <row r="75" spans="2:23" hidden="1" outlineLevel="1" x14ac:dyDescent="0.25">
      <c r="B75" s="362">
        <v>40787</v>
      </c>
      <c r="C75" s="365"/>
      <c r="D75" s="365"/>
      <c r="E75" s="365"/>
      <c r="F75" s="365"/>
      <c r="G75" s="365"/>
      <c r="H75" s="365"/>
      <c r="I75" s="365">
        <v>497</v>
      </c>
      <c r="J75" s="365">
        <v>79</v>
      </c>
      <c r="K75" s="365">
        <v>576</v>
      </c>
      <c r="L75" s="365">
        <v>637</v>
      </c>
      <c r="M75" s="365">
        <v>146</v>
      </c>
      <c r="N75" s="365">
        <v>783</v>
      </c>
      <c r="O75" s="365">
        <v>1599</v>
      </c>
      <c r="P75" s="365">
        <v>1052</v>
      </c>
      <c r="Q75" s="365">
        <v>2651</v>
      </c>
      <c r="R75" s="365">
        <v>85</v>
      </c>
      <c r="S75" s="365">
        <v>37</v>
      </c>
      <c r="T75" s="365">
        <v>122</v>
      </c>
      <c r="U75" s="363">
        <v>2818</v>
      </c>
      <c r="V75" s="363">
        <v>1314</v>
      </c>
      <c r="W75" s="363">
        <v>4132</v>
      </c>
    </row>
    <row r="76" spans="2:23" hidden="1" outlineLevel="1" x14ac:dyDescent="0.25">
      <c r="B76" s="362">
        <v>40817</v>
      </c>
      <c r="C76" s="365"/>
      <c r="D76" s="365"/>
      <c r="E76" s="365"/>
      <c r="F76" s="365"/>
      <c r="G76" s="365"/>
      <c r="H76" s="365"/>
      <c r="I76" s="365">
        <v>346</v>
      </c>
      <c r="J76" s="365">
        <v>40</v>
      </c>
      <c r="K76" s="365">
        <v>386</v>
      </c>
      <c r="L76" s="365">
        <v>612</v>
      </c>
      <c r="M76" s="365">
        <v>123</v>
      </c>
      <c r="N76" s="365">
        <v>735</v>
      </c>
      <c r="O76" s="365">
        <v>1328</v>
      </c>
      <c r="P76" s="365">
        <v>698</v>
      </c>
      <c r="Q76" s="365">
        <v>2026</v>
      </c>
      <c r="R76" s="365">
        <v>76</v>
      </c>
      <c r="S76" s="365">
        <v>24</v>
      </c>
      <c r="T76" s="365">
        <v>100</v>
      </c>
      <c r="U76" s="363">
        <v>2362</v>
      </c>
      <c r="V76" s="363">
        <v>885</v>
      </c>
      <c r="W76" s="363">
        <v>3247</v>
      </c>
    </row>
    <row r="77" spans="2:23" hidden="1" outlineLevel="1" x14ac:dyDescent="0.25">
      <c r="B77" s="362">
        <v>40848</v>
      </c>
      <c r="C77" s="365"/>
      <c r="D77" s="365"/>
      <c r="E77" s="365"/>
      <c r="F77" s="365"/>
      <c r="G77" s="365"/>
      <c r="H77" s="365"/>
      <c r="I77" s="365">
        <v>400</v>
      </c>
      <c r="J77" s="365">
        <v>51</v>
      </c>
      <c r="K77" s="365">
        <v>451</v>
      </c>
      <c r="L77" s="365">
        <v>726</v>
      </c>
      <c r="M77" s="365">
        <v>132</v>
      </c>
      <c r="N77" s="365">
        <v>858</v>
      </c>
      <c r="O77" s="365">
        <v>2064</v>
      </c>
      <c r="P77" s="365">
        <v>1262</v>
      </c>
      <c r="Q77" s="365">
        <v>3326</v>
      </c>
      <c r="R77" s="365">
        <v>79</v>
      </c>
      <c r="S77" s="365">
        <v>25</v>
      </c>
      <c r="T77" s="365">
        <v>104</v>
      </c>
      <c r="U77" s="363">
        <v>3269</v>
      </c>
      <c r="V77" s="363">
        <v>1470</v>
      </c>
      <c r="W77" s="363">
        <v>4739</v>
      </c>
    </row>
    <row r="78" spans="2:23" hidden="1" outlineLevel="1" x14ac:dyDescent="0.25">
      <c r="B78" s="362">
        <v>40878</v>
      </c>
      <c r="C78" s="365"/>
      <c r="D78" s="365"/>
      <c r="E78" s="365"/>
      <c r="F78" s="365"/>
      <c r="G78" s="365"/>
      <c r="H78" s="365"/>
      <c r="I78" s="365">
        <v>324</v>
      </c>
      <c r="J78" s="365">
        <v>29</v>
      </c>
      <c r="K78" s="365">
        <v>353</v>
      </c>
      <c r="L78" s="365">
        <v>560</v>
      </c>
      <c r="M78" s="365">
        <v>102</v>
      </c>
      <c r="N78" s="365">
        <v>662</v>
      </c>
      <c r="O78" s="365">
        <v>1595</v>
      </c>
      <c r="P78" s="365">
        <v>1019</v>
      </c>
      <c r="Q78" s="365">
        <v>2614</v>
      </c>
      <c r="R78" s="365">
        <v>45</v>
      </c>
      <c r="S78" s="365">
        <v>26</v>
      </c>
      <c r="T78" s="365">
        <v>71</v>
      </c>
      <c r="U78" s="363">
        <v>2524</v>
      </c>
      <c r="V78" s="363">
        <v>1176</v>
      </c>
      <c r="W78" s="363">
        <v>3700</v>
      </c>
    </row>
    <row r="79" spans="2:23" collapsed="1" x14ac:dyDescent="0.25">
      <c r="B79" s="364" t="s">
        <v>702</v>
      </c>
      <c r="C79" s="363" t="s">
        <v>804</v>
      </c>
      <c r="D79" s="363" t="s">
        <v>804</v>
      </c>
      <c r="E79" s="363" t="s">
        <v>804</v>
      </c>
      <c r="F79" s="363" t="s">
        <v>804</v>
      </c>
      <c r="G79" s="363" t="s">
        <v>804</v>
      </c>
      <c r="H79" s="363" t="s">
        <v>804</v>
      </c>
      <c r="I79" s="363">
        <v>533</v>
      </c>
      <c r="J79" s="363">
        <v>74</v>
      </c>
      <c r="K79" s="363">
        <v>607</v>
      </c>
      <c r="L79" s="363">
        <v>724</v>
      </c>
      <c r="M79" s="363">
        <v>140</v>
      </c>
      <c r="N79" s="363">
        <v>864</v>
      </c>
      <c r="O79" s="363">
        <v>1790</v>
      </c>
      <c r="P79" s="363">
        <v>1121</v>
      </c>
      <c r="Q79" s="363">
        <v>2911</v>
      </c>
      <c r="R79" s="363">
        <v>95</v>
      </c>
      <c r="S79" s="363">
        <v>40</v>
      </c>
      <c r="T79" s="363">
        <v>134</v>
      </c>
      <c r="U79" s="363">
        <v>3142</v>
      </c>
      <c r="V79" s="363">
        <v>1375</v>
      </c>
      <c r="W79" s="363">
        <v>4516</v>
      </c>
    </row>
    <row r="80" spans="2:23" hidden="1" outlineLevel="1" x14ac:dyDescent="0.25">
      <c r="B80" s="362">
        <v>40909</v>
      </c>
      <c r="C80" s="365"/>
      <c r="D80" s="365"/>
      <c r="E80" s="365"/>
      <c r="F80" s="365"/>
      <c r="G80" s="365"/>
      <c r="H80" s="365"/>
      <c r="I80" s="365">
        <v>355</v>
      </c>
      <c r="J80" s="365">
        <v>43</v>
      </c>
      <c r="K80" s="365">
        <v>398</v>
      </c>
      <c r="L80" s="365">
        <v>564</v>
      </c>
      <c r="M80" s="365">
        <v>124</v>
      </c>
      <c r="N80" s="365">
        <v>688</v>
      </c>
      <c r="O80" s="365">
        <v>1640</v>
      </c>
      <c r="P80" s="365">
        <v>954</v>
      </c>
      <c r="Q80" s="365">
        <v>2594</v>
      </c>
      <c r="R80" s="365">
        <v>66</v>
      </c>
      <c r="S80" s="365">
        <v>28</v>
      </c>
      <c r="T80" s="365">
        <v>94</v>
      </c>
      <c r="U80" s="363">
        <v>2625</v>
      </c>
      <c r="V80" s="363">
        <v>1149</v>
      </c>
      <c r="W80" s="363">
        <v>3774</v>
      </c>
    </row>
    <row r="81" spans="2:23" hidden="1" outlineLevel="1" x14ac:dyDescent="0.25">
      <c r="B81" s="362">
        <v>40940</v>
      </c>
      <c r="C81" s="365"/>
      <c r="D81" s="365"/>
      <c r="E81" s="365"/>
      <c r="F81" s="365"/>
      <c r="G81" s="365"/>
      <c r="H81" s="365"/>
      <c r="I81" s="365">
        <v>295</v>
      </c>
      <c r="J81" s="365">
        <v>35</v>
      </c>
      <c r="K81" s="365">
        <v>330</v>
      </c>
      <c r="L81" s="365">
        <v>525</v>
      </c>
      <c r="M81" s="365">
        <v>117</v>
      </c>
      <c r="N81" s="365">
        <v>642</v>
      </c>
      <c r="O81" s="365">
        <v>1029</v>
      </c>
      <c r="P81" s="365">
        <v>640</v>
      </c>
      <c r="Q81" s="365">
        <v>1669</v>
      </c>
      <c r="R81" s="365">
        <v>66</v>
      </c>
      <c r="S81" s="365">
        <v>23</v>
      </c>
      <c r="T81" s="365">
        <v>89</v>
      </c>
      <c r="U81" s="363">
        <v>1915</v>
      </c>
      <c r="V81" s="363">
        <v>815</v>
      </c>
      <c r="W81" s="363">
        <v>2730</v>
      </c>
    </row>
    <row r="82" spans="2:23" hidden="1" outlineLevel="1" x14ac:dyDescent="0.25">
      <c r="B82" s="362">
        <v>40969</v>
      </c>
      <c r="C82" s="365"/>
      <c r="D82" s="365"/>
      <c r="E82" s="365"/>
      <c r="F82" s="365"/>
      <c r="G82" s="365"/>
      <c r="H82" s="365"/>
      <c r="I82" s="365">
        <v>346</v>
      </c>
      <c r="J82" s="365">
        <v>41</v>
      </c>
      <c r="K82" s="365">
        <v>387</v>
      </c>
      <c r="L82" s="365">
        <v>646</v>
      </c>
      <c r="M82" s="365">
        <v>121</v>
      </c>
      <c r="N82" s="365">
        <v>767</v>
      </c>
      <c r="O82" s="365">
        <v>1089</v>
      </c>
      <c r="P82" s="365">
        <v>600</v>
      </c>
      <c r="Q82" s="365">
        <v>1689</v>
      </c>
      <c r="R82" s="365">
        <v>74</v>
      </c>
      <c r="S82" s="365">
        <v>24</v>
      </c>
      <c r="T82" s="365">
        <v>98</v>
      </c>
      <c r="U82" s="363">
        <v>2155</v>
      </c>
      <c r="V82" s="363">
        <v>786</v>
      </c>
      <c r="W82" s="363">
        <v>2941</v>
      </c>
    </row>
    <row r="83" spans="2:23" hidden="1" outlineLevel="1" x14ac:dyDescent="0.25">
      <c r="B83" s="362">
        <v>41000</v>
      </c>
      <c r="C83" s="365"/>
      <c r="D83" s="365"/>
      <c r="E83" s="365"/>
      <c r="F83" s="365"/>
      <c r="G83" s="365"/>
      <c r="H83" s="365"/>
      <c r="I83" s="365">
        <v>280</v>
      </c>
      <c r="J83" s="365">
        <v>33</v>
      </c>
      <c r="K83" s="365">
        <v>313</v>
      </c>
      <c r="L83" s="365">
        <v>579</v>
      </c>
      <c r="M83" s="365">
        <v>128</v>
      </c>
      <c r="N83" s="365">
        <v>707</v>
      </c>
      <c r="O83" s="365">
        <v>909</v>
      </c>
      <c r="P83" s="365">
        <v>580</v>
      </c>
      <c r="Q83" s="365">
        <v>1489</v>
      </c>
      <c r="R83" s="365">
        <v>53</v>
      </c>
      <c r="S83" s="365">
        <v>19</v>
      </c>
      <c r="T83" s="365">
        <v>72</v>
      </c>
      <c r="U83" s="363">
        <v>1821</v>
      </c>
      <c r="V83" s="363">
        <v>760</v>
      </c>
      <c r="W83" s="363">
        <v>2581</v>
      </c>
    </row>
    <row r="84" spans="2:23" hidden="1" outlineLevel="1" x14ac:dyDescent="0.25">
      <c r="B84" s="362">
        <v>41030</v>
      </c>
      <c r="C84" s="365"/>
      <c r="D84" s="365"/>
      <c r="E84" s="365"/>
      <c r="F84" s="365"/>
      <c r="G84" s="365"/>
      <c r="H84" s="365"/>
      <c r="I84" s="365">
        <v>339</v>
      </c>
      <c r="J84" s="365">
        <v>46</v>
      </c>
      <c r="K84" s="365">
        <v>385</v>
      </c>
      <c r="L84" s="365">
        <v>710</v>
      </c>
      <c r="M84" s="365">
        <v>156</v>
      </c>
      <c r="N84" s="365">
        <v>866</v>
      </c>
      <c r="O84" s="365">
        <v>1364</v>
      </c>
      <c r="P84" s="365">
        <v>737</v>
      </c>
      <c r="Q84" s="365">
        <v>2101</v>
      </c>
      <c r="R84" s="365">
        <v>56</v>
      </c>
      <c r="S84" s="365">
        <v>33</v>
      </c>
      <c r="T84" s="365">
        <v>89</v>
      </c>
      <c r="U84" s="363">
        <v>2469</v>
      </c>
      <c r="V84" s="363">
        <v>972</v>
      </c>
      <c r="W84" s="363">
        <v>3441</v>
      </c>
    </row>
    <row r="85" spans="2:23" hidden="1" outlineLevel="1" x14ac:dyDescent="0.25">
      <c r="B85" s="362">
        <v>41061</v>
      </c>
      <c r="C85" s="365"/>
      <c r="D85" s="365"/>
      <c r="E85" s="365"/>
      <c r="F85" s="365"/>
      <c r="G85" s="365"/>
      <c r="H85" s="365"/>
      <c r="I85" s="365">
        <v>312</v>
      </c>
      <c r="J85" s="365">
        <v>45</v>
      </c>
      <c r="K85" s="365">
        <v>357</v>
      </c>
      <c r="L85" s="365">
        <v>615</v>
      </c>
      <c r="M85" s="365">
        <v>145</v>
      </c>
      <c r="N85" s="365">
        <v>760</v>
      </c>
      <c r="O85" s="365">
        <v>1176</v>
      </c>
      <c r="P85" s="365">
        <v>712</v>
      </c>
      <c r="Q85" s="365">
        <v>1888</v>
      </c>
      <c r="R85" s="365">
        <v>84</v>
      </c>
      <c r="S85" s="365">
        <v>26</v>
      </c>
      <c r="T85" s="365">
        <v>110</v>
      </c>
      <c r="U85" s="363">
        <v>2187</v>
      </c>
      <c r="V85" s="363">
        <v>928</v>
      </c>
      <c r="W85" s="363">
        <v>3115</v>
      </c>
    </row>
    <row r="86" spans="2:23" hidden="1" outlineLevel="1" x14ac:dyDescent="0.25">
      <c r="B86" s="362">
        <v>41091</v>
      </c>
      <c r="C86" s="365"/>
      <c r="D86" s="365"/>
      <c r="E86" s="365"/>
      <c r="F86" s="365"/>
      <c r="G86" s="365"/>
      <c r="H86" s="365"/>
      <c r="I86" s="365">
        <v>296</v>
      </c>
      <c r="J86" s="365">
        <v>48</v>
      </c>
      <c r="K86" s="365">
        <v>344</v>
      </c>
      <c r="L86" s="365">
        <v>598</v>
      </c>
      <c r="M86" s="365">
        <v>136</v>
      </c>
      <c r="N86" s="365">
        <v>734</v>
      </c>
      <c r="O86" s="365">
        <v>471</v>
      </c>
      <c r="P86" s="365">
        <v>305</v>
      </c>
      <c r="Q86" s="365">
        <v>776</v>
      </c>
      <c r="R86" s="365">
        <v>89</v>
      </c>
      <c r="S86" s="365">
        <v>22</v>
      </c>
      <c r="T86" s="365">
        <v>111</v>
      </c>
      <c r="U86" s="363">
        <v>1454</v>
      </c>
      <c r="V86" s="363">
        <v>511</v>
      </c>
      <c r="W86" s="363">
        <v>1965</v>
      </c>
    </row>
    <row r="87" spans="2:23" hidden="1" outlineLevel="1" x14ac:dyDescent="0.25">
      <c r="B87" s="362">
        <v>41122</v>
      </c>
      <c r="C87" s="365"/>
      <c r="D87" s="365"/>
      <c r="E87" s="365"/>
      <c r="F87" s="365"/>
      <c r="G87" s="365"/>
      <c r="H87" s="365"/>
      <c r="I87" s="365">
        <v>484</v>
      </c>
      <c r="J87" s="365">
        <v>63</v>
      </c>
      <c r="K87" s="365">
        <v>547</v>
      </c>
      <c r="L87" s="365">
        <v>738</v>
      </c>
      <c r="M87" s="365">
        <v>142</v>
      </c>
      <c r="N87" s="365">
        <v>880</v>
      </c>
      <c r="O87" s="365">
        <v>466</v>
      </c>
      <c r="P87" s="365">
        <v>329</v>
      </c>
      <c r="Q87" s="365">
        <v>795</v>
      </c>
      <c r="R87" s="365">
        <v>78</v>
      </c>
      <c r="S87" s="365">
        <v>45</v>
      </c>
      <c r="T87" s="365">
        <v>123</v>
      </c>
      <c r="U87" s="363">
        <v>1766</v>
      </c>
      <c r="V87" s="363">
        <v>579</v>
      </c>
      <c r="W87" s="363">
        <v>2345</v>
      </c>
    </row>
    <row r="88" spans="2:23" hidden="1" outlineLevel="1" x14ac:dyDescent="0.25">
      <c r="B88" s="362">
        <v>41153</v>
      </c>
      <c r="C88" s="365"/>
      <c r="D88" s="365"/>
      <c r="E88" s="365"/>
      <c r="F88" s="365"/>
      <c r="G88" s="365"/>
      <c r="H88" s="365"/>
      <c r="I88" s="365">
        <v>385</v>
      </c>
      <c r="J88" s="365">
        <v>43</v>
      </c>
      <c r="K88" s="365">
        <v>428</v>
      </c>
      <c r="L88" s="365">
        <v>532</v>
      </c>
      <c r="M88" s="365">
        <v>84</v>
      </c>
      <c r="N88" s="365">
        <v>616</v>
      </c>
      <c r="O88" s="365">
        <v>568</v>
      </c>
      <c r="P88" s="365">
        <v>474</v>
      </c>
      <c r="Q88" s="365">
        <v>1042</v>
      </c>
      <c r="R88" s="365">
        <v>52</v>
      </c>
      <c r="S88" s="365">
        <v>30</v>
      </c>
      <c r="T88" s="365">
        <v>82</v>
      </c>
      <c r="U88" s="363">
        <v>1537</v>
      </c>
      <c r="V88" s="363">
        <v>631</v>
      </c>
      <c r="W88" s="363">
        <v>2168</v>
      </c>
    </row>
    <row r="89" spans="2:23" hidden="1" outlineLevel="1" x14ac:dyDescent="0.25">
      <c r="B89" s="362">
        <v>41183</v>
      </c>
      <c r="C89" s="365"/>
      <c r="D89" s="365"/>
      <c r="E89" s="365"/>
      <c r="F89" s="365"/>
      <c r="G89" s="365"/>
      <c r="H89" s="365"/>
      <c r="I89" s="365">
        <v>539</v>
      </c>
      <c r="J89" s="365">
        <v>78</v>
      </c>
      <c r="K89" s="365">
        <v>617</v>
      </c>
      <c r="L89" s="365">
        <v>782</v>
      </c>
      <c r="M89" s="365">
        <v>126</v>
      </c>
      <c r="N89" s="365">
        <v>908</v>
      </c>
      <c r="O89" s="365">
        <v>486</v>
      </c>
      <c r="P89" s="365">
        <v>371</v>
      </c>
      <c r="Q89" s="365">
        <v>857</v>
      </c>
      <c r="R89" s="365">
        <v>81</v>
      </c>
      <c r="S89" s="365">
        <v>37</v>
      </c>
      <c r="T89" s="365">
        <v>118</v>
      </c>
      <c r="U89" s="363">
        <v>1888</v>
      </c>
      <c r="V89" s="363">
        <v>612</v>
      </c>
      <c r="W89" s="363">
        <v>2500</v>
      </c>
    </row>
    <row r="90" spans="2:23" hidden="1" outlineLevel="1" x14ac:dyDescent="0.25">
      <c r="B90" s="362">
        <v>41214</v>
      </c>
      <c r="C90" s="365"/>
      <c r="D90" s="365"/>
      <c r="E90" s="365"/>
      <c r="F90" s="365"/>
      <c r="G90" s="365"/>
      <c r="H90" s="365"/>
      <c r="I90" s="365">
        <v>187</v>
      </c>
      <c r="J90" s="365">
        <v>25</v>
      </c>
      <c r="K90" s="365">
        <v>212</v>
      </c>
      <c r="L90" s="365">
        <v>610</v>
      </c>
      <c r="M90" s="365">
        <v>120</v>
      </c>
      <c r="N90" s="365">
        <v>730</v>
      </c>
      <c r="O90" s="365">
        <v>312</v>
      </c>
      <c r="P90" s="365">
        <v>244</v>
      </c>
      <c r="Q90" s="365">
        <v>556</v>
      </c>
      <c r="R90" s="365">
        <v>65</v>
      </c>
      <c r="S90" s="365">
        <v>31</v>
      </c>
      <c r="T90" s="365">
        <v>96</v>
      </c>
      <c r="U90" s="363">
        <v>1174</v>
      </c>
      <c r="V90" s="363">
        <v>420</v>
      </c>
      <c r="W90" s="363">
        <v>1594</v>
      </c>
    </row>
    <row r="91" spans="2:23" hidden="1" outlineLevel="1" x14ac:dyDescent="0.25">
      <c r="B91" s="362">
        <v>41244</v>
      </c>
      <c r="C91" s="365"/>
      <c r="D91" s="365"/>
      <c r="E91" s="365"/>
      <c r="F91" s="365"/>
      <c r="G91" s="365"/>
      <c r="H91" s="365"/>
      <c r="I91" s="365">
        <v>193</v>
      </c>
      <c r="J91" s="365">
        <v>38</v>
      </c>
      <c r="K91" s="365">
        <v>231</v>
      </c>
      <c r="L91" s="365">
        <v>517</v>
      </c>
      <c r="M91" s="365">
        <v>129</v>
      </c>
      <c r="N91" s="365">
        <v>646</v>
      </c>
      <c r="O91" s="365">
        <v>550</v>
      </c>
      <c r="P91" s="365">
        <v>465</v>
      </c>
      <c r="Q91" s="365">
        <v>1015</v>
      </c>
      <c r="R91" s="365">
        <v>37</v>
      </c>
      <c r="S91" s="365">
        <v>17</v>
      </c>
      <c r="T91" s="365">
        <v>54</v>
      </c>
      <c r="U91" s="363">
        <v>1297</v>
      </c>
      <c r="V91" s="363">
        <v>649</v>
      </c>
      <c r="W91" s="363">
        <v>1946</v>
      </c>
    </row>
    <row r="92" spans="2:23" collapsed="1" x14ac:dyDescent="0.25">
      <c r="B92" s="364" t="s">
        <v>703</v>
      </c>
      <c r="C92" s="363" t="s">
        <v>804</v>
      </c>
      <c r="D92" s="363" t="s">
        <v>804</v>
      </c>
      <c r="E92" s="363" t="s">
        <v>804</v>
      </c>
      <c r="F92" s="363" t="s">
        <v>804</v>
      </c>
      <c r="G92" s="363" t="s">
        <v>804</v>
      </c>
      <c r="H92" s="363" t="s">
        <v>804</v>
      </c>
      <c r="I92" s="363">
        <v>334</v>
      </c>
      <c r="J92" s="363">
        <v>45</v>
      </c>
      <c r="K92" s="363">
        <v>379</v>
      </c>
      <c r="L92" s="363">
        <v>618</v>
      </c>
      <c r="M92" s="363">
        <v>127</v>
      </c>
      <c r="N92" s="363">
        <v>745</v>
      </c>
      <c r="O92" s="363">
        <v>838</v>
      </c>
      <c r="P92" s="363">
        <v>534</v>
      </c>
      <c r="Q92" s="363">
        <v>1373</v>
      </c>
      <c r="R92" s="363">
        <v>67</v>
      </c>
      <c r="S92" s="363">
        <v>28</v>
      </c>
      <c r="T92" s="363">
        <v>95</v>
      </c>
      <c r="U92" s="363">
        <v>1857</v>
      </c>
      <c r="V92" s="363">
        <v>734</v>
      </c>
      <c r="W92" s="363">
        <v>2592</v>
      </c>
    </row>
    <row r="93" spans="2:23" hidden="1" outlineLevel="1" x14ac:dyDescent="0.25">
      <c r="B93" s="362">
        <v>41275</v>
      </c>
      <c r="C93" s="365"/>
      <c r="D93" s="365"/>
      <c r="E93" s="365"/>
      <c r="F93" s="365"/>
      <c r="G93" s="365"/>
      <c r="H93" s="365"/>
      <c r="I93" s="365">
        <v>193</v>
      </c>
      <c r="J93" s="365">
        <v>41</v>
      </c>
      <c r="K93" s="365">
        <v>234</v>
      </c>
      <c r="L93" s="365">
        <v>499</v>
      </c>
      <c r="M93" s="365">
        <v>115</v>
      </c>
      <c r="N93" s="365">
        <v>614</v>
      </c>
      <c r="O93" s="365">
        <v>666</v>
      </c>
      <c r="P93" s="365">
        <v>514</v>
      </c>
      <c r="Q93" s="365">
        <v>1180</v>
      </c>
      <c r="R93" s="365">
        <v>47</v>
      </c>
      <c r="S93" s="365">
        <v>36</v>
      </c>
      <c r="T93" s="365">
        <v>83</v>
      </c>
      <c r="U93" s="363">
        <v>1405</v>
      </c>
      <c r="V93" s="363">
        <v>706</v>
      </c>
      <c r="W93" s="363">
        <v>2111</v>
      </c>
    </row>
    <row r="94" spans="2:23" hidden="1" outlineLevel="1" x14ac:dyDescent="0.25">
      <c r="B94" s="362">
        <v>41306</v>
      </c>
      <c r="C94" s="365"/>
      <c r="D94" s="365"/>
      <c r="E94" s="365"/>
      <c r="F94" s="365"/>
      <c r="G94" s="365"/>
      <c r="H94" s="365"/>
      <c r="I94" s="365">
        <v>155</v>
      </c>
      <c r="J94" s="365">
        <v>41</v>
      </c>
      <c r="K94" s="365">
        <v>196</v>
      </c>
      <c r="L94" s="365">
        <v>456</v>
      </c>
      <c r="M94" s="365">
        <v>104</v>
      </c>
      <c r="N94" s="365">
        <v>560</v>
      </c>
      <c r="O94" s="365">
        <v>425</v>
      </c>
      <c r="P94" s="365">
        <v>304</v>
      </c>
      <c r="Q94" s="365">
        <v>729</v>
      </c>
      <c r="R94" s="365">
        <v>37</v>
      </c>
      <c r="S94" s="365">
        <v>16</v>
      </c>
      <c r="T94" s="365">
        <v>53</v>
      </c>
      <c r="U94" s="363">
        <v>1073</v>
      </c>
      <c r="V94" s="363">
        <v>465</v>
      </c>
      <c r="W94" s="363">
        <v>1538</v>
      </c>
    </row>
    <row r="95" spans="2:23" hidden="1" outlineLevel="1" x14ac:dyDescent="0.25">
      <c r="B95" s="362">
        <v>41334</v>
      </c>
      <c r="C95" s="365"/>
      <c r="D95" s="365"/>
      <c r="E95" s="365"/>
      <c r="F95" s="365"/>
      <c r="G95" s="365"/>
      <c r="H95" s="365"/>
      <c r="I95" s="365">
        <v>107</v>
      </c>
      <c r="J95" s="365">
        <v>25</v>
      </c>
      <c r="K95" s="365">
        <v>132</v>
      </c>
      <c r="L95" s="365">
        <v>594</v>
      </c>
      <c r="M95" s="365">
        <v>121</v>
      </c>
      <c r="N95" s="365">
        <v>715</v>
      </c>
      <c r="O95" s="365">
        <v>328</v>
      </c>
      <c r="P95" s="365">
        <v>285</v>
      </c>
      <c r="Q95" s="365">
        <v>613</v>
      </c>
      <c r="R95" s="365">
        <v>61</v>
      </c>
      <c r="S95" s="365">
        <v>31</v>
      </c>
      <c r="T95" s="365">
        <v>92</v>
      </c>
      <c r="U95" s="363">
        <v>1090</v>
      </c>
      <c r="V95" s="363">
        <v>462</v>
      </c>
      <c r="W95" s="363">
        <v>1552</v>
      </c>
    </row>
    <row r="96" spans="2:23" hidden="1" outlineLevel="1" x14ac:dyDescent="0.25">
      <c r="B96" s="362">
        <v>41365</v>
      </c>
      <c r="C96" s="365"/>
      <c r="D96" s="365"/>
      <c r="E96" s="365"/>
      <c r="F96" s="365"/>
      <c r="G96" s="365"/>
      <c r="H96" s="365"/>
      <c r="I96" s="365">
        <v>128</v>
      </c>
      <c r="J96" s="365">
        <v>30</v>
      </c>
      <c r="K96" s="365">
        <v>158</v>
      </c>
      <c r="L96" s="365">
        <v>663</v>
      </c>
      <c r="M96" s="365">
        <v>127</v>
      </c>
      <c r="N96" s="365">
        <v>790</v>
      </c>
      <c r="O96" s="365">
        <v>271</v>
      </c>
      <c r="P96" s="365">
        <v>256</v>
      </c>
      <c r="Q96" s="365">
        <v>527</v>
      </c>
      <c r="R96" s="365">
        <v>63</v>
      </c>
      <c r="S96" s="365">
        <v>37</v>
      </c>
      <c r="T96" s="365">
        <v>100</v>
      </c>
      <c r="U96" s="363">
        <v>1125</v>
      </c>
      <c r="V96" s="363">
        <v>450</v>
      </c>
      <c r="W96" s="363">
        <v>1575</v>
      </c>
    </row>
    <row r="97" spans="2:23" hidden="1" outlineLevel="1" x14ac:dyDescent="0.25">
      <c r="B97" s="362">
        <v>41395</v>
      </c>
      <c r="C97" s="365"/>
      <c r="D97" s="365"/>
      <c r="E97" s="365"/>
      <c r="F97" s="365"/>
      <c r="G97" s="365"/>
      <c r="H97" s="365"/>
      <c r="I97" s="365">
        <v>92</v>
      </c>
      <c r="J97" s="365">
        <v>37</v>
      </c>
      <c r="K97" s="365">
        <v>129</v>
      </c>
      <c r="L97" s="365">
        <v>544</v>
      </c>
      <c r="M97" s="365">
        <v>89</v>
      </c>
      <c r="N97" s="365">
        <v>633</v>
      </c>
      <c r="O97" s="365">
        <v>245</v>
      </c>
      <c r="P97" s="365">
        <v>361</v>
      </c>
      <c r="Q97" s="365">
        <v>606</v>
      </c>
      <c r="R97" s="365">
        <v>68</v>
      </c>
      <c r="S97" s="365">
        <v>35</v>
      </c>
      <c r="T97" s="365">
        <v>103</v>
      </c>
      <c r="U97" s="363">
        <v>949</v>
      </c>
      <c r="V97" s="363">
        <v>522</v>
      </c>
      <c r="W97" s="363">
        <v>1471</v>
      </c>
    </row>
    <row r="98" spans="2:23" hidden="1" outlineLevel="1" x14ac:dyDescent="0.25">
      <c r="B98" s="362">
        <v>41426</v>
      </c>
      <c r="C98" s="365"/>
      <c r="D98" s="365"/>
      <c r="E98" s="365"/>
      <c r="F98" s="365"/>
      <c r="G98" s="365"/>
      <c r="H98" s="365"/>
      <c r="I98" s="365">
        <v>274</v>
      </c>
      <c r="J98" s="365">
        <v>68</v>
      </c>
      <c r="K98" s="365">
        <v>342</v>
      </c>
      <c r="L98" s="365">
        <v>567</v>
      </c>
      <c r="M98" s="365">
        <v>119</v>
      </c>
      <c r="N98" s="365">
        <v>686</v>
      </c>
      <c r="O98" s="365">
        <v>632</v>
      </c>
      <c r="P98" s="365">
        <v>542</v>
      </c>
      <c r="Q98" s="365">
        <v>1174</v>
      </c>
      <c r="R98" s="365">
        <v>88</v>
      </c>
      <c r="S98" s="365">
        <v>42</v>
      </c>
      <c r="T98" s="365">
        <v>130</v>
      </c>
      <c r="U98" s="363">
        <v>1561</v>
      </c>
      <c r="V98" s="363">
        <v>771</v>
      </c>
      <c r="W98" s="363">
        <v>2332</v>
      </c>
    </row>
    <row r="99" spans="2:23" hidden="1" outlineLevel="1" x14ac:dyDescent="0.25">
      <c r="B99" s="362">
        <v>41456</v>
      </c>
      <c r="C99" s="365"/>
      <c r="D99" s="365"/>
      <c r="E99" s="365"/>
      <c r="F99" s="365"/>
      <c r="G99" s="365"/>
      <c r="H99" s="365"/>
      <c r="I99" s="365">
        <v>83</v>
      </c>
      <c r="J99" s="365">
        <v>36</v>
      </c>
      <c r="K99" s="365">
        <v>119</v>
      </c>
      <c r="L99" s="365">
        <v>552</v>
      </c>
      <c r="M99" s="365">
        <v>105</v>
      </c>
      <c r="N99" s="365">
        <v>657</v>
      </c>
      <c r="O99" s="365">
        <v>207</v>
      </c>
      <c r="P99" s="365">
        <v>222</v>
      </c>
      <c r="Q99" s="365">
        <v>429</v>
      </c>
      <c r="R99" s="365">
        <v>54</v>
      </c>
      <c r="S99" s="365">
        <v>39</v>
      </c>
      <c r="T99" s="365">
        <v>93</v>
      </c>
      <c r="U99" s="363">
        <v>896</v>
      </c>
      <c r="V99" s="363">
        <v>402</v>
      </c>
      <c r="W99" s="363">
        <v>1298</v>
      </c>
    </row>
    <row r="100" spans="2:23" hidden="1" outlineLevel="1" x14ac:dyDescent="0.25">
      <c r="B100" s="362">
        <v>41487</v>
      </c>
      <c r="C100" s="365"/>
      <c r="D100" s="365"/>
      <c r="E100" s="365"/>
      <c r="F100" s="365"/>
      <c r="G100" s="365"/>
      <c r="H100" s="365"/>
      <c r="I100" s="365">
        <v>137</v>
      </c>
      <c r="J100" s="365">
        <v>42</v>
      </c>
      <c r="K100" s="365">
        <v>179</v>
      </c>
      <c r="L100" s="365">
        <v>604</v>
      </c>
      <c r="M100" s="365">
        <v>108</v>
      </c>
      <c r="N100" s="365">
        <v>712</v>
      </c>
      <c r="O100" s="365">
        <v>751</v>
      </c>
      <c r="P100" s="365">
        <v>569</v>
      </c>
      <c r="Q100" s="365">
        <v>1320</v>
      </c>
      <c r="R100" s="365">
        <v>94</v>
      </c>
      <c r="S100" s="365">
        <v>44</v>
      </c>
      <c r="T100" s="365">
        <v>138</v>
      </c>
      <c r="U100" s="363">
        <v>1586</v>
      </c>
      <c r="V100" s="363">
        <v>763</v>
      </c>
      <c r="W100" s="363">
        <v>2349</v>
      </c>
    </row>
    <row r="101" spans="2:23" hidden="1" outlineLevel="1" x14ac:dyDescent="0.25">
      <c r="B101" s="362">
        <v>41518</v>
      </c>
      <c r="C101" s="365"/>
      <c r="D101" s="365"/>
      <c r="E101" s="365"/>
      <c r="F101" s="365"/>
      <c r="G101" s="365"/>
      <c r="H101" s="365"/>
      <c r="I101" s="365">
        <v>287</v>
      </c>
      <c r="J101" s="365">
        <v>79</v>
      </c>
      <c r="K101" s="365">
        <v>366</v>
      </c>
      <c r="L101" s="365">
        <v>444</v>
      </c>
      <c r="M101" s="365">
        <v>87</v>
      </c>
      <c r="N101" s="365">
        <v>531</v>
      </c>
      <c r="O101" s="365">
        <v>661</v>
      </c>
      <c r="P101" s="365">
        <v>468</v>
      </c>
      <c r="Q101" s="365">
        <v>1129</v>
      </c>
      <c r="R101" s="365">
        <v>93</v>
      </c>
      <c r="S101" s="365">
        <v>28</v>
      </c>
      <c r="T101" s="365">
        <v>121</v>
      </c>
      <c r="U101" s="363">
        <v>1485</v>
      </c>
      <c r="V101" s="363">
        <v>662</v>
      </c>
      <c r="W101" s="363">
        <v>2147</v>
      </c>
    </row>
    <row r="102" spans="2:23" hidden="1" outlineLevel="1" x14ac:dyDescent="0.25">
      <c r="B102" s="362">
        <v>41548</v>
      </c>
      <c r="C102" s="365"/>
      <c r="D102" s="365"/>
      <c r="E102" s="365"/>
      <c r="F102" s="365"/>
      <c r="G102" s="365"/>
      <c r="H102" s="365"/>
      <c r="I102" s="365">
        <v>412</v>
      </c>
      <c r="J102" s="365">
        <v>93</v>
      </c>
      <c r="K102" s="365">
        <v>505</v>
      </c>
      <c r="L102" s="365">
        <v>564</v>
      </c>
      <c r="M102" s="365">
        <v>108</v>
      </c>
      <c r="N102" s="365">
        <v>672</v>
      </c>
      <c r="O102" s="365">
        <v>790</v>
      </c>
      <c r="P102" s="365">
        <v>523</v>
      </c>
      <c r="Q102" s="365">
        <v>1313</v>
      </c>
      <c r="R102" s="365">
        <v>109</v>
      </c>
      <c r="S102" s="365">
        <v>40</v>
      </c>
      <c r="T102" s="365">
        <v>149</v>
      </c>
      <c r="U102" s="363">
        <v>1875</v>
      </c>
      <c r="V102" s="363">
        <v>764</v>
      </c>
      <c r="W102" s="363">
        <v>2639</v>
      </c>
    </row>
    <row r="103" spans="2:23" hidden="1" outlineLevel="1" x14ac:dyDescent="0.25">
      <c r="B103" s="362">
        <v>41579</v>
      </c>
      <c r="C103" s="365"/>
      <c r="D103" s="365"/>
      <c r="E103" s="365"/>
      <c r="F103" s="365"/>
      <c r="G103" s="365"/>
      <c r="H103" s="365"/>
      <c r="I103" s="365">
        <v>193</v>
      </c>
      <c r="J103" s="365">
        <v>53</v>
      </c>
      <c r="K103" s="365">
        <v>246</v>
      </c>
      <c r="L103" s="365">
        <v>295</v>
      </c>
      <c r="M103" s="365">
        <v>73</v>
      </c>
      <c r="N103" s="365">
        <v>368</v>
      </c>
      <c r="O103" s="365">
        <v>471</v>
      </c>
      <c r="P103" s="365">
        <v>402</v>
      </c>
      <c r="Q103" s="365">
        <v>873</v>
      </c>
      <c r="R103" s="365">
        <v>33</v>
      </c>
      <c r="S103" s="365">
        <v>9</v>
      </c>
      <c r="T103" s="365">
        <v>42</v>
      </c>
      <c r="U103" s="363">
        <v>992</v>
      </c>
      <c r="V103" s="363">
        <v>537</v>
      </c>
      <c r="W103" s="363">
        <v>1529</v>
      </c>
    </row>
    <row r="104" spans="2:23" hidden="1" outlineLevel="1" x14ac:dyDescent="0.25">
      <c r="B104" s="362">
        <v>41609</v>
      </c>
      <c r="C104" s="365"/>
      <c r="D104" s="365"/>
      <c r="E104" s="365"/>
      <c r="F104" s="365"/>
      <c r="G104" s="365"/>
      <c r="H104" s="365"/>
      <c r="I104" s="365">
        <v>398</v>
      </c>
      <c r="J104" s="365">
        <v>107</v>
      </c>
      <c r="K104" s="365">
        <v>505</v>
      </c>
      <c r="L104" s="365">
        <v>583</v>
      </c>
      <c r="M104" s="365">
        <v>136</v>
      </c>
      <c r="N104" s="365">
        <v>719</v>
      </c>
      <c r="O104" s="365">
        <v>713</v>
      </c>
      <c r="P104" s="365">
        <v>611</v>
      </c>
      <c r="Q104" s="365">
        <v>1324</v>
      </c>
      <c r="R104" s="365">
        <v>61</v>
      </c>
      <c r="S104" s="365">
        <v>16</v>
      </c>
      <c r="T104" s="365">
        <v>77</v>
      </c>
      <c r="U104" s="363">
        <v>1755</v>
      </c>
      <c r="V104" s="363">
        <v>870</v>
      </c>
      <c r="W104" s="363">
        <v>2625</v>
      </c>
    </row>
    <row r="105" spans="2:23" collapsed="1" x14ac:dyDescent="0.25">
      <c r="B105" s="364" t="s">
        <v>704</v>
      </c>
      <c r="C105" s="363" t="s">
        <v>804</v>
      </c>
      <c r="D105" s="363" t="s">
        <v>804</v>
      </c>
      <c r="E105" s="363" t="s">
        <v>804</v>
      </c>
      <c r="F105" s="363" t="s">
        <v>804</v>
      </c>
      <c r="G105" s="363" t="s">
        <v>804</v>
      </c>
      <c r="H105" s="363" t="s">
        <v>804</v>
      </c>
      <c r="I105" s="363">
        <v>205</v>
      </c>
      <c r="J105" s="363">
        <v>54</v>
      </c>
      <c r="K105" s="363">
        <v>259</v>
      </c>
      <c r="L105" s="363">
        <v>530</v>
      </c>
      <c r="M105" s="363">
        <v>108</v>
      </c>
      <c r="N105" s="363">
        <v>638</v>
      </c>
      <c r="O105" s="363">
        <v>513</v>
      </c>
      <c r="P105" s="363">
        <v>421</v>
      </c>
      <c r="Q105" s="363">
        <v>935</v>
      </c>
      <c r="R105" s="363">
        <v>67</v>
      </c>
      <c r="S105" s="363">
        <v>31</v>
      </c>
      <c r="T105" s="363">
        <v>98</v>
      </c>
      <c r="U105" s="363">
        <v>1316</v>
      </c>
      <c r="V105" s="363">
        <v>615</v>
      </c>
      <c r="W105" s="363">
        <v>1931</v>
      </c>
    </row>
    <row r="106" spans="2:23" hidden="1" outlineLevel="1" x14ac:dyDescent="0.25">
      <c r="B106" s="362">
        <v>41640</v>
      </c>
      <c r="C106" s="365"/>
      <c r="D106" s="365"/>
      <c r="E106" s="365"/>
      <c r="F106" s="365"/>
      <c r="G106" s="365"/>
      <c r="H106" s="365"/>
      <c r="I106" s="365">
        <v>422</v>
      </c>
      <c r="J106" s="365">
        <v>90</v>
      </c>
      <c r="K106" s="365">
        <v>512</v>
      </c>
      <c r="L106" s="365">
        <v>516</v>
      </c>
      <c r="M106" s="365">
        <v>91</v>
      </c>
      <c r="N106" s="365">
        <v>607</v>
      </c>
      <c r="O106" s="365">
        <v>770</v>
      </c>
      <c r="P106" s="365">
        <v>586</v>
      </c>
      <c r="Q106" s="365">
        <v>1356</v>
      </c>
      <c r="R106" s="365">
        <v>47</v>
      </c>
      <c r="S106" s="365">
        <v>15</v>
      </c>
      <c r="T106" s="365">
        <v>62</v>
      </c>
      <c r="U106" s="363">
        <v>1755</v>
      </c>
      <c r="V106" s="363">
        <v>782</v>
      </c>
      <c r="W106" s="363">
        <v>2537</v>
      </c>
    </row>
    <row r="107" spans="2:23" hidden="1" outlineLevel="1" x14ac:dyDescent="0.25">
      <c r="B107" s="362">
        <v>41671</v>
      </c>
      <c r="C107" s="365"/>
      <c r="D107" s="365"/>
      <c r="E107" s="365"/>
      <c r="F107" s="365"/>
      <c r="G107" s="365"/>
      <c r="H107" s="365"/>
      <c r="I107" s="365">
        <v>520</v>
      </c>
      <c r="J107" s="365">
        <v>102</v>
      </c>
      <c r="K107" s="365">
        <v>622</v>
      </c>
      <c r="L107" s="365">
        <v>400</v>
      </c>
      <c r="M107" s="365">
        <v>93</v>
      </c>
      <c r="N107" s="365">
        <v>493</v>
      </c>
      <c r="O107" s="365">
        <v>696</v>
      </c>
      <c r="P107" s="365">
        <v>535</v>
      </c>
      <c r="Q107" s="365">
        <v>1231</v>
      </c>
      <c r="R107" s="365">
        <v>38</v>
      </c>
      <c r="S107" s="365">
        <v>17</v>
      </c>
      <c r="T107" s="365">
        <v>55</v>
      </c>
      <c r="U107" s="363">
        <v>1654</v>
      </c>
      <c r="V107" s="363">
        <v>747</v>
      </c>
      <c r="W107" s="363">
        <v>2401</v>
      </c>
    </row>
    <row r="108" spans="2:23" hidden="1" outlineLevel="1" x14ac:dyDescent="0.25">
      <c r="B108" s="362">
        <v>41699</v>
      </c>
      <c r="C108" s="365"/>
      <c r="D108" s="365"/>
      <c r="E108" s="365"/>
      <c r="F108" s="365"/>
      <c r="G108" s="365"/>
      <c r="H108" s="365"/>
      <c r="I108" s="365">
        <v>655</v>
      </c>
      <c r="J108" s="365">
        <v>116</v>
      </c>
      <c r="K108" s="365">
        <v>771</v>
      </c>
      <c r="L108" s="365">
        <v>565</v>
      </c>
      <c r="M108" s="365">
        <v>125</v>
      </c>
      <c r="N108" s="365">
        <v>690</v>
      </c>
      <c r="O108" s="365">
        <v>898</v>
      </c>
      <c r="P108" s="365">
        <v>618</v>
      </c>
      <c r="Q108" s="365">
        <v>1516</v>
      </c>
      <c r="R108" s="365">
        <v>72</v>
      </c>
      <c r="S108" s="365">
        <v>20</v>
      </c>
      <c r="T108" s="365">
        <v>92</v>
      </c>
      <c r="U108" s="363">
        <v>2190</v>
      </c>
      <c r="V108" s="363">
        <v>879</v>
      </c>
      <c r="W108" s="363">
        <v>3069</v>
      </c>
    </row>
    <row r="109" spans="2:23" hidden="1" outlineLevel="1" x14ac:dyDescent="0.25">
      <c r="B109" s="362">
        <v>41730</v>
      </c>
      <c r="C109" s="365"/>
      <c r="D109" s="365"/>
      <c r="E109" s="365"/>
      <c r="F109" s="365"/>
      <c r="G109" s="365"/>
      <c r="H109" s="365"/>
      <c r="I109" s="365">
        <v>613</v>
      </c>
      <c r="J109" s="365">
        <v>98</v>
      </c>
      <c r="K109" s="365">
        <v>711</v>
      </c>
      <c r="L109" s="365">
        <v>530</v>
      </c>
      <c r="M109" s="365">
        <v>113</v>
      </c>
      <c r="N109" s="365">
        <v>643</v>
      </c>
      <c r="O109" s="365">
        <v>858</v>
      </c>
      <c r="P109" s="365">
        <v>656</v>
      </c>
      <c r="Q109" s="365">
        <v>1514</v>
      </c>
      <c r="R109" s="365">
        <v>50</v>
      </c>
      <c r="S109" s="365">
        <v>23</v>
      </c>
      <c r="T109" s="365">
        <v>73</v>
      </c>
      <c r="U109" s="363">
        <v>2051</v>
      </c>
      <c r="V109" s="363">
        <v>890</v>
      </c>
      <c r="W109" s="363">
        <v>2941</v>
      </c>
    </row>
    <row r="110" spans="2:23" hidden="1" outlineLevel="1" x14ac:dyDescent="0.25">
      <c r="B110" s="362">
        <v>41760</v>
      </c>
      <c r="C110" s="365"/>
      <c r="D110" s="365"/>
      <c r="E110" s="365"/>
      <c r="F110" s="365"/>
      <c r="G110" s="365"/>
      <c r="H110" s="365"/>
      <c r="I110" s="365">
        <v>597</v>
      </c>
      <c r="J110" s="365">
        <v>121</v>
      </c>
      <c r="K110" s="365">
        <v>718</v>
      </c>
      <c r="L110" s="365">
        <v>556</v>
      </c>
      <c r="M110" s="365">
        <v>95</v>
      </c>
      <c r="N110" s="365">
        <v>651</v>
      </c>
      <c r="O110" s="365">
        <v>1066</v>
      </c>
      <c r="P110" s="365">
        <v>1088</v>
      </c>
      <c r="Q110" s="365">
        <v>2154</v>
      </c>
      <c r="R110" s="365">
        <v>62</v>
      </c>
      <c r="S110" s="365">
        <v>16</v>
      </c>
      <c r="T110" s="365">
        <v>78</v>
      </c>
      <c r="U110" s="363">
        <v>2281</v>
      </c>
      <c r="V110" s="363">
        <v>1320</v>
      </c>
      <c r="W110" s="363">
        <v>3601</v>
      </c>
    </row>
    <row r="111" spans="2:23" hidden="1" outlineLevel="1" x14ac:dyDescent="0.25">
      <c r="B111" s="362">
        <v>41791</v>
      </c>
      <c r="C111" s="365"/>
      <c r="D111" s="365"/>
      <c r="E111" s="365"/>
      <c r="F111" s="365"/>
      <c r="G111" s="365"/>
      <c r="H111" s="365"/>
      <c r="I111" s="365">
        <v>450</v>
      </c>
      <c r="J111" s="365">
        <v>110</v>
      </c>
      <c r="K111" s="365">
        <v>560</v>
      </c>
      <c r="L111" s="365">
        <v>499</v>
      </c>
      <c r="M111" s="365">
        <v>106</v>
      </c>
      <c r="N111" s="365">
        <v>605</v>
      </c>
      <c r="O111" s="365">
        <v>834</v>
      </c>
      <c r="P111" s="365">
        <v>765</v>
      </c>
      <c r="Q111" s="365">
        <v>1599</v>
      </c>
      <c r="R111" s="365">
        <v>59</v>
      </c>
      <c r="S111" s="365">
        <v>30</v>
      </c>
      <c r="T111" s="365">
        <v>89</v>
      </c>
      <c r="U111" s="363">
        <v>1842</v>
      </c>
      <c r="V111" s="363">
        <v>1011</v>
      </c>
      <c r="W111" s="363">
        <v>2853</v>
      </c>
    </row>
    <row r="112" spans="2:23" hidden="1" outlineLevel="1" x14ac:dyDescent="0.25">
      <c r="B112" s="362">
        <v>41821</v>
      </c>
      <c r="C112" s="365"/>
      <c r="D112" s="365"/>
      <c r="E112" s="365"/>
      <c r="F112" s="365"/>
      <c r="G112" s="365"/>
      <c r="H112" s="365"/>
      <c r="I112" s="365">
        <v>502</v>
      </c>
      <c r="J112" s="365">
        <v>90</v>
      </c>
      <c r="K112" s="365">
        <v>592</v>
      </c>
      <c r="L112" s="365">
        <v>559</v>
      </c>
      <c r="M112" s="365">
        <v>102</v>
      </c>
      <c r="N112" s="365">
        <v>661</v>
      </c>
      <c r="O112" s="365">
        <v>835</v>
      </c>
      <c r="P112" s="365">
        <v>705</v>
      </c>
      <c r="Q112" s="365">
        <v>1540</v>
      </c>
      <c r="R112" s="365">
        <v>46</v>
      </c>
      <c r="S112" s="365">
        <v>16</v>
      </c>
      <c r="T112" s="365">
        <v>62</v>
      </c>
      <c r="U112" s="363">
        <v>1942</v>
      </c>
      <c r="V112" s="363">
        <v>913</v>
      </c>
      <c r="W112" s="363">
        <v>2855</v>
      </c>
    </row>
    <row r="113" spans="2:23" hidden="1" outlineLevel="1" x14ac:dyDescent="0.25">
      <c r="B113" s="362">
        <v>41852</v>
      </c>
      <c r="C113" s="365"/>
      <c r="D113" s="365"/>
      <c r="E113" s="365"/>
      <c r="F113" s="365"/>
      <c r="G113" s="365"/>
      <c r="H113" s="365"/>
      <c r="I113" s="365">
        <v>538</v>
      </c>
      <c r="J113" s="365">
        <v>120</v>
      </c>
      <c r="K113" s="365">
        <v>658</v>
      </c>
      <c r="L113" s="365">
        <v>599</v>
      </c>
      <c r="M113" s="365">
        <v>117</v>
      </c>
      <c r="N113" s="365">
        <v>716</v>
      </c>
      <c r="O113" s="365">
        <v>929</v>
      </c>
      <c r="P113" s="365">
        <v>797</v>
      </c>
      <c r="Q113" s="365">
        <v>1726</v>
      </c>
      <c r="R113" s="365">
        <v>50</v>
      </c>
      <c r="S113" s="365">
        <v>14</v>
      </c>
      <c r="T113" s="365">
        <v>64</v>
      </c>
      <c r="U113" s="363">
        <v>2116</v>
      </c>
      <c r="V113" s="363">
        <v>1048</v>
      </c>
      <c r="W113" s="363">
        <v>3164</v>
      </c>
    </row>
    <row r="114" spans="2:23" hidden="1" outlineLevel="1" x14ac:dyDescent="0.25">
      <c r="B114" s="362">
        <v>41883</v>
      </c>
      <c r="C114" s="365"/>
      <c r="D114" s="365"/>
      <c r="E114" s="365"/>
      <c r="F114" s="365"/>
      <c r="G114" s="365"/>
      <c r="H114" s="365"/>
      <c r="I114" s="365">
        <v>343</v>
      </c>
      <c r="J114" s="365">
        <v>83</v>
      </c>
      <c r="K114" s="365">
        <v>426</v>
      </c>
      <c r="L114" s="365">
        <v>482</v>
      </c>
      <c r="M114" s="365">
        <v>109</v>
      </c>
      <c r="N114" s="365">
        <v>591</v>
      </c>
      <c r="O114" s="365">
        <v>793</v>
      </c>
      <c r="P114" s="365">
        <v>616</v>
      </c>
      <c r="Q114" s="365">
        <v>1409</v>
      </c>
      <c r="R114" s="365">
        <v>24</v>
      </c>
      <c r="S114" s="365">
        <v>13</v>
      </c>
      <c r="T114" s="365">
        <v>37</v>
      </c>
      <c r="U114" s="363">
        <v>1642</v>
      </c>
      <c r="V114" s="363">
        <v>821</v>
      </c>
      <c r="W114" s="363">
        <v>2463</v>
      </c>
    </row>
    <row r="115" spans="2:23" hidden="1" outlineLevel="1" x14ac:dyDescent="0.25">
      <c r="B115" s="362">
        <v>41913</v>
      </c>
      <c r="C115" s="365"/>
      <c r="D115" s="365"/>
      <c r="E115" s="365"/>
      <c r="F115" s="365"/>
      <c r="G115" s="365"/>
      <c r="H115" s="365"/>
      <c r="I115" s="365">
        <v>448</v>
      </c>
      <c r="J115" s="365">
        <v>92</v>
      </c>
      <c r="K115" s="365">
        <v>540</v>
      </c>
      <c r="L115" s="365">
        <v>584</v>
      </c>
      <c r="M115" s="365">
        <v>117</v>
      </c>
      <c r="N115" s="365">
        <v>701</v>
      </c>
      <c r="O115" s="365">
        <v>1106</v>
      </c>
      <c r="P115" s="365">
        <v>734</v>
      </c>
      <c r="Q115" s="365">
        <v>1840</v>
      </c>
      <c r="R115" s="365">
        <v>41</v>
      </c>
      <c r="S115" s="365">
        <v>13</v>
      </c>
      <c r="T115" s="365">
        <v>54</v>
      </c>
      <c r="U115" s="363">
        <v>2179</v>
      </c>
      <c r="V115" s="363">
        <v>956</v>
      </c>
      <c r="W115" s="363">
        <v>3135</v>
      </c>
    </row>
    <row r="116" spans="2:23" hidden="1" outlineLevel="1" x14ac:dyDescent="0.25">
      <c r="B116" s="362">
        <v>41944</v>
      </c>
      <c r="C116" s="365"/>
      <c r="D116" s="365"/>
      <c r="E116" s="365"/>
      <c r="F116" s="365"/>
      <c r="G116" s="365"/>
      <c r="H116" s="365"/>
      <c r="I116" s="365">
        <v>315</v>
      </c>
      <c r="J116" s="365">
        <v>85</v>
      </c>
      <c r="K116" s="365">
        <v>400</v>
      </c>
      <c r="L116" s="365">
        <v>530</v>
      </c>
      <c r="M116" s="365">
        <v>118</v>
      </c>
      <c r="N116" s="365">
        <v>648</v>
      </c>
      <c r="O116" s="365">
        <v>867</v>
      </c>
      <c r="P116" s="365">
        <v>550</v>
      </c>
      <c r="Q116" s="365">
        <v>1417</v>
      </c>
      <c r="R116" s="365">
        <v>30</v>
      </c>
      <c r="S116" s="365">
        <v>17</v>
      </c>
      <c r="T116" s="365">
        <v>47</v>
      </c>
      <c r="U116" s="363">
        <v>1742</v>
      </c>
      <c r="V116" s="363">
        <v>770</v>
      </c>
      <c r="W116" s="363">
        <v>2512</v>
      </c>
    </row>
    <row r="117" spans="2:23" hidden="1" outlineLevel="1" x14ac:dyDescent="0.25">
      <c r="B117" s="362">
        <v>41974</v>
      </c>
      <c r="C117" s="365"/>
      <c r="D117" s="365"/>
      <c r="E117" s="365"/>
      <c r="F117" s="365"/>
      <c r="G117" s="365"/>
      <c r="H117" s="365"/>
      <c r="I117" s="365">
        <v>215</v>
      </c>
      <c r="J117" s="365">
        <v>49</v>
      </c>
      <c r="K117" s="365">
        <v>264</v>
      </c>
      <c r="L117" s="365">
        <v>431</v>
      </c>
      <c r="M117" s="365">
        <v>89</v>
      </c>
      <c r="N117" s="365">
        <v>520</v>
      </c>
      <c r="O117" s="365">
        <v>637</v>
      </c>
      <c r="P117" s="365">
        <v>423</v>
      </c>
      <c r="Q117" s="365">
        <v>1060</v>
      </c>
      <c r="R117" s="365">
        <v>21</v>
      </c>
      <c r="S117" s="365">
        <v>12</v>
      </c>
      <c r="T117" s="365">
        <v>33</v>
      </c>
      <c r="U117" s="363">
        <v>1304</v>
      </c>
      <c r="V117" s="363">
        <v>573</v>
      </c>
      <c r="W117" s="363">
        <v>1877</v>
      </c>
    </row>
    <row r="118" spans="2:23" collapsed="1" x14ac:dyDescent="0.25">
      <c r="B118" s="364" t="s">
        <v>705</v>
      </c>
      <c r="C118" s="363" t="s">
        <v>804</v>
      </c>
      <c r="D118" s="363" t="s">
        <v>804</v>
      </c>
      <c r="E118" s="363" t="s">
        <v>804</v>
      </c>
      <c r="F118" s="363" t="s">
        <v>804</v>
      </c>
      <c r="G118" s="363" t="s">
        <v>804</v>
      </c>
      <c r="H118" s="363" t="s">
        <v>804</v>
      </c>
      <c r="I118" s="363">
        <v>468</v>
      </c>
      <c r="J118" s="363">
        <v>96</v>
      </c>
      <c r="K118" s="363">
        <v>565</v>
      </c>
      <c r="L118" s="363">
        <v>521</v>
      </c>
      <c r="M118" s="363">
        <v>106</v>
      </c>
      <c r="N118" s="363">
        <v>627</v>
      </c>
      <c r="O118" s="363">
        <v>857</v>
      </c>
      <c r="P118" s="363">
        <v>673</v>
      </c>
      <c r="Q118" s="363">
        <v>1530</v>
      </c>
      <c r="R118" s="363">
        <v>45</v>
      </c>
      <c r="S118" s="363">
        <v>17</v>
      </c>
      <c r="T118" s="363">
        <v>62</v>
      </c>
      <c r="U118" s="363">
        <v>1892</v>
      </c>
      <c r="V118" s="363">
        <v>893</v>
      </c>
      <c r="W118" s="363">
        <v>2784</v>
      </c>
    </row>
    <row r="119" spans="2:23" hidden="1" outlineLevel="1" x14ac:dyDescent="0.25">
      <c r="B119" s="362">
        <v>42005</v>
      </c>
      <c r="C119" s="365"/>
      <c r="D119" s="365"/>
      <c r="E119" s="365"/>
      <c r="F119" s="365"/>
      <c r="G119" s="365"/>
      <c r="H119" s="365"/>
      <c r="I119" s="365">
        <v>377</v>
      </c>
      <c r="J119" s="365">
        <v>87</v>
      </c>
      <c r="K119" s="365">
        <v>464</v>
      </c>
      <c r="L119" s="365">
        <v>454</v>
      </c>
      <c r="M119" s="365">
        <v>88</v>
      </c>
      <c r="N119" s="365">
        <v>542</v>
      </c>
      <c r="O119" s="365">
        <v>905</v>
      </c>
      <c r="P119" s="365">
        <v>623</v>
      </c>
      <c r="Q119" s="365">
        <v>1528</v>
      </c>
      <c r="R119" s="365">
        <v>29</v>
      </c>
      <c r="S119" s="365">
        <v>14</v>
      </c>
      <c r="T119" s="365">
        <v>43</v>
      </c>
      <c r="U119" s="363">
        <v>1765</v>
      </c>
      <c r="V119" s="363">
        <v>812</v>
      </c>
      <c r="W119" s="363">
        <v>2577</v>
      </c>
    </row>
    <row r="120" spans="2:23" hidden="1" outlineLevel="1" x14ac:dyDescent="0.25">
      <c r="B120" s="362">
        <v>42036</v>
      </c>
      <c r="C120" s="365"/>
      <c r="D120" s="365"/>
      <c r="E120" s="365"/>
      <c r="F120" s="365"/>
      <c r="G120" s="365"/>
      <c r="H120" s="365"/>
      <c r="I120" s="365">
        <v>272</v>
      </c>
      <c r="J120" s="365">
        <v>72</v>
      </c>
      <c r="K120" s="365">
        <v>344</v>
      </c>
      <c r="L120" s="365">
        <v>439</v>
      </c>
      <c r="M120" s="365">
        <v>95</v>
      </c>
      <c r="N120" s="365">
        <v>534</v>
      </c>
      <c r="O120" s="365">
        <v>696</v>
      </c>
      <c r="P120" s="365">
        <v>506</v>
      </c>
      <c r="Q120" s="365">
        <v>1202</v>
      </c>
      <c r="R120" s="365">
        <v>22</v>
      </c>
      <c r="S120" s="365">
        <v>9</v>
      </c>
      <c r="T120" s="365">
        <v>31</v>
      </c>
      <c r="U120" s="363">
        <v>1429</v>
      </c>
      <c r="V120" s="363">
        <v>682</v>
      </c>
      <c r="W120" s="363">
        <v>2111</v>
      </c>
    </row>
    <row r="121" spans="2:23" hidden="1" outlineLevel="1" x14ac:dyDescent="0.25">
      <c r="B121" s="362">
        <v>42064</v>
      </c>
      <c r="C121" s="365"/>
      <c r="D121" s="365"/>
      <c r="E121" s="365"/>
      <c r="F121" s="365"/>
      <c r="G121" s="365"/>
      <c r="H121" s="365"/>
      <c r="I121" s="365">
        <v>344</v>
      </c>
      <c r="J121" s="365">
        <v>86</v>
      </c>
      <c r="K121" s="365">
        <v>430</v>
      </c>
      <c r="L121" s="365">
        <v>559</v>
      </c>
      <c r="M121" s="365">
        <v>105</v>
      </c>
      <c r="N121" s="365">
        <v>664</v>
      </c>
      <c r="O121" s="365">
        <v>952</v>
      </c>
      <c r="P121" s="365">
        <v>655</v>
      </c>
      <c r="Q121" s="365">
        <v>1607</v>
      </c>
      <c r="R121" s="365">
        <v>24</v>
      </c>
      <c r="S121" s="365">
        <v>18</v>
      </c>
      <c r="T121" s="365">
        <v>42</v>
      </c>
      <c r="U121" s="363">
        <v>1879</v>
      </c>
      <c r="V121" s="363">
        <v>864</v>
      </c>
      <c r="W121" s="363">
        <v>2743</v>
      </c>
    </row>
    <row r="122" spans="2:23" hidden="1" outlineLevel="1" x14ac:dyDescent="0.25">
      <c r="B122" s="362">
        <v>42095</v>
      </c>
      <c r="C122" s="365"/>
      <c r="D122" s="365"/>
      <c r="E122" s="365"/>
      <c r="F122" s="365"/>
      <c r="G122" s="365"/>
      <c r="H122" s="365"/>
      <c r="I122" s="365">
        <v>303</v>
      </c>
      <c r="J122" s="365">
        <v>60</v>
      </c>
      <c r="K122" s="365">
        <v>363</v>
      </c>
      <c r="L122" s="365">
        <v>464</v>
      </c>
      <c r="M122" s="365">
        <v>95</v>
      </c>
      <c r="N122" s="365">
        <v>559</v>
      </c>
      <c r="O122" s="365">
        <v>820</v>
      </c>
      <c r="P122" s="365">
        <v>531</v>
      </c>
      <c r="Q122" s="365">
        <v>1351</v>
      </c>
      <c r="R122" s="365">
        <v>24</v>
      </c>
      <c r="S122" s="365">
        <v>11</v>
      </c>
      <c r="T122" s="365">
        <v>35</v>
      </c>
      <c r="U122" s="363">
        <v>1611</v>
      </c>
      <c r="V122" s="363">
        <v>697</v>
      </c>
      <c r="W122" s="363">
        <v>2308</v>
      </c>
    </row>
    <row r="123" spans="2:23" hidden="1" outlineLevel="1" x14ac:dyDescent="0.25">
      <c r="B123" s="362">
        <v>42125</v>
      </c>
      <c r="C123" s="365"/>
      <c r="D123" s="365"/>
      <c r="E123" s="365"/>
      <c r="F123" s="365"/>
      <c r="G123" s="365"/>
      <c r="H123" s="365"/>
      <c r="I123" s="365">
        <v>234</v>
      </c>
      <c r="J123" s="365">
        <v>66</v>
      </c>
      <c r="K123" s="365">
        <v>300</v>
      </c>
      <c r="L123" s="365">
        <v>402</v>
      </c>
      <c r="M123" s="365">
        <v>77</v>
      </c>
      <c r="N123" s="365">
        <v>479</v>
      </c>
      <c r="O123" s="365">
        <v>755</v>
      </c>
      <c r="P123" s="365">
        <v>638</v>
      </c>
      <c r="Q123" s="365">
        <v>1393</v>
      </c>
      <c r="R123" s="365">
        <v>11</v>
      </c>
      <c r="S123" s="365">
        <v>9</v>
      </c>
      <c r="T123" s="365">
        <v>20</v>
      </c>
      <c r="U123" s="363">
        <v>1402</v>
      </c>
      <c r="V123" s="363">
        <v>790</v>
      </c>
      <c r="W123" s="363">
        <v>2192</v>
      </c>
    </row>
    <row r="124" spans="2:23" hidden="1" outlineLevel="1" x14ac:dyDescent="0.25">
      <c r="B124" s="362">
        <v>42156</v>
      </c>
      <c r="C124" s="365"/>
      <c r="D124" s="365"/>
      <c r="E124" s="365"/>
      <c r="F124" s="365"/>
      <c r="G124" s="365"/>
      <c r="H124" s="365"/>
      <c r="I124" s="365">
        <v>294</v>
      </c>
      <c r="J124" s="365">
        <v>92</v>
      </c>
      <c r="K124" s="365">
        <v>386</v>
      </c>
      <c r="L124" s="365">
        <v>445</v>
      </c>
      <c r="M124" s="365">
        <v>90</v>
      </c>
      <c r="N124" s="365">
        <v>535</v>
      </c>
      <c r="O124" s="365">
        <v>855</v>
      </c>
      <c r="P124" s="365">
        <v>618</v>
      </c>
      <c r="Q124" s="365">
        <v>1473</v>
      </c>
      <c r="R124" s="365">
        <v>22</v>
      </c>
      <c r="S124" s="365">
        <v>18</v>
      </c>
      <c r="T124" s="365">
        <v>40</v>
      </c>
      <c r="U124" s="363">
        <v>1616</v>
      </c>
      <c r="V124" s="363">
        <v>818</v>
      </c>
      <c r="W124" s="363">
        <v>2434</v>
      </c>
    </row>
    <row r="125" spans="2:23" hidden="1" outlineLevel="1" x14ac:dyDescent="0.25">
      <c r="B125" s="362">
        <v>42186</v>
      </c>
      <c r="C125" s="365"/>
      <c r="D125" s="365"/>
      <c r="E125" s="365"/>
      <c r="F125" s="365"/>
      <c r="G125" s="365"/>
      <c r="H125" s="365"/>
      <c r="I125" s="365">
        <v>360</v>
      </c>
      <c r="J125" s="365">
        <v>87</v>
      </c>
      <c r="K125" s="365">
        <v>447</v>
      </c>
      <c r="L125" s="365">
        <v>503</v>
      </c>
      <c r="M125" s="365">
        <v>108</v>
      </c>
      <c r="N125" s="365">
        <v>611</v>
      </c>
      <c r="O125" s="365">
        <v>1027</v>
      </c>
      <c r="P125" s="365">
        <v>645</v>
      </c>
      <c r="Q125" s="365">
        <v>1672</v>
      </c>
      <c r="R125" s="365">
        <v>31</v>
      </c>
      <c r="S125" s="365">
        <v>15</v>
      </c>
      <c r="T125" s="365">
        <v>46</v>
      </c>
      <c r="U125" s="363">
        <v>1921</v>
      </c>
      <c r="V125" s="363">
        <v>855</v>
      </c>
      <c r="W125" s="363">
        <v>2776</v>
      </c>
    </row>
    <row r="126" spans="2:23" hidden="1" outlineLevel="1" x14ac:dyDescent="0.25">
      <c r="B126" s="362">
        <v>42217</v>
      </c>
      <c r="C126" s="365"/>
      <c r="D126" s="365"/>
      <c r="E126" s="365"/>
      <c r="F126" s="365"/>
      <c r="G126" s="365"/>
      <c r="H126" s="365"/>
      <c r="I126" s="365">
        <v>296</v>
      </c>
      <c r="J126" s="365">
        <v>77</v>
      </c>
      <c r="K126" s="365">
        <v>373</v>
      </c>
      <c r="L126" s="365">
        <v>496</v>
      </c>
      <c r="M126" s="365">
        <v>109</v>
      </c>
      <c r="N126" s="365">
        <v>605</v>
      </c>
      <c r="O126" s="365">
        <v>884</v>
      </c>
      <c r="P126" s="365">
        <v>541</v>
      </c>
      <c r="Q126" s="365">
        <v>1425</v>
      </c>
      <c r="R126" s="365">
        <v>16</v>
      </c>
      <c r="S126" s="365">
        <v>11</v>
      </c>
      <c r="T126" s="365">
        <v>27</v>
      </c>
      <c r="U126" s="363">
        <v>1692</v>
      </c>
      <c r="V126" s="363">
        <v>738</v>
      </c>
      <c r="W126" s="363">
        <v>2430</v>
      </c>
    </row>
    <row r="127" spans="2:23" hidden="1" outlineLevel="1" x14ac:dyDescent="0.25">
      <c r="B127" s="362">
        <v>42248</v>
      </c>
      <c r="C127" s="365"/>
      <c r="D127" s="365"/>
      <c r="E127" s="365"/>
      <c r="F127" s="365"/>
      <c r="G127" s="365"/>
      <c r="H127" s="365"/>
      <c r="I127" s="365">
        <v>322</v>
      </c>
      <c r="J127" s="365">
        <v>76</v>
      </c>
      <c r="K127" s="365">
        <v>398</v>
      </c>
      <c r="L127" s="365">
        <v>456</v>
      </c>
      <c r="M127" s="365">
        <v>122</v>
      </c>
      <c r="N127" s="365">
        <v>578</v>
      </c>
      <c r="O127" s="365">
        <v>897</v>
      </c>
      <c r="P127" s="365">
        <v>568</v>
      </c>
      <c r="Q127" s="365">
        <v>1465</v>
      </c>
      <c r="R127" s="365">
        <v>11</v>
      </c>
      <c r="S127" s="365">
        <v>16</v>
      </c>
      <c r="T127" s="365">
        <v>27</v>
      </c>
      <c r="U127" s="363">
        <v>1686</v>
      </c>
      <c r="V127" s="363">
        <v>782</v>
      </c>
      <c r="W127" s="363">
        <v>2468</v>
      </c>
    </row>
    <row r="128" spans="2:23" hidden="1" outlineLevel="1" x14ac:dyDescent="0.25">
      <c r="B128" s="362">
        <v>42278</v>
      </c>
      <c r="C128" s="365"/>
      <c r="D128" s="365"/>
      <c r="E128" s="365"/>
      <c r="F128" s="365"/>
      <c r="G128" s="365"/>
      <c r="H128" s="365"/>
      <c r="I128" s="365">
        <v>362</v>
      </c>
      <c r="J128" s="365">
        <v>90</v>
      </c>
      <c r="K128" s="365">
        <v>452</v>
      </c>
      <c r="L128" s="365">
        <v>493</v>
      </c>
      <c r="M128" s="365">
        <v>90</v>
      </c>
      <c r="N128" s="365">
        <v>583</v>
      </c>
      <c r="O128" s="365">
        <v>996</v>
      </c>
      <c r="P128" s="365">
        <v>568</v>
      </c>
      <c r="Q128" s="365">
        <v>1564</v>
      </c>
      <c r="R128" s="365">
        <v>18</v>
      </c>
      <c r="S128" s="365">
        <v>18</v>
      </c>
      <c r="T128" s="365">
        <v>36</v>
      </c>
      <c r="U128" s="363">
        <v>1869</v>
      </c>
      <c r="V128" s="363">
        <v>766</v>
      </c>
      <c r="W128" s="363">
        <v>2635</v>
      </c>
    </row>
    <row r="129" spans="2:23" hidden="1" outlineLevel="1" x14ac:dyDescent="0.25">
      <c r="B129" s="362">
        <v>42309</v>
      </c>
      <c r="C129" s="365"/>
      <c r="D129" s="365"/>
      <c r="E129" s="365"/>
      <c r="F129" s="365"/>
      <c r="G129" s="365"/>
      <c r="H129" s="365"/>
      <c r="I129" s="365">
        <v>277</v>
      </c>
      <c r="J129" s="365">
        <v>76</v>
      </c>
      <c r="K129" s="365">
        <v>353</v>
      </c>
      <c r="L129" s="365">
        <v>503</v>
      </c>
      <c r="M129" s="365">
        <v>110</v>
      </c>
      <c r="N129" s="365">
        <v>613</v>
      </c>
      <c r="O129" s="365">
        <v>900</v>
      </c>
      <c r="P129" s="365">
        <v>568</v>
      </c>
      <c r="Q129" s="365">
        <v>1468</v>
      </c>
      <c r="R129" s="365">
        <v>20</v>
      </c>
      <c r="S129" s="365">
        <v>10</v>
      </c>
      <c r="T129" s="365">
        <v>30</v>
      </c>
      <c r="U129" s="363">
        <v>1700</v>
      </c>
      <c r="V129" s="363">
        <v>764</v>
      </c>
      <c r="W129" s="363">
        <v>2464</v>
      </c>
    </row>
    <row r="130" spans="2:23" hidden="1" outlineLevel="1" x14ac:dyDescent="0.25">
      <c r="B130" s="362">
        <v>42339</v>
      </c>
      <c r="C130" s="365"/>
      <c r="D130" s="365"/>
      <c r="E130" s="365"/>
      <c r="F130" s="365"/>
      <c r="G130" s="365"/>
      <c r="H130" s="365"/>
      <c r="I130" s="365">
        <v>256</v>
      </c>
      <c r="J130" s="365">
        <v>54</v>
      </c>
      <c r="K130" s="365">
        <v>310</v>
      </c>
      <c r="L130" s="365">
        <v>403</v>
      </c>
      <c r="M130" s="365">
        <v>88</v>
      </c>
      <c r="N130" s="365">
        <v>491</v>
      </c>
      <c r="O130" s="365">
        <v>851</v>
      </c>
      <c r="P130" s="365">
        <v>586</v>
      </c>
      <c r="Q130" s="365">
        <v>1437</v>
      </c>
      <c r="R130" s="365">
        <v>22</v>
      </c>
      <c r="S130" s="365">
        <v>11</v>
      </c>
      <c r="T130" s="365">
        <v>33</v>
      </c>
      <c r="U130" s="363">
        <v>1532</v>
      </c>
      <c r="V130" s="363">
        <v>739</v>
      </c>
      <c r="W130" s="363">
        <v>2271</v>
      </c>
    </row>
    <row r="131" spans="2:23" collapsed="1" x14ac:dyDescent="0.25">
      <c r="B131" s="364" t="s">
        <v>706</v>
      </c>
      <c r="C131" s="363" t="s">
        <v>804</v>
      </c>
      <c r="D131" s="363" t="s">
        <v>804</v>
      </c>
      <c r="E131" s="363" t="s">
        <v>804</v>
      </c>
      <c r="F131" s="363" t="s">
        <v>804</v>
      </c>
      <c r="G131" s="363" t="s">
        <v>804</v>
      </c>
      <c r="H131" s="363" t="s">
        <v>804</v>
      </c>
      <c r="I131" s="363">
        <v>308</v>
      </c>
      <c r="J131" s="363">
        <v>77</v>
      </c>
      <c r="K131" s="363">
        <v>385</v>
      </c>
      <c r="L131" s="363">
        <v>468</v>
      </c>
      <c r="M131" s="363">
        <v>98</v>
      </c>
      <c r="N131" s="363">
        <v>566</v>
      </c>
      <c r="O131" s="363">
        <v>878</v>
      </c>
      <c r="P131" s="363">
        <v>587</v>
      </c>
      <c r="Q131" s="363">
        <v>1465</v>
      </c>
      <c r="R131" s="363">
        <v>21</v>
      </c>
      <c r="S131" s="363">
        <v>13</v>
      </c>
      <c r="T131" s="363">
        <v>34</v>
      </c>
      <c r="U131" s="363">
        <v>1675</v>
      </c>
      <c r="V131" s="363">
        <v>776</v>
      </c>
      <c r="W131" s="363">
        <v>2451</v>
      </c>
    </row>
    <row r="132" spans="2:23" hidden="1" outlineLevel="1" x14ac:dyDescent="0.25">
      <c r="B132" s="362">
        <v>42370</v>
      </c>
      <c r="C132" s="365"/>
      <c r="D132" s="365"/>
      <c r="E132" s="365"/>
      <c r="F132" s="365"/>
      <c r="G132" s="365"/>
      <c r="H132" s="365"/>
      <c r="I132" s="365">
        <v>317</v>
      </c>
      <c r="J132" s="365">
        <v>78</v>
      </c>
      <c r="K132" s="365">
        <v>395</v>
      </c>
      <c r="L132" s="365">
        <v>407</v>
      </c>
      <c r="M132" s="365">
        <v>101</v>
      </c>
      <c r="N132" s="365">
        <v>508</v>
      </c>
      <c r="O132" s="365">
        <v>1007</v>
      </c>
      <c r="P132" s="365">
        <v>581</v>
      </c>
      <c r="Q132" s="365">
        <v>1588</v>
      </c>
      <c r="R132" s="365">
        <v>20</v>
      </c>
      <c r="S132" s="365">
        <v>19</v>
      </c>
      <c r="T132" s="365">
        <v>39</v>
      </c>
      <c r="U132" s="363">
        <v>1751</v>
      </c>
      <c r="V132" s="363">
        <v>779</v>
      </c>
      <c r="W132" s="363">
        <v>2530</v>
      </c>
    </row>
    <row r="133" spans="2:23" hidden="1" outlineLevel="1" x14ac:dyDescent="0.25">
      <c r="B133" s="362">
        <v>42401</v>
      </c>
      <c r="C133" s="365"/>
      <c r="D133" s="365"/>
      <c r="E133" s="365"/>
      <c r="F133" s="365"/>
      <c r="G133" s="365"/>
      <c r="H133" s="365"/>
      <c r="I133" s="365">
        <v>373</v>
      </c>
      <c r="J133" s="365">
        <v>72</v>
      </c>
      <c r="K133" s="365">
        <v>445</v>
      </c>
      <c r="L133" s="365">
        <v>415</v>
      </c>
      <c r="M133" s="365">
        <v>99</v>
      </c>
      <c r="N133" s="365">
        <v>514</v>
      </c>
      <c r="O133" s="365">
        <v>1093</v>
      </c>
      <c r="P133" s="365">
        <v>666</v>
      </c>
      <c r="Q133" s="365">
        <v>1759</v>
      </c>
      <c r="R133" s="365">
        <v>19</v>
      </c>
      <c r="S133" s="365">
        <v>11</v>
      </c>
      <c r="T133" s="365">
        <v>30</v>
      </c>
      <c r="U133" s="363">
        <v>1900</v>
      </c>
      <c r="V133" s="363">
        <v>848</v>
      </c>
      <c r="W133" s="363">
        <v>2748</v>
      </c>
    </row>
    <row r="134" spans="2:23" hidden="1" outlineLevel="1" x14ac:dyDescent="0.25">
      <c r="B134" s="362">
        <v>42430</v>
      </c>
      <c r="C134" s="365"/>
      <c r="D134" s="365"/>
      <c r="E134" s="365"/>
      <c r="F134" s="365"/>
      <c r="G134" s="365"/>
      <c r="H134" s="365"/>
      <c r="I134" s="365">
        <v>367</v>
      </c>
      <c r="J134" s="365">
        <v>64</v>
      </c>
      <c r="K134" s="365">
        <v>431</v>
      </c>
      <c r="L134" s="365">
        <v>433</v>
      </c>
      <c r="M134" s="365">
        <v>88</v>
      </c>
      <c r="N134" s="365">
        <v>521</v>
      </c>
      <c r="O134" s="365">
        <v>945</v>
      </c>
      <c r="P134" s="365">
        <v>569</v>
      </c>
      <c r="Q134" s="365">
        <v>1514</v>
      </c>
      <c r="R134" s="365">
        <v>14</v>
      </c>
      <c r="S134" s="365">
        <v>14</v>
      </c>
      <c r="T134" s="365">
        <v>28</v>
      </c>
      <c r="U134" s="363">
        <v>1759</v>
      </c>
      <c r="V134" s="363">
        <v>735</v>
      </c>
      <c r="W134" s="363">
        <v>2494</v>
      </c>
    </row>
    <row r="135" spans="2:23" hidden="1" outlineLevel="1" x14ac:dyDescent="0.25">
      <c r="B135" s="362">
        <v>42461</v>
      </c>
      <c r="C135" s="365"/>
      <c r="D135" s="365"/>
      <c r="E135" s="365"/>
      <c r="F135" s="365"/>
      <c r="G135" s="365"/>
      <c r="H135" s="365"/>
      <c r="I135" s="365">
        <v>416</v>
      </c>
      <c r="J135" s="365">
        <v>110</v>
      </c>
      <c r="K135" s="365">
        <v>526</v>
      </c>
      <c r="L135" s="365">
        <v>482</v>
      </c>
      <c r="M135" s="365">
        <v>91</v>
      </c>
      <c r="N135" s="365">
        <v>573</v>
      </c>
      <c r="O135" s="365">
        <v>1057</v>
      </c>
      <c r="P135" s="365">
        <v>638</v>
      </c>
      <c r="Q135" s="365">
        <v>1695</v>
      </c>
      <c r="R135" s="365">
        <v>17</v>
      </c>
      <c r="S135" s="365">
        <v>17</v>
      </c>
      <c r="T135" s="365">
        <v>34</v>
      </c>
      <c r="U135" s="363">
        <v>1972</v>
      </c>
      <c r="V135" s="363">
        <v>856</v>
      </c>
      <c r="W135" s="363">
        <v>2828</v>
      </c>
    </row>
    <row r="136" spans="2:23" hidden="1" outlineLevel="1" x14ac:dyDescent="0.25">
      <c r="B136" s="362">
        <v>42491</v>
      </c>
      <c r="C136" s="365"/>
      <c r="D136" s="365"/>
      <c r="E136" s="365"/>
      <c r="F136" s="365"/>
      <c r="G136" s="365"/>
      <c r="H136" s="365"/>
      <c r="I136" s="365">
        <v>452</v>
      </c>
      <c r="J136" s="365">
        <v>105</v>
      </c>
      <c r="K136" s="365">
        <v>557</v>
      </c>
      <c r="L136" s="365">
        <v>463</v>
      </c>
      <c r="M136" s="365">
        <v>108</v>
      </c>
      <c r="N136" s="365">
        <v>571</v>
      </c>
      <c r="O136" s="365">
        <v>1167</v>
      </c>
      <c r="P136" s="365">
        <v>954</v>
      </c>
      <c r="Q136" s="365">
        <v>2121</v>
      </c>
      <c r="R136" s="365">
        <v>18</v>
      </c>
      <c r="S136" s="365">
        <v>8</v>
      </c>
      <c r="T136" s="365">
        <v>26</v>
      </c>
      <c r="U136" s="363">
        <v>2100</v>
      </c>
      <c r="V136" s="363">
        <v>1175</v>
      </c>
      <c r="W136" s="363">
        <v>3275</v>
      </c>
    </row>
    <row r="137" spans="2:23" hidden="1" outlineLevel="1" x14ac:dyDescent="0.25">
      <c r="B137" s="362">
        <v>42522</v>
      </c>
      <c r="C137" s="365"/>
      <c r="D137" s="365"/>
      <c r="E137" s="365"/>
      <c r="F137" s="365"/>
      <c r="G137" s="365"/>
      <c r="H137" s="365"/>
      <c r="I137" s="365">
        <v>420</v>
      </c>
      <c r="J137" s="365">
        <v>79</v>
      </c>
      <c r="K137" s="365">
        <v>499</v>
      </c>
      <c r="L137" s="365">
        <v>423</v>
      </c>
      <c r="M137" s="365">
        <v>98</v>
      </c>
      <c r="N137" s="365">
        <v>521</v>
      </c>
      <c r="O137" s="365">
        <v>991</v>
      </c>
      <c r="P137" s="365">
        <v>708</v>
      </c>
      <c r="Q137" s="365">
        <v>1699</v>
      </c>
      <c r="R137" s="365">
        <v>24</v>
      </c>
      <c r="S137" s="365">
        <v>14</v>
      </c>
      <c r="T137" s="365">
        <v>38</v>
      </c>
      <c r="U137" s="363">
        <v>1858</v>
      </c>
      <c r="V137" s="363">
        <v>899</v>
      </c>
      <c r="W137" s="363">
        <v>2757</v>
      </c>
    </row>
    <row r="138" spans="2:23" hidden="1" outlineLevel="1" x14ac:dyDescent="0.25">
      <c r="B138" s="362">
        <v>42552</v>
      </c>
      <c r="C138" s="365"/>
      <c r="D138" s="365"/>
      <c r="E138" s="365"/>
      <c r="F138" s="365"/>
      <c r="G138" s="365"/>
      <c r="H138" s="365"/>
      <c r="I138" s="365">
        <v>485</v>
      </c>
      <c r="J138" s="365">
        <v>84</v>
      </c>
      <c r="K138" s="365">
        <v>569</v>
      </c>
      <c r="L138" s="365">
        <v>399</v>
      </c>
      <c r="M138" s="365">
        <v>95</v>
      </c>
      <c r="N138" s="365">
        <v>494</v>
      </c>
      <c r="O138" s="365">
        <v>881</v>
      </c>
      <c r="P138" s="365">
        <v>619</v>
      </c>
      <c r="Q138" s="365">
        <v>1500</v>
      </c>
      <c r="R138" s="365">
        <v>12</v>
      </c>
      <c r="S138" s="365">
        <v>10</v>
      </c>
      <c r="T138" s="365">
        <v>22</v>
      </c>
      <c r="U138" s="363">
        <v>1777</v>
      </c>
      <c r="V138" s="363">
        <v>808</v>
      </c>
      <c r="W138" s="363">
        <v>2585</v>
      </c>
    </row>
    <row r="139" spans="2:23" hidden="1" outlineLevel="1" x14ac:dyDescent="0.25">
      <c r="B139" s="362">
        <v>42583</v>
      </c>
      <c r="C139" s="365"/>
      <c r="D139" s="365"/>
      <c r="E139" s="365"/>
      <c r="F139" s="365"/>
      <c r="G139" s="365"/>
      <c r="H139" s="365"/>
      <c r="I139" s="365">
        <v>536</v>
      </c>
      <c r="J139" s="365">
        <v>114</v>
      </c>
      <c r="K139" s="365">
        <v>650</v>
      </c>
      <c r="L139" s="365">
        <v>574</v>
      </c>
      <c r="M139" s="365">
        <v>105</v>
      </c>
      <c r="N139" s="365">
        <v>679</v>
      </c>
      <c r="O139" s="365">
        <v>1195</v>
      </c>
      <c r="P139" s="365">
        <v>854</v>
      </c>
      <c r="Q139" s="365">
        <v>2049</v>
      </c>
      <c r="R139" s="365">
        <v>23</v>
      </c>
      <c r="S139" s="365">
        <v>17</v>
      </c>
      <c r="T139" s="365">
        <v>40</v>
      </c>
      <c r="U139" s="363">
        <v>2328</v>
      </c>
      <c r="V139" s="363">
        <v>1090</v>
      </c>
      <c r="W139" s="363">
        <v>3418</v>
      </c>
    </row>
    <row r="140" spans="2:23" hidden="1" outlineLevel="1" x14ac:dyDescent="0.25">
      <c r="B140" s="362">
        <v>42614</v>
      </c>
      <c r="C140" s="365"/>
      <c r="D140" s="365"/>
      <c r="E140" s="365"/>
      <c r="F140" s="365"/>
      <c r="G140" s="365"/>
      <c r="H140" s="365"/>
      <c r="I140" s="365">
        <v>372</v>
      </c>
      <c r="J140" s="365">
        <v>77</v>
      </c>
      <c r="K140" s="365">
        <v>449</v>
      </c>
      <c r="L140" s="365">
        <v>465</v>
      </c>
      <c r="M140" s="365">
        <v>95</v>
      </c>
      <c r="N140" s="365">
        <v>560</v>
      </c>
      <c r="O140" s="365">
        <v>980</v>
      </c>
      <c r="P140" s="365">
        <v>701</v>
      </c>
      <c r="Q140" s="365">
        <v>1681</v>
      </c>
      <c r="R140" s="365">
        <v>19</v>
      </c>
      <c r="S140" s="365">
        <v>6</v>
      </c>
      <c r="T140" s="365">
        <v>25</v>
      </c>
      <c r="U140" s="363">
        <v>1836</v>
      </c>
      <c r="V140" s="363">
        <v>879</v>
      </c>
      <c r="W140" s="363">
        <v>2715</v>
      </c>
    </row>
    <row r="141" spans="2:23" hidden="1" outlineLevel="1" x14ac:dyDescent="0.25">
      <c r="B141" s="362">
        <v>42644</v>
      </c>
      <c r="C141" s="365"/>
      <c r="D141" s="365"/>
      <c r="E141" s="365"/>
      <c r="F141" s="365"/>
      <c r="G141" s="365"/>
      <c r="H141" s="365"/>
      <c r="I141" s="365">
        <v>300</v>
      </c>
      <c r="J141" s="365">
        <v>68</v>
      </c>
      <c r="K141" s="365">
        <v>368</v>
      </c>
      <c r="L141" s="365">
        <v>345</v>
      </c>
      <c r="M141" s="365">
        <v>70</v>
      </c>
      <c r="N141" s="365">
        <v>415</v>
      </c>
      <c r="O141" s="365">
        <v>839</v>
      </c>
      <c r="P141" s="365">
        <v>482</v>
      </c>
      <c r="Q141" s="365">
        <v>1321</v>
      </c>
      <c r="R141" s="365">
        <v>13</v>
      </c>
      <c r="S141" s="365">
        <v>9</v>
      </c>
      <c r="T141" s="365">
        <v>22</v>
      </c>
      <c r="U141" s="363">
        <v>1497</v>
      </c>
      <c r="V141" s="363">
        <v>629</v>
      </c>
      <c r="W141" s="363">
        <v>2126</v>
      </c>
    </row>
    <row r="142" spans="2:23" hidden="1" outlineLevel="1" x14ac:dyDescent="0.25">
      <c r="B142" s="362">
        <v>42675</v>
      </c>
      <c r="C142" s="365"/>
      <c r="D142" s="365"/>
      <c r="E142" s="365"/>
      <c r="F142" s="365"/>
      <c r="G142" s="365"/>
      <c r="H142" s="365"/>
      <c r="I142" s="365">
        <v>304</v>
      </c>
      <c r="J142" s="365">
        <v>62</v>
      </c>
      <c r="K142" s="365">
        <v>366</v>
      </c>
      <c r="L142" s="365">
        <v>324</v>
      </c>
      <c r="M142" s="365">
        <v>72</v>
      </c>
      <c r="N142" s="365">
        <v>396</v>
      </c>
      <c r="O142" s="365">
        <v>727</v>
      </c>
      <c r="P142" s="365">
        <v>505</v>
      </c>
      <c r="Q142" s="365">
        <v>1232</v>
      </c>
      <c r="R142" s="365">
        <v>7</v>
      </c>
      <c r="S142" s="365">
        <v>2</v>
      </c>
      <c r="T142" s="365">
        <v>9</v>
      </c>
      <c r="U142" s="363">
        <v>1362</v>
      </c>
      <c r="V142" s="363">
        <v>641</v>
      </c>
      <c r="W142" s="363">
        <v>2003</v>
      </c>
    </row>
    <row r="143" spans="2:23" hidden="1" outlineLevel="1" x14ac:dyDescent="0.25">
      <c r="B143" s="362">
        <v>42705</v>
      </c>
      <c r="C143" s="365"/>
      <c r="D143" s="365"/>
      <c r="E143" s="365"/>
      <c r="F143" s="365"/>
      <c r="G143" s="365"/>
      <c r="H143" s="365"/>
      <c r="I143" s="365">
        <v>317</v>
      </c>
      <c r="J143" s="365">
        <v>72</v>
      </c>
      <c r="K143" s="365">
        <v>389</v>
      </c>
      <c r="L143" s="365">
        <v>400</v>
      </c>
      <c r="M143" s="365">
        <v>87</v>
      </c>
      <c r="N143" s="365">
        <v>487</v>
      </c>
      <c r="O143" s="365">
        <v>843</v>
      </c>
      <c r="P143" s="365">
        <v>600</v>
      </c>
      <c r="Q143" s="365">
        <v>1443</v>
      </c>
      <c r="R143" s="365">
        <v>19</v>
      </c>
      <c r="S143" s="365">
        <v>20</v>
      </c>
      <c r="T143" s="365">
        <v>39</v>
      </c>
      <c r="U143" s="363">
        <v>1579</v>
      </c>
      <c r="V143" s="363">
        <v>779</v>
      </c>
      <c r="W143" s="363">
        <v>2358</v>
      </c>
    </row>
    <row r="144" spans="2:23" collapsed="1" x14ac:dyDescent="0.25">
      <c r="B144" s="364" t="s">
        <v>707</v>
      </c>
      <c r="C144" s="363" t="s">
        <v>804</v>
      </c>
      <c r="D144" s="363" t="s">
        <v>804</v>
      </c>
      <c r="E144" s="363" t="s">
        <v>804</v>
      </c>
      <c r="F144" s="363" t="s">
        <v>804</v>
      </c>
      <c r="G144" s="363" t="s">
        <v>804</v>
      </c>
      <c r="H144" s="363" t="s">
        <v>804</v>
      </c>
      <c r="I144" s="363">
        <v>388</v>
      </c>
      <c r="J144" s="363">
        <v>82</v>
      </c>
      <c r="K144" s="363">
        <v>470</v>
      </c>
      <c r="L144" s="363">
        <v>428</v>
      </c>
      <c r="M144" s="363">
        <v>92</v>
      </c>
      <c r="N144" s="363">
        <v>520</v>
      </c>
      <c r="O144" s="363">
        <v>977</v>
      </c>
      <c r="P144" s="363">
        <v>656</v>
      </c>
      <c r="Q144" s="363">
        <v>1634</v>
      </c>
      <c r="R144" s="363">
        <v>17</v>
      </c>
      <c r="S144" s="363">
        <v>12</v>
      </c>
      <c r="T144" s="363">
        <v>29</v>
      </c>
      <c r="U144" s="363">
        <v>1810</v>
      </c>
      <c r="V144" s="363">
        <v>843</v>
      </c>
      <c r="W144" s="363">
        <v>2653</v>
      </c>
    </row>
    <row r="145" spans="2:23" hidden="1" outlineLevel="1" x14ac:dyDescent="0.25">
      <c r="B145" s="362">
        <v>42736</v>
      </c>
      <c r="C145" s="365"/>
      <c r="D145" s="365"/>
      <c r="E145" s="365"/>
      <c r="F145" s="365"/>
      <c r="G145" s="365"/>
      <c r="H145" s="365"/>
      <c r="I145" s="365">
        <v>372</v>
      </c>
      <c r="J145" s="365">
        <v>93</v>
      </c>
      <c r="K145" s="365">
        <v>465</v>
      </c>
      <c r="L145" s="365">
        <v>416</v>
      </c>
      <c r="M145" s="365">
        <v>92</v>
      </c>
      <c r="N145" s="365">
        <v>508</v>
      </c>
      <c r="O145" s="365">
        <v>976</v>
      </c>
      <c r="P145" s="365">
        <v>666</v>
      </c>
      <c r="Q145" s="365">
        <v>1642</v>
      </c>
      <c r="R145" s="365">
        <v>25</v>
      </c>
      <c r="S145" s="365">
        <v>18</v>
      </c>
      <c r="T145" s="365">
        <v>43</v>
      </c>
      <c r="U145" s="363">
        <v>1789</v>
      </c>
      <c r="V145" s="363">
        <v>869</v>
      </c>
      <c r="W145" s="363">
        <v>2658</v>
      </c>
    </row>
    <row r="146" spans="2:23" hidden="1" outlineLevel="1" x14ac:dyDescent="0.25">
      <c r="B146" s="362">
        <v>42767</v>
      </c>
      <c r="C146" s="365"/>
      <c r="D146" s="365"/>
      <c r="E146" s="365"/>
      <c r="F146" s="365"/>
      <c r="G146" s="365"/>
      <c r="H146" s="365"/>
      <c r="I146" s="365">
        <v>365</v>
      </c>
      <c r="J146" s="365">
        <v>82</v>
      </c>
      <c r="K146" s="365">
        <v>447</v>
      </c>
      <c r="L146" s="365">
        <v>396</v>
      </c>
      <c r="M146" s="365">
        <v>68</v>
      </c>
      <c r="N146" s="365">
        <v>464</v>
      </c>
      <c r="O146" s="365">
        <v>916</v>
      </c>
      <c r="P146" s="365">
        <v>675</v>
      </c>
      <c r="Q146" s="365">
        <v>1591</v>
      </c>
      <c r="R146" s="365">
        <v>12</v>
      </c>
      <c r="S146" s="365">
        <v>16</v>
      </c>
      <c r="T146" s="365">
        <v>28</v>
      </c>
      <c r="U146" s="363">
        <v>1689</v>
      </c>
      <c r="V146" s="363">
        <v>841</v>
      </c>
      <c r="W146" s="363">
        <v>2530</v>
      </c>
    </row>
    <row r="147" spans="2:23" hidden="1" outlineLevel="1" x14ac:dyDescent="0.25">
      <c r="B147" s="362">
        <v>42795</v>
      </c>
      <c r="C147" s="365"/>
      <c r="D147" s="365"/>
      <c r="E147" s="365"/>
      <c r="F147" s="365"/>
      <c r="G147" s="365"/>
      <c r="H147" s="365"/>
      <c r="I147" s="365">
        <v>421</v>
      </c>
      <c r="J147" s="365">
        <v>86</v>
      </c>
      <c r="K147" s="365">
        <v>507</v>
      </c>
      <c r="L147" s="365">
        <v>509</v>
      </c>
      <c r="M147" s="365">
        <v>100</v>
      </c>
      <c r="N147" s="365">
        <v>609</v>
      </c>
      <c r="O147" s="365">
        <v>1206</v>
      </c>
      <c r="P147" s="365">
        <v>736</v>
      </c>
      <c r="Q147" s="365">
        <v>1942</v>
      </c>
      <c r="R147" s="365">
        <v>18</v>
      </c>
      <c r="S147" s="365">
        <v>11</v>
      </c>
      <c r="T147" s="365">
        <v>29</v>
      </c>
      <c r="U147" s="363">
        <v>2154</v>
      </c>
      <c r="V147" s="363">
        <v>933</v>
      </c>
      <c r="W147" s="363">
        <v>3087</v>
      </c>
    </row>
    <row r="148" spans="2:23" hidden="1" outlineLevel="1" x14ac:dyDescent="0.25">
      <c r="B148" s="362">
        <v>42826</v>
      </c>
      <c r="C148" s="365"/>
      <c r="D148" s="365"/>
      <c r="E148" s="365"/>
      <c r="F148" s="365"/>
      <c r="G148" s="365"/>
      <c r="H148" s="365"/>
      <c r="I148" s="365">
        <v>346</v>
      </c>
      <c r="J148" s="365">
        <v>84</v>
      </c>
      <c r="K148" s="365">
        <v>430</v>
      </c>
      <c r="L148" s="365">
        <v>404</v>
      </c>
      <c r="M148" s="365">
        <v>79</v>
      </c>
      <c r="N148" s="365">
        <v>483</v>
      </c>
      <c r="O148" s="365">
        <v>897</v>
      </c>
      <c r="P148" s="365">
        <v>593</v>
      </c>
      <c r="Q148" s="365">
        <v>1490</v>
      </c>
      <c r="R148" s="365">
        <v>13</v>
      </c>
      <c r="S148" s="365">
        <v>7</v>
      </c>
      <c r="T148" s="365">
        <v>20</v>
      </c>
      <c r="U148" s="363">
        <v>1660</v>
      </c>
      <c r="V148" s="363">
        <v>763</v>
      </c>
      <c r="W148" s="363">
        <v>2423</v>
      </c>
    </row>
    <row r="149" spans="2:23" hidden="1" outlineLevel="1" x14ac:dyDescent="0.25">
      <c r="B149" s="362">
        <v>42856</v>
      </c>
      <c r="C149" s="365"/>
      <c r="D149" s="365"/>
      <c r="E149" s="365"/>
      <c r="F149" s="365"/>
      <c r="G149" s="365"/>
      <c r="H149" s="365"/>
      <c r="I149" s="365">
        <v>386</v>
      </c>
      <c r="J149" s="365">
        <v>95</v>
      </c>
      <c r="K149" s="365">
        <v>481</v>
      </c>
      <c r="L149" s="365">
        <v>503</v>
      </c>
      <c r="M149" s="365">
        <v>91</v>
      </c>
      <c r="N149" s="365">
        <v>594</v>
      </c>
      <c r="O149" s="365">
        <v>1155</v>
      </c>
      <c r="P149" s="365">
        <v>953</v>
      </c>
      <c r="Q149" s="365">
        <v>2108</v>
      </c>
      <c r="R149" s="365">
        <v>21</v>
      </c>
      <c r="S149" s="365">
        <v>15</v>
      </c>
      <c r="T149" s="365">
        <v>36</v>
      </c>
      <c r="U149" s="363">
        <v>2065</v>
      </c>
      <c r="V149" s="363">
        <v>1154</v>
      </c>
      <c r="W149" s="363">
        <v>3219</v>
      </c>
    </row>
    <row r="150" spans="2:23" hidden="1" outlineLevel="1" x14ac:dyDescent="0.25">
      <c r="B150" s="362">
        <v>42887</v>
      </c>
      <c r="C150" s="365"/>
      <c r="D150" s="365"/>
      <c r="E150" s="365"/>
      <c r="F150" s="365"/>
      <c r="G150" s="365"/>
      <c r="H150" s="365"/>
      <c r="I150" s="365">
        <v>362</v>
      </c>
      <c r="J150" s="365">
        <v>91</v>
      </c>
      <c r="K150" s="365">
        <v>453</v>
      </c>
      <c r="L150" s="365">
        <v>464</v>
      </c>
      <c r="M150" s="365">
        <v>94</v>
      </c>
      <c r="N150" s="365">
        <v>558</v>
      </c>
      <c r="O150" s="365">
        <v>1065</v>
      </c>
      <c r="P150" s="365">
        <v>784</v>
      </c>
      <c r="Q150" s="365">
        <v>1849</v>
      </c>
      <c r="R150" s="365">
        <v>22</v>
      </c>
      <c r="S150" s="365">
        <v>4</v>
      </c>
      <c r="T150" s="365">
        <v>26</v>
      </c>
      <c r="U150" s="363">
        <v>1913</v>
      </c>
      <c r="V150" s="363">
        <v>973</v>
      </c>
      <c r="W150" s="363">
        <v>2886</v>
      </c>
    </row>
    <row r="151" spans="2:23" hidden="1" outlineLevel="1" x14ac:dyDescent="0.25">
      <c r="B151" s="362">
        <v>42917</v>
      </c>
      <c r="C151" s="365"/>
      <c r="D151" s="365"/>
      <c r="E151" s="365"/>
      <c r="F151" s="365"/>
      <c r="G151" s="365"/>
      <c r="H151" s="365"/>
      <c r="I151" s="365">
        <v>429</v>
      </c>
      <c r="J151" s="365">
        <v>113</v>
      </c>
      <c r="K151" s="365">
        <v>542</v>
      </c>
      <c r="L151" s="365">
        <v>483</v>
      </c>
      <c r="M151" s="365">
        <v>91</v>
      </c>
      <c r="N151" s="365">
        <v>574</v>
      </c>
      <c r="O151" s="365">
        <v>1238</v>
      </c>
      <c r="P151" s="365">
        <v>780</v>
      </c>
      <c r="Q151" s="365">
        <v>2018</v>
      </c>
      <c r="R151" s="365">
        <v>24</v>
      </c>
      <c r="S151" s="365">
        <v>12</v>
      </c>
      <c r="T151" s="365">
        <v>36</v>
      </c>
      <c r="U151" s="363">
        <v>2174</v>
      </c>
      <c r="V151" s="363">
        <v>996</v>
      </c>
      <c r="W151" s="363">
        <v>3170</v>
      </c>
    </row>
    <row r="152" spans="2:23" hidden="1" outlineLevel="1" x14ac:dyDescent="0.25">
      <c r="B152" s="362">
        <v>42948</v>
      </c>
      <c r="C152" s="365"/>
      <c r="D152" s="365"/>
      <c r="E152" s="365"/>
      <c r="F152" s="365"/>
      <c r="G152" s="365"/>
      <c r="H152" s="365"/>
      <c r="I152" s="365">
        <v>521</v>
      </c>
      <c r="J152" s="365">
        <v>105</v>
      </c>
      <c r="K152" s="365">
        <v>626</v>
      </c>
      <c r="L152" s="365">
        <v>462</v>
      </c>
      <c r="M152" s="365">
        <v>107</v>
      </c>
      <c r="N152" s="365">
        <v>569</v>
      </c>
      <c r="O152" s="365">
        <v>1335</v>
      </c>
      <c r="P152" s="365">
        <v>922</v>
      </c>
      <c r="Q152" s="365">
        <v>2257</v>
      </c>
      <c r="R152" s="365">
        <v>17</v>
      </c>
      <c r="S152" s="365">
        <v>15</v>
      </c>
      <c r="T152" s="365">
        <v>32</v>
      </c>
      <c r="U152" s="363">
        <v>2335</v>
      </c>
      <c r="V152" s="363">
        <v>1149</v>
      </c>
      <c r="W152" s="363">
        <v>3484</v>
      </c>
    </row>
    <row r="153" spans="2:23" hidden="1" outlineLevel="1" x14ac:dyDescent="0.25">
      <c r="B153" s="362">
        <v>42979</v>
      </c>
      <c r="C153" s="365"/>
      <c r="D153" s="365"/>
      <c r="E153" s="365"/>
      <c r="F153" s="365"/>
      <c r="G153" s="365"/>
      <c r="H153" s="365"/>
      <c r="I153" s="365">
        <v>379</v>
      </c>
      <c r="J153" s="365">
        <v>98</v>
      </c>
      <c r="K153" s="365">
        <v>477</v>
      </c>
      <c r="L153" s="365">
        <v>374</v>
      </c>
      <c r="M153" s="365">
        <v>85</v>
      </c>
      <c r="N153" s="365">
        <v>459</v>
      </c>
      <c r="O153" s="365">
        <v>1080</v>
      </c>
      <c r="P153" s="365">
        <v>734</v>
      </c>
      <c r="Q153" s="365">
        <v>1814</v>
      </c>
      <c r="R153" s="365">
        <v>17</v>
      </c>
      <c r="S153" s="365">
        <v>6</v>
      </c>
      <c r="T153" s="365">
        <v>23</v>
      </c>
      <c r="U153" s="363">
        <v>1850</v>
      </c>
      <c r="V153" s="363">
        <v>923</v>
      </c>
      <c r="W153" s="363">
        <v>2773</v>
      </c>
    </row>
    <row r="154" spans="2:23" hidden="1" outlineLevel="1" x14ac:dyDescent="0.25">
      <c r="B154" s="362">
        <v>43009</v>
      </c>
      <c r="C154" s="365"/>
      <c r="D154" s="365"/>
      <c r="E154" s="365"/>
      <c r="F154" s="365"/>
      <c r="G154" s="365"/>
      <c r="H154" s="365"/>
      <c r="I154" s="365">
        <v>479</v>
      </c>
      <c r="J154" s="365">
        <v>103</v>
      </c>
      <c r="K154" s="365">
        <v>582</v>
      </c>
      <c r="L154" s="365">
        <v>487</v>
      </c>
      <c r="M154" s="365">
        <v>111</v>
      </c>
      <c r="N154" s="365">
        <v>598</v>
      </c>
      <c r="O154" s="365">
        <v>1111</v>
      </c>
      <c r="P154" s="365">
        <v>789</v>
      </c>
      <c r="Q154" s="365">
        <v>1900</v>
      </c>
      <c r="R154" s="365">
        <v>25</v>
      </c>
      <c r="S154" s="365">
        <v>12</v>
      </c>
      <c r="T154" s="365">
        <v>37</v>
      </c>
      <c r="U154" s="363">
        <v>2102</v>
      </c>
      <c r="V154" s="363">
        <v>1015</v>
      </c>
      <c r="W154" s="363">
        <v>3117</v>
      </c>
    </row>
    <row r="155" spans="2:23" hidden="1" outlineLevel="1" x14ac:dyDescent="0.25">
      <c r="B155" s="362">
        <v>43040</v>
      </c>
      <c r="C155" s="365"/>
      <c r="D155" s="365"/>
      <c r="E155" s="365"/>
      <c r="F155" s="365"/>
      <c r="G155" s="365"/>
      <c r="H155" s="365"/>
      <c r="I155" s="365">
        <v>427</v>
      </c>
      <c r="J155" s="365">
        <v>87</v>
      </c>
      <c r="K155" s="365">
        <v>514</v>
      </c>
      <c r="L155" s="365">
        <v>464</v>
      </c>
      <c r="M155" s="365">
        <v>92</v>
      </c>
      <c r="N155" s="365">
        <v>556</v>
      </c>
      <c r="O155" s="365">
        <v>1097</v>
      </c>
      <c r="P155" s="365">
        <v>660</v>
      </c>
      <c r="Q155" s="365">
        <v>1757</v>
      </c>
      <c r="R155" s="365">
        <v>22</v>
      </c>
      <c r="S155" s="365">
        <v>6</v>
      </c>
      <c r="T155" s="365">
        <v>28</v>
      </c>
      <c r="U155" s="363">
        <v>2010</v>
      </c>
      <c r="V155" s="363">
        <v>845</v>
      </c>
      <c r="W155" s="363">
        <v>2855</v>
      </c>
    </row>
    <row r="156" spans="2:23" hidden="1" outlineLevel="1" x14ac:dyDescent="0.25">
      <c r="B156" s="362">
        <v>43070</v>
      </c>
      <c r="C156" s="365"/>
      <c r="D156" s="365"/>
      <c r="E156" s="365"/>
      <c r="F156" s="365"/>
      <c r="G156" s="365"/>
      <c r="H156" s="365"/>
      <c r="I156" s="365">
        <v>184</v>
      </c>
      <c r="J156" s="365">
        <v>34</v>
      </c>
      <c r="K156" s="365">
        <v>218</v>
      </c>
      <c r="L156" s="365">
        <v>341</v>
      </c>
      <c r="M156" s="365">
        <v>64</v>
      </c>
      <c r="N156" s="365">
        <v>405</v>
      </c>
      <c r="O156" s="365">
        <v>524</v>
      </c>
      <c r="P156" s="365">
        <v>287</v>
      </c>
      <c r="Q156" s="365">
        <v>811</v>
      </c>
      <c r="R156" s="365">
        <v>14</v>
      </c>
      <c r="S156" s="365">
        <v>9</v>
      </c>
      <c r="T156" s="365">
        <v>23</v>
      </c>
      <c r="U156" s="363">
        <v>1063</v>
      </c>
      <c r="V156" s="363">
        <v>394</v>
      </c>
      <c r="W156" s="363">
        <v>1457</v>
      </c>
    </row>
    <row r="157" spans="2:23" collapsed="1" x14ac:dyDescent="0.25">
      <c r="B157" s="364" t="s">
        <v>708</v>
      </c>
      <c r="C157" s="363" t="s">
        <v>804</v>
      </c>
      <c r="D157" s="363" t="s">
        <v>804</v>
      </c>
      <c r="E157" s="363" t="s">
        <v>804</v>
      </c>
      <c r="F157" s="363" t="s">
        <v>804</v>
      </c>
      <c r="G157" s="363" t="s">
        <v>804</v>
      </c>
      <c r="H157" s="363" t="s">
        <v>804</v>
      </c>
      <c r="I157" s="363">
        <v>389</v>
      </c>
      <c r="J157" s="363">
        <v>89</v>
      </c>
      <c r="K157" s="363">
        <v>479</v>
      </c>
      <c r="L157" s="363">
        <v>442</v>
      </c>
      <c r="M157" s="363">
        <v>90</v>
      </c>
      <c r="N157" s="363">
        <v>531</v>
      </c>
      <c r="O157" s="363">
        <v>1050</v>
      </c>
      <c r="P157" s="363">
        <v>715</v>
      </c>
      <c r="Q157" s="363">
        <v>1765</v>
      </c>
      <c r="R157" s="363">
        <v>19</v>
      </c>
      <c r="S157" s="363">
        <v>11</v>
      </c>
      <c r="T157" s="363">
        <v>30</v>
      </c>
      <c r="U157" s="363">
        <v>1900</v>
      </c>
      <c r="V157" s="363">
        <v>905</v>
      </c>
      <c r="W157" s="363">
        <v>2805</v>
      </c>
    </row>
    <row r="158" spans="2:23" hidden="1" outlineLevel="1" x14ac:dyDescent="0.25">
      <c r="B158" s="362">
        <v>43101</v>
      </c>
      <c r="C158" s="365"/>
      <c r="D158" s="365"/>
      <c r="E158" s="365"/>
      <c r="F158" s="365"/>
      <c r="G158" s="365"/>
      <c r="H158" s="365"/>
      <c r="I158" s="365">
        <v>219</v>
      </c>
      <c r="J158" s="365">
        <v>33</v>
      </c>
      <c r="K158" s="365">
        <v>252</v>
      </c>
      <c r="L158" s="365">
        <v>417</v>
      </c>
      <c r="M158" s="365">
        <v>86</v>
      </c>
      <c r="N158" s="365">
        <v>503</v>
      </c>
      <c r="O158" s="365">
        <v>637</v>
      </c>
      <c r="P158" s="365">
        <v>305</v>
      </c>
      <c r="Q158" s="365">
        <v>942</v>
      </c>
      <c r="R158" s="365">
        <v>22</v>
      </c>
      <c r="S158" s="365">
        <v>16</v>
      </c>
      <c r="T158" s="365">
        <v>38</v>
      </c>
      <c r="U158" s="363">
        <v>1295</v>
      </c>
      <c r="V158" s="363">
        <v>440</v>
      </c>
      <c r="W158" s="363">
        <v>1735</v>
      </c>
    </row>
    <row r="159" spans="2:23" hidden="1" outlineLevel="1" x14ac:dyDescent="0.25">
      <c r="B159" s="362">
        <v>43132</v>
      </c>
      <c r="C159" s="365"/>
      <c r="D159" s="365"/>
      <c r="E159" s="365"/>
      <c r="F159" s="365"/>
      <c r="G159" s="365"/>
      <c r="H159" s="365"/>
      <c r="I159" s="365">
        <v>169</v>
      </c>
      <c r="J159" s="365">
        <v>21</v>
      </c>
      <c r="K159" s="365">
        <v>190</v>
      </c>
      <c r="L159" s="365">
        <v>370</v>
      </c>
      <c r="M159" s="365">
        <v>66</v>
      </c>
      <c r="N159" s="365">
        <v>436</v>
      </c>
      <c r="O159" s="365">
        <v>572</v>
      </c>
      <c r="P159" s="365">
        <v>310</v>
      </c>
      <c r="Q159" s="365">
        <v>882</v>
      </c>
      <c r="R159" s="365">
        <v>16</v>
      </c>
      <c r="S159" s="365">
        <v>4</v>
      </c>
      <c r="T159" s="365">
        <v>20</v>
      </c>
      <c r="U159" s="363">
        <v>1127</v>
      </c>
      <c r="V159" s="363">
        <v>401</v>
      </c>
      <c r="W159" s="363">
        <v>1528</v>
      </c>
    </row>
    <row r="160" spans="2:23" hidden="1" outlineLevel="1" x14ac:dyDescent="0.25">
      <c r="B160" s="362">
        <v>43160</v>
      </c>
      <c r="C160" s="365"/>
      <c r="D160" s="365"/>
      <c r="E160" s="365"/>
      <c r="F160" s="365"/>
      <c r="G160" s="365"/>
      <c r="H160" s="365"/>
      <c r="I160" s="365">
        <v>253</v>
      </c>
      <c r="J160" s="365">
        <v>34</v>
      </c>
      <c r="K160" s="365">
        <v>287</v>
      </c>
      <c r="L160" s="365">
        <v>431</v>
      </c>
      <c r="M160" s="365">
        <v>91</v>
      </c>
      <c r="N160" s="365">
        <v>522</v>
      </c>
      <c r="O160" s="365">
        <v>576</v>
      </c>
      <c r="P160" s="365">
        <v>367</v>
      </c>
      <c r="Q160" s="365">
        <v>943</v>
      </c>
      <c r="R160" s="365">
        <v>21</v>
      </c>
      <c r="S160" s="365">
        <v>9</v>
      </c>
      <c r="T160" s="365">
        <v>30</v>
      </c>
      <c r="U160" s="363">
        <v>1281</v>
      </c>
      <c r="V160" s="363">
        <v>501</v>
      </c>
      <c r="W160" s="363">
        <v>1782</v>
      </c>
    </row>
    <row r="161" spans="2:23" hidden="1" outlineLevel="1" x14ac:dyDescent="0.25">
      <c r="B161" s="362">
        <v>43191</v>
      </c>
      <c r="C161" s="365"/>
      <c r="D161" s="365"/>
      <c r="E161" s="365"/>
      <c r="F161" s="365"/>
      <c r="G161" s="365"/>
      <c r="H161" s="365"/>
      <c r="I161" s="365">
        <v>202</v>
      </c>
      <c r="J161" s="365">
        <v>35</v>
      </c>
      <c r="K161" s="365">
        <v>237</v>
      </c>
      <c r="L161" s="365">
        <v>444</v>
      </c>
      <c r="M161" s="365">
        <v>86</v>
      </c>
      <c r="N161" s="365">
        <v>530</v>
      </c>
      <c r="O161" s="365">
        <v>615</v>
      </c>
      <c r="P161" s="365">
        <v>310</v>
      </c>
      <c r="Q161" s="365">
        <v>925</v>
      </c>
      <c r="R161" s="365">
        <v>24</v>
      </c>
      <c r="S161" s="365">
        <v>15</v>
      </c>
      <c r="T161" s="365">
        <v>39</v>
      </c>
      <c r="U161" s="363">
        <v>1285</v>
      </c>
      <c r="V161" s="363">
        <v>446</v>
      </c>
      <c r="W161" s="363">
        <v>1731</v>
      </c>
    </row>
    <row r="162" spans="2:23" hidden="1" outlineLevel="1" x14ac:dyDescent="0.25">
      <c r="B162" s="362">
        <v>43221</v>
      </c>
      <c r="C162" s="365"/>
      <c r="D162" s="365"/>
      <c r="E162" s="365"/>
      <c r="F162" s="365"/>
      <c r="G162" s="365"/>
      <c r="H162" s="365"/>
      <c r="I162" s="365">
        <v>235</v>
      </c>
      <c r="J162" s="365">
        <v>52</v>
      </c>
      <c r="K162" s="365">
        <v>287</v>
      </c>
      <c r="L162" s="365">
        <v>373</v>
      </c>
      <c r="M162" s="365">
        <v>72</v>
      </c>
      <c r="N162" s="365">
        <v>445</v>
      </c>
      <c r="O162" s="365">
        <v>724</v>
      </c>
      <c r="P162" s="365">
        <v>395</v>
      </c>
      <c r="Q162" s="365">
        <v>1119</v>
      </c>
      <c r="R162" s="365">
        <v>16</v>
      </c>
      <c r="S162" s="365">
        <v>19</v>
      </c>
      <c r="T162" s="365">
        <v>35</v>
      </c>
      <c r="U162" s="363">
        <v>1348</v>
      </c>
      <c r="V162" s="363">
        <v>538</v>
      </c>
      <c r="W162" s="363">
        <v>1886</v>
      </c>
    </row>
    <row r="163" spans="2:23" hidden="1" outlineLevel="1" x14ac:dyDescent="0.25">
      <c r="B163" s="362">
        <v>43252</v>
      </c>
      <c r="C163" s="365"/>
      <c r="D163" s="365"/>
      <c r="E163" s="365"/>
      <c r="F163" s="365"/>
      <c r="G163" s="365"/>
      <c r="H163" s="365"/>
      <c r="I163" s="365">
        <v>213</v>
      </c>
      <c r="J163" s="365">
        <v>39</v>
      </c>
      <c r="K163" s="365">
        <v>252</v>
      </c>
      <c r="L163" s="365">
        <v>421</v>
      </c>
      <c r="M163" s="365">
        <v>80</v>
      </c>
      <c r="N163" s="365">
        <v>501</v>
      </c>
      <c r="O163" s="365">
        <v>624</v>
      </c>
      <c r="P163" s="365">
        <v>312</v>
      </c>
      <c r="Q163" s="365">
        <v>936</v>
      </c>
      <c r="R163" s="365">
        <v>22</v>
      </c>
      <c r="S163" s="365">
        <v>10</v>
      </c>
      <c r="T163" s="365">
        <v>32</v>
      </c>
      <c r="U163" s="363">
        <v>1280</v>
      </c>
      <c r="V163" s="363">
        <v>441</v>
      </c>
      <c r="W163" s="363">
        <v>1721</v>
      </c>
    </row>
    <row r="164" spans="2:23" hidden="1" outlineLevel="1" x14ac:dyDescent="0.25">
      <c r="B164" s="362">
        <v>43282</v>
      </c>
      <c r="C164" s="365"/>
      <c r="D164" s="365"/>
      <c r="E164" s="365"/>
      <c r="F164" s="365"/>
      <c r="G164" s="365"/>
      <c r="H164" s="365"/>
      <c r="I164" s="365">
        <v>237</v>
      </c>
      <c r="J164" s="365">
        <v>42</v>
      </c>
      <c r="K164" s="365">
        <v>279</v>
      </c>
      <c r="L164" s="365">
        <v>380</v>
      </c>
      <c r="M164" s="365">
        <v>90</v>
      </c>
      <c r="N164" s="365">
        <v>470</v>
      </c>
      <c r="O164" s="365">
        <v>653</v>
      </c>
      <c r="P164" s="365">
        <v>327</v>
      </c>
      <c r="Q164" s="365">
        <v>980</v>
      </c>
      <c r="R164" s="365">
        <v>21</v>
      </c>
      <c r="S164" s="365">
        <v>13</v>
      </c>
      <c r="T164" s="365">
        <v>34</v>
      </c>
      <c r="U164" s="363">
        <v>1291</v>
      </c>
      <c r="V164" s="363">
        <v>472</v>
      </c>
      <c r="W164" s="363">
        <v>1763</v>
      </c>
    </row>
    <row r="165" spans="2:23" hidden="1" outlineLevel="1" x14ac:dyDescent="0.25">
      <c r="B165" s="362">
        <v>43313</v>
      </c>
      <c r="C165" s="365"/>
      <c r="D165" s="365"/>
      <c r="E165" s="365"/>
      <c r="F165" s="365"/>
      <c r="G165" s="365"/>
      <c r="H165" s="365"/>
      <c r="I165" s="365">
        <v>297</v>
      </c>
      <c r="J165" s="365">
        <v>47</v>
      </c>
      <c r="K165" s="365">
        <v>344</v>
      </c>
      <c r="L165" s="365">
        <v>507</v>
      </c>
      <c r="M165" s="365">
        <v>112</v>
      </c>
      <c r="N165" s="365">
        <v>619</v>
      </c>
      <c r="O165" s="365">
        <v>683</v>
      </c>
      <c r="P165" s="365">
        <v>359</v>
      </c>
      <c r="Q165" s="365">
        <v>1042</v>
      </c>
      <c r="R165" s="365">
        <v>24</v>
      </c>
      <c r="S165" s="365">
        <v>13</v>
      </c>
      <c r="T165" s="365">
        <v>37</v>
      </c>
      <c r="U165" s="363">
        <v>1511</v>
      </c>
      <c r="V165" s="363">
        <v>531</v>
      </c>
      <c r="W165" s="363">
        <v>2042</v>
      </c>
    </row>
    <row r="166" spans="2:23" hidden="1" outlineLevel="1" x14ac:dyDescent="0.25">
      <c r="B166" s="362">
        <v>43344</v>
      </c>
      <c r="C166" s="365"/>
      <c r="D166" s="365"/>
      <c r="E166" s="365"/>
      <c r="F166" s="365"/>
      <c r="G166" s="365"/>
      <c r="H166" s="365"/>
      <c r="I166" s="365">
        <v>198</v>
      </c>
      <c r="J166" s="365">
        <v>23</v>
      </c>
      <c r="K166" s="365">
        <v>221</v>
      </c>
      <c r="L166" s="365">
        <v>331</v>
      </c>
      <c r="M166" s="365">
        <v>85</v>
      </c>
      <c r="N166" s="365">
        <v>416</v>
      </c>
      <c r="O166" s="365">
        <v>578</v>
      </c>
      <c r="P166" s="365">
        <v>300</v>
      </c>
      <c r="Q166" s="365">
        <v>878</v>
      </c>
      <c r="R166" s="365">
        <v>17</v>
      </c>
      <c r="S166" s="365">
        <v>11</v>
      </c>
      <c r="T166" s="365">
        <v>28</v>
      </c>
      <c r="U166" s="363">
        <v>1124</v>
      </c>
      <c r="V166" s="363">
        <v>419</v>
      </c>
      <c r="W166" s="363">
        <v>1543</v>
      </c>
    </row>
    <row r="167" spans="2:23" hidden="1" outlineLevel="1" x14ac:dyDescent="0.25">
      <c r="B167" s="362">
        <v>43374</v>
      </c>
      <c r="C167" s="365"/>
      <c r="D167" s="365"/>
      <c r="E167" s="365"/>
      <c r="F167" s="365"/>
      <c r="G167" s="365"/>
      <c r="H167" s="365"/>
      <c r="I167" s="365">
        <v>290</v>
      </c>
      <c r="J167" s="365">
        <v>42</v>
      </c>
      <c r="K167" s="365">
        <v>332</v>
      </c>
      <c r="L167" s="365">
        <v>443</v>
      </c>
      <c r="M167" s="365">
        <v>112</v>
      </c>
      <c r="N167" s="365">
        <v>555</v>
      </c>
      <c r="O167" s="365">
        <v>794</v>
      </c>
      <c r="P167" s="365">
        <v>384</v>
      </c>
      <c r="Q167" s="365">
        <v>1178</v>
      </c>
      <c r="R167" s="365">
        <v>29</v>
      </c>
      <c r="S167" s="365">
        <v>16</v>
      </c>
      <c r="T167" s="365">
        <v>45</v>
      </c>
      <c r="U167" s="363">
        <v>1556</v>
      </c>
      <c r="V167" s="363">
        <v>554</v>
      </c>
      <c r="W167" s="363">
        <v>2110</v>
      </c>
    </row>
    <row r="168" spans="2:23" hidden="1" outlineLevel="1" x14ac:dyDescent="0.25">
      <c r="B168" s="362">
        <v>43405</v>
      </c>
      <c r="C168" s="365"/>
      <c r="D168" s="365"/>
      <c r="E168" s="365"/>
      <c r="F168" s="365"/>
      <c r="G168" s="365"/>
      <c r="H168" s="365"/>
      <c r="I168" s="365">
        <v>196</v>
      </c>
      <c r="J168" s="365">
        <v>41</v>
      </c>
      <c r="K168" s="365">
        <v>237</v>
      </c>
      <c r="L168" s="365">
        <v>425</v>
      </c>
      <c r="M168" s="365">
        <v>96</v>
      </c>
      <c r="N168" s="365">
        <v>521</v>
      </c>
      <c r="O168" s="365">
        <v>610</v>
      </c>
      <c r="P168" s="365">
        <v>246</v>
      </c>
      <c r="Q168" s="365">
        <v>856</v>
      </c>
      <c r="R168" s="365">
        <v>17</v>
      </c>
      <c r="S168" s="365">
        <v>16</v>
      </c>
      <c r="T168" s="365">
        <v>33</v>
      </c>
      <c r="U168" s="363">
        <v>1248</v>
      </c>
      <c r="V168" s="363">
        <v>399</v>
      </c>
      <c r="W168" s="363">
        <v>1647</v>
      </c>
    </row>
    <row r="169" spans="2:23" hidden="1" outlineLevel="1" x14ac:dyDescent="0.25">
      <c r="B169" s="362">
        <v>43435</v>
      </c>
      <c r="C169" s="365"/>
      <c r="D169" s="365"/>
      <c r="E169" s="365"/>
      <c r="F169" s="365"/>
      <c r="G169" s="365"/>
      <c r="H169" s="365"/>
      <c r="I169" s="365">
        <v>161</v>
      </c>
      <c r="J169" s="365">
        <v>21</v>
      </c>
      <c r="K169" s="365">
        <v>182</v>
      </c>
      <c r="L169" s="365">
        <v>324</v>
      </c>
      <c r="M169" s="365">
        <v>94</v>
      </c>
      <c r="N169" s="365">
        <v>418</v>
      </c>
      <c r="O169" s="365">
        <v>530</v>
      </c>
      <c r="P169" s="365">
        <v>273</v>
      </c>
      <c r="Q169" s="365">
        <v>803</v>
      </c>
      <c r="R169" s="365">
        <v>21</v>
      </c>
      <c r="S169" s="365">
        <v>10</v>
      </c>
      <c r="T169" s="365">
        <v>31</v>
      </c>
      <c r="U169" s="363">
        <v>1036</v>
      </c>
      <c r="V169" s="363">
        <v>398</v>
      </c>
      <c r="W169" s="363">
        <v>1434</v>
      </c>
    </row>
    <row r="170" spans="2:23" collapsed="1" x14ac:dyDescent="0.25">
      <c r="B170" s="364" t="s">
        <v>709</v>
      </c>
      <c r="C170" s="363" t="s">
        <v>804</v>
      </c>
      <c r="D170" s="363" t="s">
        <v>804</v>
      </c>
      <c r="E170" s="363" t="s">
        <v>804</v>
      </c>
      <c r="F170" s="363" t="s">
        <v>804</v>
      </c>
      <c r="G170" s="363" t="s">
        <v>804</v>
      </c>
      <c r="H170" s="363" t="s">
        <v>804</v>
      </c>
      <c r="I170" s="363">
        <v>223</v>
      </c>
      <c r="J170" s="363">
        <v>36</v>
      </c>
      <c r="K170" s="363">
        <v>258</v>
      </c>
      <c r="L170" s="363">
        <v>406</v>
      </c>
      <c r="M170" s="363">
        <v>89</v>
      </c>
      <c r="N170" s="363">
        <v>495</v>
      </c>
      <c r="O170" s="363">
        <v>633</v>
      </c>
      <c r="P170" s="363">
        <v>324</v>
      </c>
      <c r="Q170" s="363">
        <v>957</v>
      </c>
      <c r="R170" s="363">
        <v>21</v>
      </c>
      <c r="S170" s="363">
        <v>13</v>
      </c>
      <c r="T170" s="363">
        <v>34</v>
      </c>
      <c r="U170" s="363">
        <v>1282</v>
      </c>
      <c r="V170" s="363">
        <v>462</v>
      </c>
      <c r="W170" s="363">
        <v>1744</v>
      </c>
    </row>
    <row r="171" spans="2:23" hidden="1" outlineLevel="1" x14ac:dyDescent="0.25">
      <c r="B171" s="362">
        <v>43466</v>
      </c>
      <c r="C171" s="365"/>
      <c r="D171" s="365"/>
      <c r="E171" s="365"/>
      <c r="F171" s="365"/>
      <c r="G171" s="365"/>
      <c r="H171" s="365"/>
      <c r="I171" s="365">
        <v>225</v>
      </c>
      <c r="J171" s="365">
        <v>31</v>
      </c>
      <c r="K171" s="365">
        <v>256</v>
      </c>
      <c r="L171" s="365">
        <v>401</v>
      </c>
      <c r="M171" s="365">
        <v>95</v>
      </c>
      <c r="N171" s="365">
        <v>496</v>
      </c>
      <c r="O171" s="365">
        <v>656</v>
      </c>
      <c r="P171" s="365">
        <v>264</v>
      </c>
      <c r="Q171" s="365">
        <v>920</v>
      </c>
      <c r="R171" s="365">
        <v>25</v>
      </c>
      <c r="S171" s="365">
        <v>22</v>
      </c>
      <c r="T171" s="365">
        <v>47</v>
      </c>
      <c r="U171" s="363">
        <v>1307</v>
      </c>
      <c r="V171" s="363">
        <v>412</v>
      </c>
      <c r="W171" s="363">
        <v>1719</v>
      </c>
    </row>
    <row r="172" spans="2:23" hidden="1" outlineLevel="1" x14ac:dyDescent="0.25">
      <c r="B172" s="362">
        <v>43497</v>
      </c>
      <c r="C172" s="365"/>
      <c r="D172" s="365"/>
      <c r="E172" s="365"/>
      <c r="F172" s="365"/>
      <c r="G172" s="365"/>
      <c r="H172" s="365"/>
      <c r="I172" s="365">
        <v>190</v>
      </c>
      <c r="J172" s="365">
        <v>29</v>
      </c>
      <c r="K172" s="365">
        <v>219</v>
      </c>
      <c r="L172" s="365">
        <v>347</v>
      </c>
      <c r="M172" s="365">
        <v>86</v>
      </c>
      <c r="N172" s="365">
        <v>433</v>
      </c>
      <c r="O172" s="365">
        <v>543</v>
      </c>
      <c r="P172" s="365">
        <v>252</v>
      </c>
      <c r="Q172" s="365">
        <v>795</v>
      </c>
      <c r="R172" s="365">
        <v>29</v>
      </c>
      <c r="S172" s="365">
        <v>9</v>
      </c>
      <c r="T172" s="365">
        <v>38</v>
      </c>
      <c r="U172" s="363">
        <v>1109</v>
      </c>
      <c r="V172" s="363">
        <v>376</v>
      </c>
      <c r="W172" s="363">
        <v>1485</v>
      </c>
    </row>
    <row r="173" spans="2:23" hidden="1" outlineLevel="1" x14ac:dyDescent="0.25">
      <c r="B173" s="362">
        <v>43525</v>
      </c>
      <c r="C173" s="365"/>
      <c r="D173" s="365"/>
      <c r="E173" s="365"/>
      <c r="F173" s="365"/>
      <c r="G173" s="365"/>
      <c r="H173" s="365"/>
      <c r="I173" s="365">
        <v>235</v>
      </c>
      <c r="J173" s="365">
        <v>28</v>
      </c>
      <c r="K173" s="365">
        <v>263</v>
      </c>
      <c r="L173" s="365">
        <v>428</v>
      </c>
      <c r="M173" s="365">
        <v>72</v>
      </c>
      <c r="N173" s="365">
        <v>500</v>
      </c>
      <c r="O173" s="365">
        <v>662</v>
      </c>
      <c r="P173" s="365">
        <v>268</v>
      </c>
      <c r="Q173" s="365">
        <v>930</v>
      </c>
      <c r="R173" s="365">
        <v>26</v>
      </c>
      <c r="S173" s="365">
        <v>13</v>
      </c>
      <c r="T173" s="365">
        <v>39</v>
      </c>
      <c r="U173" s="363">
        <v>1351</v>
      </c>
      <c r="V173" s="363">
        <v>381</v>
      </c>
      <c r="W173" s="363">
        <v>1732</v>
      </c>
    </row>
    <row r="174" spans="2:23" hidden="1" outlineLevel="1" x14ac:dyDescent="0.25">
      <c r="B174" s="362">
        <v>43556</v>
      </c>
      <c r="C174" s="365"/>
      <c r="D174" s="365"/>
      <c r="E174" s="365"/>
      <c r="F174" s="365"/>
      <c r="G174" s="365"/>
      <c r="H174" s="365"/>
      <c r="I174" s="365">
        <v>206</v>
      </c>
      <c r="J174" s="365">
        <v>29</v>
      </c>
      <c r="K174" s="365">
        <v>235</v>
      </c>
      <c r="L174" s="365">
        <v>453</v>
      </c>
      <c r="M174" s="365">
        <v>98</v>
      </c>
      <c r="N174" s="365">
        <v>551</v>
      </c>
      <c r="O174" s="365">
        <v>611</v>
      </c>
      <c r="P174" s="365">
        <v>263</v>
      </c>
      <c r="Q174" s="365">
        <v>874</v>
      </c>
      <c r="R174" s="365">
        <v>25</v>
      </c>
      <c r="S174" s="365">
        <v>20</v>
      </c>
      <c r="T174" s="365">
        <v>45</v>
      </c>
      <c r="U174" s="363">
        <v>1295</v>
      </c>
      <c r="V174" s="363">
        <v>410</v>
      </c>
      <c r="W174" s="363">
        <v>1705</v>
      </c>
    </row>
    <row r="175" spans="2:23" hidden="1" outlineLevel="1" x14ac:dyDescent="0.25">
      <c r="B175" s="362">
        <v>43586</v>
      </c>
      <c r="C175" s="365"/>
      <c r="D175" s="365"/>
      <c r="E175" s="365"/>
      <c r="F175" s="365"/>
      <c r="G175" s="365"/>
      <c r="H175" s="365"/>
      <c r="I175" s="365">
        <v>200</v>
      </c>
      <c r="J175" s="365">
        <v>23</v>
      </c>
      <c r="K175" s="365">
        <v>223</v>
      </c>
      <c r="L175" s="365">
        <v>411</v>
      </c>
      <c r="M175" s="365">
        <v>86</v>
      </c>
      <c r="N175" s="365">
        <v>497</v>
      </c>
      <c r="O175" s="365">
        <v>602</v>
      </c>
      <c r="P175" s="365">
        <v>310</v>
      </c>
      <c r="Q175" s="365">
        <v>912</v>
      </c>
      <c r="R175" s="365">
        <v>16</v>
      </c>
      <c r="S175" s="365">
        <v>16</v>
      </c>
      <c r="T175" s="365">
        <v>32</v>
      </c>
      <c r="U175" s="363">
        <v>1229</v>
      </c>
      <c r="V175" s="363">
        <v>435</v>
      </c>
      <c r="W175" s="363">
        <v>1664</v>
      </c>
    </row>
    <row r="176" spans="2:23" hidden="1" outlineLevel="1" x14ac:dyDescent="0.25">
      <c r="B176" s="362">
        <v>43617</v>
      </c>
      <c r="C176" s="365"/>
      <c r="D176" s="365"/>
      <c r="E176" s="365"/>
      <c r="F176" s="365"/>
      <c r="G176" s="365"/>
      <c r="H176" s="365"/>
      <c r="I176" s="365">
        <v>205</v>
      </c>
      <c r="J176" s="365">
        <v>28</v>
      </c>
      <c r="K176" s="365">
        <v>233</v>
      </c>
      <c r="L176" s="365">
        <v>361</v>
      </c>
      <c r="M176" s="365">
        <v>75</v>
      </c>
      <c r="N176" s="365">
        <v>436</v>
      </c>
      <c r="O176" s="365">
        <v>524</v>
      </c>
      <c r="P176" s="365">
        <v>233</v>
      </c>
      <c r="Q176" s="365">
        <v>757</v>
      </c>
      <c r="R176" s="365">
        <v>22</v>
      </c>
      <c r="S176" s="365">
        <v>14</v>
      </c>
      <c r="T176" s="365">
        <v>36</v>
      </c>
      <c r="U176" s="363">
        <v>1112</v>
      </c>
      <c r="V176" s="363">
        <v>350</v>
      </c>
      <c r="W176" s="363">
        <v>1462</v>
      </c>
    </row>
    <row r="177" spans="2:23" hidden="1" outlineLevel="1" x14ac:dyDescent="0.25">
      <c r="B177" s="362">
        <v>43647</v>
      </c>
      <c r="C177" s="365"/>
      <c r="D177" s="365"/>
      <c r="E177" s="365"/>
      <c r="F177" s="365"/>
      <c r="G177" s="365"/>
      <c r="H177" s="365"/>
      <c r="I177" s="365">
        <v>214</v>
      </c>
      <c r="J177" s="365">
        <v>29</v>
      </c>
      <c r="K177" s="365">
        <v>243</v>
      </c>
      <c r="L177" s="365">
        <v>417</v>
      </c>
      <c r="M177" s="365">
        <v>117</v>
      </c>
      <c r="N177" s="365">
        <v>534</v>
      </c>
      <c r="O177" s="365">
        <v>612</v>
      </c>
      <c r="P177" s="365">
        <v>277</v>
      </c>
      <c r="Q177" s="365">
        <v>889</v>
      </c>
      <c r="R177" s="365">
        <v>16</v>
      </c>
      <c r="S177" s="365">
        <v>6</v>
      </c>
      <c r="T177" s="365">
        <v>22</v>
      </c>
      <c r="U177" s="363">
        <v>1259</v>
      </c>
      <c r="V177" s="363">
        <v>429</v>
      </c>
      <c r="W177" s="363">
        <v>1688</v>
      </c>
    </row>
    <row r="178" spans="2:23" hidden="1" outlineLevel="1" x14ac:dyDescent="0.25">
      <c r="B178" s="362">
        <v>43678</v>
      </c>
      <c r="C178" s="365"/>
      <c r="D178" s="365"/>
      <c r="E178" s="365"/>
      <c r="F178" s="365"/>
      <c r="G178" s="365"/>
      <c r="H178" s="365"/>
      <c r="I178" s="365">
        <v>224</v>
      </c>
      <c r="J178" s="365">
        <v>33</v>
      </c>
      <c r="K178" s="365">
        <v>257</v>
      </c>
      <c r="L178" s="365">
        <v>420</v>
      </c>
      <c r="M178" s="365">
        <v>104</v>
      </c>
      <c r="N178" s="365">
        <v>524</v>
      </c>
      <c r="O178" s="365">
        <v>686</v>
      </c>
      <c r="P178" s="365">
        <v>307</v>
      </c>
      <c r="Q178" s="365">
        <v>993</v>
      </c>
      <c r="R178" s="365">
        <v>20</v>
      </c>
      <c r="S178" s="365">
        <v>15</v>
      </c>
      <c r="T178" s="365">
        <v>35</v>
      </c>
      <c r="U178" s="363">
        <v>1350</v>
      </c>
      <c r="V178" s="363">
        <v>459</v>
      </c>
      <c r="W178" s="363">
        <v>1809</v>
      </c>
    </row>
    <row r="179" spans="2:23" hidden="1" outlineLevel="1" x14ac:dyDescent="0.25">
      <c r="B179" s="362">
        <v>43709</v>
      </c>
      <c r="C179" s="365"/>
      <c r="D179" s="365"/>
      <c r="E179" s="365"/>
      <c r="F179" s="365"/>
      <c r="G179" s="365"/>
      <c r="H179" s="365"/>
      <c r="I179" s="365">
        <v>185</v>
      </c>
      <c r="J179" s="365">
        <v>25</v>
      </c>
      <c r="K179" s="365">
        <v>210</v>
      </c>
      <c r="L179" s="365">
        <v>347</v>
      </c>
      <c r="M179" s="365">
        <v>85</v>
      </c>
      <c r="N179" s="365">
        <v>432</v>
      </c>
      <c r="O179" s="365">
        <v>563</v>
      </c>
      <c r="P179" s="365">
        <v>278</v>
      </c>
      <c r="Q179" s="365">
        <v>841</v>
      </c>
      <c r="R179" s="365">
        <v>20</v>
      </c>
      <c r="S179" s="365">
        <v>13</v>
      </c>
      <c r="T179" s="365">
        <v>33</v>
      </c>
      <c r="U179" s="363">
        <v>1115</v>
      </c>
      <c r="V179" s="363">
        <v>401</v>
      </c>
      <c r="W179" s="363">
        <v>1516</v>
      </c>
    </row>
    <row r="180" spans="2:23" hidden="1" outlineLevel="1" x14ac:dyDescent="0.25">
      <c r="B180" s="362">
        <v>43739</v>
      </c>
      <c r="C180" s="365"/>
      <c r="D180" s="365"/>
      <c r="E180" s="365"/>
      <c r="F180" s="365"/>
      <c r="G180" s="365"/>
      <c r="H180" s="365"/>
      <c r="I180" s="365">
        <v>182</v>
      </c>
      <c r="J180" s="365">
        <v>29</v>
      </c>
      <c r="K180" s="365">
        <v>211</v>
      </c>
      <c r="L180" s="365">
        <v>361</v>
      </c>
      <c r="M180" s="365">
        <v>76</v>
      </c>
      <c r="N180" s="365">
        <v>437</v>
      </c>
      <c r="O180" s="365">
        <v>515</v>
      </c>
      <c r="P180" s="365">
        <v>227</v>
      </c>
      <c r="Q180" s="365">
        <v>742</v>
      </c>
      <c r="R180" s="365">
        <v>15</v>
      </c>
      <c r="S180" s="365">
        <v>9</v>
      </c>
      <c r="T180" s="365">
        <v>24</v>
      </c>
      <c r="U180" s="363">
        <v>1073</v>
      </c>
      <c r="V180" s="363">
        <v>341</v>
      </c>
      <c r="W180" s="363">
        <v>1414</v>
      </c>
    </row>
    <row r="181" spans="2:23" hidden="1" outlineLevel="1" x14ac:dyDescent="0.25">
      <c r="B181" s="362">
        <v>43770</v>
      </c>
      <c r="C181" s="365"/>
      <c r="D181" s="365"/>
      <c r="E181" s="365"/>
      <c r="F181" s="365"/>
      <c r="G181" s="365"/>
      <c r="H181" s="365"/>
      <c r="I181" s="365">
        <v>145</v>
      </c>
      <c r="J181" s="365">
        <v>16</v>
      </c>
      <c r="K181" s="365">
        <v>161</v>
      </c>
      <c r="L181" s="365">
        <v>247</v>
      </c>
      <c r="M181" s="365">
        <v>61</v>
      </c>
      <c r="N181" s="365">
        <v>308</v>
      </c>
      <c r="O181" s="365">
        <v>415</v>
      </c>
      <c r="P181" s="365">
        <v>229</v>
      </c>
      <c r="Q181" s="365">
        <v>644</v>
      </c>
      <c r="R181" s="365">
        <v>16</v>
      </c>
      <c r="S181" s="365">
        <v>11</v>
      </c>
      <c r="T181" s="365">
        <v>27</v>
      </c>
      <c r="U181" s="363">
        <v>823</v>
      </c>
      <c r="V181" s="363">
        <v>317</v>
      </c>
      <c r="W181" s="363">
        <v>1140</v>
      </c>
    </row>
    <row r="182" spans="2:23" hidden="1" outlineLevel="1" x14ac:dyDescent="0.25">
      <c r="B182" s="362">
        <v>43800</v>
      </c>
      <c r="C182" s="365"/>
      <c r="D182" s="365"/>
      <c r="E182" s="365"/>
      <c r="F182" s="365"/>
      <c r="G182" s="365"/>
      <c r="H182" s="365"/>
      <c r="I182" s="365">
        <v>286</v>
      </c>
      <c r="J182" s="365">
        <v>42</v>
      </c>
      <c r="K182" s="365">
        <v>328</v>
      </c>
      <c r="L182" s="365">
        <v>482</v>
      </c>
      <c r="M182" s="365">
        <v>109</v>
      </c>
      <c r="N182" s="365">
        <v>591</v>
      </c>
      <c r="O182" s="365">
        <v>924</v>
      </c>
      <c r="P182" s="365">
        <v>485</v>
      </c>
      <c r="Q182" s="365">
        <v>1409</v>
      </c>
      <c r="R182" s="365">
        <v>34</v>
      </c>
      <c r="S182" s="365">
        <v>29</v>
      </c>
      <c r="T182" s="365">
        <v>63</v>
      </c>
      <c r="U182" s="363">
        <v>1726</v>
      </c>
      <c r="V182" s="363">
        <v>665</v>
      </c>
      <c r="W182" s="363">
        <v>2391</v>
      </c>
    </row>
    <row r="183" spans="2:23" collapsed="1" x14ac:dyDescent="0.25">
      <c r="B183" s="364" t="s">
        <v>710</v>
      </c>
      <c r="C183" s="363" t="s">
        <v>804</v>
      </c>
      <c r="D183" s="363" t="s">
        <v>804</v>
      </c>
      <c r="E183" s="363" t="s">
        <v>804</v>
      </c>
      <c r="F183" s="363" t="s">
        <v>804</v>
      </c>
      <c r="G183" s="363" t="s">
        <v>804</v>
      </c>
      <c r="H183" s="363" t="s">
        <v>804</v>
      </c>
      <c r="I183" s="363">
        <v>208</v>
      </c>
      <c r="J183" s="363">
        <v>29</v>
      </c>
      <c r="K183" s="363">
        <v>237</v>
      </c>
      <c r="L183" s="363">
        <v>390</v>
      </c>
      <c r="M183" s="363">
        <v>89</v>
      </c>
      <c r="N183" s="363">
        <v>478</v>
      </c>
      <c r="O183" s="363">
        <v>609</v>
      </c>
      <c r="P183" s="363">
        <v>283</v>
      </c>
      <c r="Q183" s="363">
        <v>892</v>
      </c>
      <c r="R183" s="363">
        <v>22</v>
      </c>
      <c r="S183" s="363">
        <v>15</v>
      </c>
      <c r="T183" s="363">
        <v>37</v>
      </c>
      <c r="U183" s="363">
        <v>1229</v>
      </c>
      <c r="V183" s="363">
        <v>415</v>
      </c>
      <c r="W183" s="363">
        <v>1644</v>
      </c>
    </row>
    <row r="184" spans="2:23" hidden="1" outlineLevel="1" x14ac:dyDescent="0.25">
      <c r="B184" s="362">
        <v>43831</v>
      </c>
      <c r="C184" s="365"/>
      <c r="D184" s="365"/>
      <c r="E184" s="365"/>
      <c r="F184" s="365"/>
      <c r="G184" s="365"/>
      <c r="H184" s="365"/>
      <c r="I184" s="365">
        <v>265</v>
      </c>
      <c r="J184" s="365">
        <v>52</v>
      </c>
      <c r="K184" s="365">
        <v>317</v>
      </c>
      <c r="L184" s="365">
        <v>522</v>
      </c>
      <c r="M184" s="365">
        <v>115</v>
      </c>
      <c r="N184" s="365">
        <v>637</v>
      </c>
      <c r="O184" s="365">
        <v>1339</v>
      </c>
      <c r="P184" s="365">
        <v>593</v>
      </c>
      <c r="Q184" s="365">
        <v>1932</v>
      </c>
      <c r="R184" s="365">
        <v>37</v>
      </c>
      <c r="S184" s="365">
        <v>39</v>
      </c>
      <c r="T184" s="365">
        <v>76</v>
      </c>
      <c r="U184" s="363">
        <v>2163</v>
      </c>
      <c r="V184" s="363">
        <v>799</v>
      </c>
      <c r="W184" s="363">
        <v>2962</v>
      </c>
    </row>
    <row r="185" spans="2:23" hidden="1" outlineLevel="1" x14ac:dyDescent="0.25">
      <c r="B185" s="362">
        <v>43862</v>
      </c>
      <c r="C185" s="365"/>
      <c r="D185" s="365"/>
      <c r="E185" s="365"/>
      <c r="F185" s="365"/>
      <c r="G185" s="365"/>
      <c r="H185" s="365"/>
      <c r="I185" s="365">
        <v>276</v>
      </c>
      <c r="J185" s="365">
        <v>33</v>
      </c>
      <c r="K185" s="365">
        <v>309</v>
      </c>
      <c r="L185" s="365">
        <v>438</v>
      </c>
      <c r="M185" s="365">
        <v>105</v>
      </c>
      <c r="N185" s="365">
        <v>543</v>
      </c>
      <c r="O185" s="365">
        <v>1948</v>
      </c>
      <c r="P185" s="365">
        <v>823</v>
      </c>
      <c r="Q185" s="365">
        <v>2771</v>
      </c>
      <c r="R185" s="365">
        <v>36</v>
      </c>
      <c r="S185" s="365">
        <v>19</v>
      </c>
      <c r="T185" s="365">
        <v>55</v>
      </c>
      <c r="U185" s="363">
        <v>2698</v>
      </c>
      <c r="V185" s="363">
        <v>980</v>
      </c>
      <c r="W185" s="363">
        <v>3678</v>
      </c>
    </row>
    <row r="186" spans="2:23" hidden="1" outlineLevel="1" x14ac:dyDescent="0.25">
      <c r="B186" s="362">
        <v>43891</v>
      </c>
      <c r="C186" s="365"/>
      <c r="D186" s="365"/>
      <c r="E186" s="365"/>
      <c r="F186" s="365"/>
      <c r="G186" s="365"/>
      <c r="H186" s="365"/>
      <c r="I186" s="365">
        <v>153</v>
      </c>
      <c r="J186" s="365">
        <v>36</v>
      </c>
      <c r="K186" s="365">
        <v>189</v>
      </c>
      <c r="L186" s="365">
        <v>295</v>
      </c>
      <c r="M186" s="365">
        <v>78</v>
      </c>
      <c r="N186" s="365">
        <v>373</v>
      </c>
      <c r="O186" s="365">
        <v>779</v>
      </c>
      <c r="P186" s="365">
        <v>510</v>
      </c>
      <c r="Q186" s="365">
        <v>1289</v>
      </c>
      <c r="R186" s="365">
        <v>26</v>
      </c>
      <c r="S186" s="365">
        <v>20</v>
      </c>
      <c r="T186" s="365">
        <v>46</v>
      </c>
      <c r="U186" s="363">
        <v>1253</v>
      </c>
      <c r="V186" s="363">
        <v>644</v>
      </c>
      <c r="W186" s="363">
        <v>1897</v>
      </c>
    </row>
    <row r="187" spans="2:23" hidden="1" outlineLevel="1" x14ac:dyDescent="0.25">
      <c r="B187" s="362">
        <v>43922</v>
      </c>
      <c r="C187" s="365"/>
      <c r="D187" s="365"/>
      <c r="E187" s="365"/>
      <c r="F187" s="365"/>
      <c r="G187" s="365"/>
      <c r="H187" s="365"/>
      <c r="I187" s="365">
        <v>63</v>
      </c>
      <c r="J187" s="365">
        <v>15</v>
      </c>
      <c r="K187" s="365">
        <v>78</v>
      </c>
      <c r="L187" s="365">
        <v>82</v>
      </c>
      <c r="M187" s="365">
        <v>10</v>
      </c>
      <c r="N187" s="365">
        <v>92</v>
      </c>
      <c r="O187" s="365">
        <v>294</v>
      </c>
      <c r="P187" s="365">
        <v>200</v>
      </c>
      <c r="Q187" s="365">
        <v>494</v>
      </c>
      <c r="R187" s="365">
        <v>9</v>
      </c>
      <c r="S187" s="365">
        <v>6</v>
      </c>
      <c r="T187" s="365">
        <v>15</v>
      </c>
      <c r="U187" s="363">
        <v>448</v>
      </c>
      <c r="V187" s="363">
        <v>231</v>
      </c>
      <c r="W187" s="363">
        <v>679</v>
      </c>
    </row>
    <row r="188" spans="2:23" hidden="1" outlineLevel="1" x14ac:dyDescent="0.25">
      <c r="B188" s="362">
        <v>43952</v>
      </c>
      <c r="C188" s="365"/>
      <c r="D188" s="365"/>
      <c r="E188" s="365"/>
      <c r="F188" s="365"/>
      <c r="G188" s="365"/>
      <c r="H188" s="365"/>
      <c r="I188" s="365">
        <v>137</v>
      </c>
      <c r="J188" s="365">
        <v>35</v>
      </c>
      <c r="K188" s="365">
        <v>172</v>
      </c>
      <c r="L188" s="365">
        <v>190</v>
      </c>
      <c r="M188" s="365">
        <v>51</v>
      </c>
      <c r="N188" s="365">
        <v>241</v>
      </c>
      <c r="O188" s="365">
        <v>434</v>
      </c>
      <c r="P188" s="365">
        <v>363</v>
      </c>
      <c r="Q188" s="365">
        <v>797</v>
      </c>
      <c r="R188" s="365">
        <v>20</v>
      </c>
      <c r="S188" s="365">
        <v>7</v>
      </c>
      <c r="T188" s="365">
        <v>27</v>
      </c>
      <c r="U188" s="363">
        <v>781</v>
      </c>
      <c r="V188" s="363">
        <v>456</v>
      </c>
      <c r="W188" s="363">
        <v>1237</v>
      </c>
    </row>
    <row r="189" spans="2:23" hidden="1" outlineLevel="1" x14ac:dyDescent="0.25">
      <c r="B189" s="362">
        <v>43983</v>
      </c>
      <c r="C189" s="365"/>
      <c r="D189" s="365"/>
      <c r="E189" s="365"/>
      <c r="F189" s="365"/>
      <c r="G189" s="365"/>
      <c r="H189" s="365"/>
      <c r="I189" s="365">
        <v>125</v>
      </c>
      <c r="J189" s="365">
        <v>28</v>
      </c>
      <c r="K189" s="365">
        <v>153</v>
      </c>
      <c r="L189" s="365">
        <v>172</v>
      </c>
      <c r="M189" s="365">
        <v>44</v>
      </c>
      <c r="N189" s="365">
        <v>216</v>
      </c>
      <c r="O189" s="365">
        <v>526</v>
      </c>
      <c r="P189" s="365">
        <v>332</v>
      </c>
      <c r="Q189" s="365">
        <v>858</v>
      </c>
      <c r="R189" s="365">
        <v>13</v>
      </c>
      <c r="S189" s="365">
        <v>15</v>
      </c>
      <c r="T189" s="365">
        <v>28</v>
      </c>
      <c r="U189" s="363">
        <v>836</v>
      </c>
      <c r="V189" s="363">
        <v>419</v>
      </c>
      <c r="W189" s="363">
        <v>1255</v>
      </c>
    </row>
    <row r="190" spans="2:23" hidden="1" outlineLevel="1" x14ac:dyDescent="0.25">
      <c r="B190" s="362">
        <v>44013</v>
      </c>
      <c r="C190" s="365"/>
      <c r="D190" s="365"/>
      <c r="E190" s="365"/>
      <c r="F190" s="365"/>
      <c r="G190" s="365"/>
      <c r="H190" s="365"/>
      <c r="I190" s="365">
        <v>205</v>
      </c>
      <c r="J190" s="365">
        <v>53</v>
      </c>
      <c r="K190" s="365">
        <v>258</v>
      </c>
      <c r="L190" s="365">
        <v>234</v>
      </c>
      <c r="M190" s="365">
        <v>50</v>
      </c>
      <c r="N190" s="365">
        <v>284</v>
      </c>
      <c r="O190" s="365">
        <v>705</v>
      </c>
      <c r="P190" s="365">
        <v>399</v>
      </c>
      <c r="Q190" s="365">
        <v>1104</v>
      </c>
      <c r="R190" s="365">
        <v>20</v>
      </c>
      <c r="S190" s="365">
        <v>12</v>
      </c>
      <c r="T190" s="365">
        <v>32</v>
      </c>
      <c r="U190" s="363">
        <v>1164</v>
      </c>
      <c r="V190" s="363">
        <v>514</v>
      </c>
      <c r="W190" s="363">
        <v>1678</v>
      </c>
    </row>
    <row r="191" spans="2:23" hidden="1" outlineLevel="1" x14ac:dyDescent="0.25">
      <c r="B191" s="362">
        <v>44044</v>
      </c>
      <c r="C191" s="365"/>
      <c r="D191" s="365"/>
      <c r="E191" s="365"/>
      <c r="F191" s="365"/>
      <c r="G191" s="365"/>
      <c r="H191" s="365"/>
      <c r="I191" s="365">
        <v>295</v>
      </c>
      <c r="J191" s="365">
        <v>38</v>
      </c>
      <c r="K191" s="365">
        <v>333</v>
      </c>
      <c r="L191" s="365">
        <v>306</v>
      </c>
      <c r="M191" s="365">
        <v>81</v>
      </c>
      <c r="N191" s="365">
        <v>387</v>
      </c>
      <c r="O191" s="365">
        <v>1115</v>
      </c>
      <c r="P191" s="365">
        <v>590</v>
      </c>
      <c r="Q191" s="365">
        <v>1705</v>
      </c>
      <c r="R191" s="365">
        <v>23</v>
      </c>
      <c r="S191" s="365">
        <v>11</v>
      </c>
      <c r="T191" s="365">
        <v>34</v>
      </c>
      <c r="U191" s="363">
        <v>1739</v>
      </c>
      <c r="V191" s="363">
        <v>720</v>
      </c>
      <c r="W191" s="363">
        <v>2459</v>
      </c>
    </row>
    <row r="192" spans="2:23" hidden="1" outlineLevel="1" x14ac:dyDescent="0.25">
      <c r="B192" s="362">
        <v>44075</v>
      </c>
      <c r="C192" s="365"/>
      <c r="D192" s="365"/>
      <c r="E192" s="365"/>
      <c r="F192" s="365"/>
      <c r="G192" s="365"/>
      <c r="H192" s="365"/>
      <c r="I192" s="365">
        <v>283</v>
      </c>
      <c r="J192" s="365">
        <v>50</v>
      </c>
      <c r="K192" s="365">
        <v>333</v>
      </c>
      <c r="L192" s="365">
        <v>394</v>
      </c>
      <c r="M192" s="365">
        <v>104</v>
      </c>
      <c r="N192" s="365">
        <v>498</v>
      </c>
      <c r="O192" s="365">
        <v>1020</v>
      </c>
      <c r="P192" s="365">
        <v>522</v>
      </c>
      <c r="Q192" s="365">
        <v>1542</v>
      </c>
      <c r="R192" s="365">
        <v>27</v>
      </c>
      <c r="S192" s="365">
        <v>34</v>
      </c>
      <c r="T192" s="365">
        <v>61</v>
      </c>
      <c r="U192" s="363">
        <v>1724</v>
      </c>
      <c r="V192" s="363">
        <v>710</v>
      </c>
      <c r="W192" s="363">
        <v>2434</v>
      </c>
    </row>
    <row r="193" spans="2:23" hidden="1" outlineLevel="1" x14ac:dyDescent="0.25">
      <c r="B193" s="362">
        <v>44105</v>
      </c>
      <c r="C193" s="365"/>
      <c r="D193" s="365"/>
      <c r="E193" s="365"/>
      <c r="F193" s="365"/>
      <c r="G193" s="365"/>
      <c r="H193" s="365"/>
      <c r="I193" s="365">
        <v>312</v>
      </c>
      <c r="J193" s="365">
        <v>56</v>
      </c>
      <c r="K193" s="365">
        <v>368</v>
      </c>
      <c r="L193" s="365">
        <v>550</v>
      </c>
      <c r="M193" s="365">
        <v>102</v>
      </c>
      <c r="N193" s="365">
        <v>652</v>
      </c>
      <c r="O193" s="365">
        <v>985</v>
      </c>
      <c r="P193" s="365">
        <v>461</v>
      </c>
      <c r="Q193" s="365">
        <v>1446</v>
      </c>
      <c r="R193" s="365">
        <v>43</v>
      </c>
      <c r="S193" s="365">
        <v>29</v>
      </c>
      <c r="T193" s="365">
        <v>72</v>
      </c>
      <c r="U193" s="363">
        <v>1890</v>
      </c>
      <c r="V193" s="363">
        <v>648</v>
      </c>
      <c r="W193" s="363">
        <v>2538</v>
      </c>
    </row>
    <row r="194" spans="2:23" hidden="1" outlineLevel="1" x14ac:dyDescent="0.25">
      <c r="B194" s="362">
        <v>44136</v>
      </c>
      <c r="C194" s="365"/>
      <c r="D194" s="365"/>
      <c r="E194" s="365"/>
      <c r="F194" s="365"/>
      <c r="G194" s="365"/>
      <c r="H194" s="365"/>
      <c r="I194" s="365">
        <v>279</v>
      </c>
      <c r="J194" s="365">
        <v>37</v>
      </c>
      <c r="K194" s="365">
        <v>316</v>
      </c>
      <c r="L194" s="365">
        <v>517</v>
      </c>
      <c r="M194" s="365">
        <v>111</v>
      </c>
      <c r="N194" s="365">
        <v>628</v>
      </c>
      <c r="O194" s="365">
        <v>960</v>
      </c>
      <c r="P194" s="365">
        <v>435</v>
      </c>
      <c r="Q194" s="365">
        <v>1395</v>
      </c>
      <c r="R194" s="365">
        <v>47</v>
      </c>
      <c r="S194" s="365">
        <v>28</v>
      </c>
      <c r="T194" s="365">
        <v>75</v>
      </c>
      <c r="U194" s="363">
        <v>1803</v>
      </c>
      <c r="V194" s="363">
        <v>611</v>
      </c>
      <c r="W194" s="363">
        <v>2414</v>
      </c>
    </row>
    <row r="195" spans="2:23" hidden="1" outlineLevel="1" x14ac:dyDescent="0.25">
      <c r="B195" s="362">
        <v>44166</v>
      </c>
      <c r="C195" s="365"/>
      <c r="D195" s="365"/>
      <c r="E195" s="365"/>
      <c r="F195" s="365"/>
      <c r="G195" s="365"/>
      <c r="H195" s="365"/>
      <c r="I195" s="365">
        <v>269</v>
      </c>
      <c r="J195" s="365">
        <v>49</v>
      </c>
      <c r="K195" s="365">
        <v>318</v>
      </c>
      <c r="L195" s="365">
        <v>488</v>
      </c>
      <c r="M195" s="365">
        <v>98</v>
      </c>
      <c r="N195" s="365">
        <v>586</v>
      </c>
      <c r="O195" s="365">
        <v>935</v>
      </c>
      <c r="P195" s="365">
        <v>482</v>
      </c>
      <c r="Q195" s="365">
        <v>1417</v>
      </c>
      <c r="R195" s="365">
        <v>30</v>
      </c>
      <c r="S195" s="365">
        <v>24</v>
      </c>
      <c r="T195" s="365">
        <v>54</v>
      </c>
      <c r="U195" s="363">
        <v>1722</v>
      </c>
      <c r="V195" s="363">
        <v>653</v>
      </c>
      <c r="W195" s="363">
        <v>2375</v>
      </c>
    </row>
    <row r="196" spans="2:23" collapsed="1" x14ac:dyDescent="0.25">
      <c r="B196" s="364" t="s">
        <v>711</v>
      </c>
      <c r="C196" s="363" t="s">
        <v>804</v>
      </c>
      <c r="D196" s="363" t="s">
        <v>804</v>
      </c>
      <c r="E196" s="363" t="s">
        <v>804</v>
      </c>
      <c r="F196" s="363" t="s">
        <v>804</v>
      </c>
      <c r="G196" s="363" t="s">
        <v>804</v>
      </c>
      <c r="H196" s="363" t="s">
        <v>804</v>
      </c>
      <c r="I196" s="363">
        <v>222</v>
      </c>
      <c r="J196" s="363">
        <v>40</v>
      </c>
      <c r="K196" s="363">
        <v>262</v>
      </c>
      <c r="L196" s="363">
        <v>349</v>
      </c>
      <c r="M196" s="363">
        <v>79</v>
      </c>
      <c r="N196" s="363">
        <v>428</v>
      </c>
      <c r="O196" s="363">
        <v>920</v>
      </c>
      <c r="P196" s="363">
        <v>476</v>
      </c>
      <c r="Q196" s="363">
        <v>1396</v>
      </c>
      <c r="R196" s="363">
        <v>28</v>
      </c>
      <c r="S196" s="363">
        <v>20</v>
      </c>
      <c r="T196" s="363">
        <v>48</v>
      </c>
      <c r="U196" s="363">
        <v>1518</v>
      </c>
      <c r="V196" s="363">
        <v>615</v>
      </c>
      <c r="W196" s="363">
        <v>2134</v>
      </c>
    </row>
    <row r="197" spans="2:23" hidden="1" outlineLevel="1" x14ac:dyDescent="0.25">
      <c r="B197" s="362">
        <v>44197</v>
      </c>
      <c r="C197" s="365"/>
      <c r="D197" s="365"/>
      <c r="E197" s="365"/>
      <c r="F197" s="365"/>
      <c r="G197" s="365"/>
      <c r="H197" s="365"/>
      <c r="I197" s="365">
        <v>301</v>
      </c>
      <c r="J197" s="365">
        <v>40</v>
      </c>
      <c r="K197" s="365">
        <v>341</v>
      </c>
      <c r="L197" s="365">
        <v>482</v>
      </c>
      <c r="M197" s="365">
        <v>113</v>
      </c>
      <c r="N197" s="365">
        <v>595</v>
      </c>
      <c r="O197" s="365">
        <v>913</v>
      </c>
      <c r="P197" s="365">
        <v>410</v>
      </c>
      <c r="Q197" s="365">
        <v>1323</v>
      </c>
      <c r="R197" s="365">
        <v>54</v>
      </c>
      <c r="S197" s="365">
        <v>24</v>
      </c>
      <c r="T197" s="365">
        <v>78</v>
      </c>
      <c r="U197" s="363">
        <v>1750</v>
      </c>
      <c r="V197" s="363">
        <v>587</v>
      </c>
      <c r="W197" s="363">
        <v>2337</v>
      </c>
    </row>
    <row r="198" spans="2:23" hidden="1" outlineLevel="1" x14ac:dyDescent="0.25">
      <c r="B198" s="362">
        <v>44228</v>
      </c>
      <c r="C198" s="365"/>
      <c r="D198" s="365"/>
      <c r="E198" s="365"/>
      <c r="F198" s="365"/>
      <c r="G198" s="365"/>
      <c r="H198" s="365"/>
      <c r="I198" s="365">
        <v>288</v>
      </c>
      <c r="J198" s="365">
        <v>40</v>
      </c>
      <c r="K198" s="365">
        <v>328</v>
      </c>
      <c r="L198" s="365">
        <v>443</v>
      </c>
      <c r="M198" s="365">
        <v>90</v>
      </c>
      <c r="N198" s="365">
        <v>533</v>
      </c>
      <c r="O198" s="365">
        <v>897</v>
      </c>
      <c r="P198" s="365">
        <v>434</v>
      </c>
      <c r="Q198" s="365">
        <v>1331</v>
      </c>
      <c r="R198" s="365">
        <v>46</v>
      </c>
      <c r="S198" s="365">
        <v>20</v>
      </c>
      <c r="T198" s="365">
        <v>66</v>
      </c>
      <c r="U198" s="363">
        <v>1674</v>
      </c>
      <c r="V198" s="363">
        <v>584</v>
      </c>
      <c r="W198" s="363">
        <v>2258</v>
      </c>
    </row>
    <row r="199" spans="2:23" hidden="1" outlineLevel="1" x14ac:dyDescent="0.25">
      <c r="B199" s="362">
        <v>44256</v>
      </c>
      <c r="C199" s="365"/>
      <c r="D199" s="365"/>
      <c r="E199" s="365"/>
      <c r="F199" s="365"/>
      <c r="G199" s="365"/>
      <c r="H199" s="365"/>
      <c r="I199" s="365">
        <v>271</v>
      </c>
      <c r="J199" s="365">
        <v>62</v>
      </c>
      <c r="K199" s="365">
        <v>333</v>
      </c>
      <c r="L199" s="365">
        <v>595</v>
      </c>
      <c r="M199" s="365">
        <v>135</v>
      </c>
      <c r="N199" s="365">
        <v>730</v>
      </c>
      <c r="O199" s="365">
        <v>1098</v>
      </c>
      <c r="P199" s="365">
        <v>566</v>
      </c>
      <c r="Q199" s="365">
        <v>1664</v>
      </c>
      <c r="R199" s="365">
        <v>40</v>
      </c>
      <c r="S199" s="365">
        <v>32</v>
      </c>
      <c r="T199" s="365">
        <v>72</v>
      </c>
      <c r="U199" s="363">
        <v>2004</v>
      </c>
      <c r="V199" s="363">
        <v>795</v>
      </c>
      <c r="W199" s="363">
        <v>2799</v>
      </c>
    </row>
    <row r="200" spans="2:23" hidden="1" outlineLevel="1" x14ac:dyDescent="0.25">
      <c r="B200" s="362">
        <v>44287</v>
      </c>
      <c r="C200" s="365"/>
      <c r="D200" s="365"/>
      <c r="E200" s="365"/>
      <c r="F200" s="365"/>
      <c r="G200" s="365"/>
      <c r="H200" s="365"/>
      <c r="I200" s="365">
        <v>379</v>
      </c>
      <c r="J200" s="365">
        <v>51</v>
      </c>
      <c r="K200" s="365">
        <v>430</v>
      </c>
      <c r="L200" s="365">
        <v>706</v>
      </c>
      <c r="M200" s="365">
        <v>175</v>
      </c>
      <c r="N200" s="365">
        <v>881</v>
      </c>
      <c r="O200" s="365">
        <v>1191</v>
      </c>
      <c r="P200" s="365">
        <v>661</v>
      </c>
      <c r="Q200" s="365">
        <v>1852</v>
      </c>
      <c r="R200" s="365">
        <v>52</v>
      </c>
      <c r="S200" s="365">
        <v>49</v>
      </c>
      <c r="T200" s="365">
        <v>101</v>
      </c>
      <c r="U200" s="363">
        <v>2328</v>
      </c>
      <c r="V200" s="363">
        <v>936</v>
      </c>
      <c r="W200" s="363">
        <v>3264</v>
      </c>
    </row>
    <row r="201" spans="2:23" hidden="1" outlineLevel="1" x14ac:dyDescent="0.25">
      <c r="B201" s="362">
        <v>44317</v>
      </c>
      <c r="C201" s="365"/>
      <c r="D201" s="365"/>
      <c r="E201" s="365"/>
      <c r="F201" s="365"/>
      <c r="G201" s="365"/>
      <c r="H201" s="365"/>
      <c r="I201" s="365">
        <v>445</v>
      </c>
      <c r="J201" s="365">
        <v>63</v>
      </c>
      <c r="K201" s="365">
        <v>508</v>
      </c>
      <c r="L201" s="365">
        <v>668</v>
      </c>
      <c r="M201" s="365">
        <v>183</v>
      </c>
      <c r="N201" s="365">
        <v>851</v>
      </c>
      <c r="O201" s="365">
        <v>1364</v>
      </c>
      <c r="P201" s="365">
        <v>695</v>
      </c>
      <c r="Q201" s="365">
        <v>2059</v>
      </c>
      <c r="R201" s="365">
        <v>52</v>
      </c>
      <c r="S201" s="365">
        <v>55</v>
      </c>
      <c r="T201" s="365">
        <v>107</v>
      </c>
      <c r="U201" s="363">
        <v>2529</v>
      </c>
      <c r="V201" s="363">
        <v>996</v>
      </c>
      <c r="W201" s="363">
        <v>3525</v>
      </c>
    </row>
    <row r="202" spans="2:23" hidden="1" outlineLevel="1" x14ac:dyDescent="0.25">
      <c r="B202" s="362">
        <v>44348</v>
      </c>
      <c r="C202" s="365"/>
      <c r="D202" s="365"/>
      <c r="E202" s="365"/>
      <c r="F202" s="365"/>
      <c r="G202" s="365"/>
      <c r="H202" s="365"/>
      <c r="I202" s="365">
        <v>514</v>
      </c>
      <c r="J202" s="365">
        <v>59</v>
      </c>
      <c r="K202" s="365">
        <v>573</v>
      </c>
      <c r="L202" s="365">
        <v>638</v>
      </c>
      <c r="M202" s="365">
        <v>188</v>
      </c>
      <c r="N202" s="365">
        <v>826</v>
      </c>
      <c r="O202" s="365">
        <v>1309</v>
      </c>
      <c r="P202" s="365">
        <v>595</v>
      </c>
      <c r="Q202" s="365">
        <v>1904</v>
      </c>
      <c r="R202" s="365">
        <v>80</v>
      </c>
      <c r="S202" s="365">
        <v>71</v>
      </c>
      <c r="T202" s="365">
        <v>151</v>
      </c>
      <c r="U202" s="363">
        <v>2541</v>
      </c>
      <c r="V202" s="363">
        <v>913</v>
      </c>
      <c r="W202" s="363">
        <v>3454</v>
      </c>
    </row>
    <row r="203" spans="2:23" hidden="1" outlineLevel="1" x14ac:dyDescent="0.25">
      <c r="B203" s="362">
        <v>44378</v>
      </c>
      <c r="C203" s="365"/>
      <c r="D203" s="365"/>
      <c r="E203" s="365"/>
      <c r="F203" s="365"/>
      <c r="G203" s="365"/>
      <c r="H203" s="365"/>
      <c r="I203" s="365">
        <v>486</v>
      </c>
      <c r="J203" s="365">
        <v>63</v>
      </c>
      <c r="K203" s="365">
        <v>549</v>
      </c>
      <c r="L203" s="365">
        <v>752</v>
      </c>
      <c r="M203" s="365">
        <v>211</v>
      </c>
      <c r="N203" s="365">
        <v>963</v>
      </c>
      <c r="O203" s="365">
        <v>1383</v>
      </c>
      <c r="P203" s="365">
        <v>644</v>
      </c>
      <c r="Q203" s="365">
        <v>2027</v>
      </c>
      <c r="R203" s="365">
        <v>72</v>
      </c>
      <c r="S203" s="365">
        <v>63</v>
      </c>
      <c r="T203" s="365">
        <v>135</v>
      </c>
      <c r="U203" s="363">
        <v>2693</v>
      </c>
      <c r="V203" s="363">
        <v>981</v>
      </c>
      <c r="W203" s="363">
        <v>3674</v>
      </c>
    </row>
    <row r="204" spans="2:23" hidden="1" outlineLevel="1" x14ac:dyDescent="0.25">
      <c r="B204" s="362">
        <v>44409</v>
      </c>
      <c r="C204" s="365"/>
      <c r="D204" s="365"/>
      <c r="E204" s="365"/>
      <c r="F204" s="365"/>
      <c r="G204" s="365"/>
      <c r="H204" s="365"/>
      <c r="I204" s="365">
        <v>548</v>
      </c>
      <c r="J204" s="365">
        <v>77</v>
      </c>
      <c r="K204" s="365">
        <v>625</v>
      </c>
      <c r="L204" s="365">
        <v>803</v>
      </c>
      <c r="M204" s="365">
        <v>253</v>
      </c>
      <c r="N204" s="365">
        <v>1056</v>
      </c>
      <c r="O204" s="365">
        <v>1661</v>
      </c>
      <c r="P204" s="365">
        <v>769</v>
      </c>
      <c r="Q204" s="365">
        <v>2430</v>
      </c>
      <c r="R204" s="365">
        <v>80</v>
      </c>
      <c r="S204" s="365">
        <v>64</v>
      </c>
      <c r="T204" s="365">
        <v>144</v>
      </c>
      <c r="U204" s="363">
        <v>3092</v>
      </c>
      <c r="V204" s="363">
        <v>1163</v>
      </c>
      <c r="W204" s="363">
        <v>4255</v>
      </c>
    </row>
    <row r="205" spans="2:23" hidden="1" outlineLevel="1" x14ac:dyDescent="0.25">
      <c r="B205" s="362">
        <v>44440</v>
      </c>
      <c r="C205" s="365"/>
      <c r="D205" s="365"/>
      <c r="E205" s="365"/>
      <c r="F205" s="365"/>
      <c r="G205" s="365"/>
      <c r="H205" s="365"/>
      <c r="I205" s="365">
        <v>522</v>
      </c>
      <c r="J205" s="365">
        <v>76</v>
      </c>
      <c r="K205" s="365">
        <v>598</v>
      </c>
      <c r="L205" s="365">
        <v>756</v>
      </c>
      <c r="M205" s="365">
        <v>179</v>
      </c>
      <c r="N205" s="365">
        <v>935</v>
      </c>
      <c r="O205" s="365">
        <v>1640</v>
      </c>
      <c r="P205" s="365">
        <v>770</v>
      </c>
      <c r="Q205" s="365">
        <v>2410</v>
      </c>
      <c r="R205" s="365">
        <v>106</v>
      </c>
      <c r="S205" s="365">
        <v>72</v>
      </c>
      <c r="T205" s="365">
        <v>178</v>
      </c>
      <c r="U205" s="363">
        <v>3024</v>
      </c>
      <c r="V205" s="363">
        <v>1097</v>
      </c>
      <c r="W205" s="363">
        <v>4121</v>
      </c>
    </row>
    <row r="206" spans="2:23" hidden="1" outlineLevel="1" x14ac:dyDescent="0.25">
      <c r="B206" s="362">
        <v>44470</v>
      </c>
      <c r="C206" s="365"/>
      <c r="D206" s="365"/>
      <c r="E206" s="365"/>
      <c r="F206" s="365"/>
      <c r="G206" s="365"/>
      <c r="H206" s="365"/>
      <c r="I206" s="365">
        <v>481</v>
      </c>
      <c r="J206" s="365">
        <v>82</v>
      </c>
      <c r="K206" s="365">
        <v>563</v>
      </c>
      <c r="L206" s="365">
        <v>833</v>
      </c>
      <c r="M206" s="365">
        <v>219</v>
      </c>
      <c r="N206" s="365">
        <v>1052</v>
      </c>
      <c r="O206" s="365">
        <v>1462</v>
      </c>
      <c r="P206" s="365">
        <v>699</v>
      </c>
      <c r="Q206" s="365">
        <v>2161</v>
      </c>
      <c r="R206" s="365">
        <v>78</v>
      </c>
      <c r="S206" s="365">
        <v>48</v>
      </c>
      <c r="T206" s="365">
        <v>126</v>
      </c>
      <c r="U206" s="363">
        <v>2854</v>
      </c>
      <c r="V206" s="363">
        <v>1048</v>
      </c>
      <c r="W206" s="363">
        <v>3902</v>
      </c>
    </row>
    <row r="207" spans="2:23" hidden="1" outlineLevel="1" x14ac:dyDescent="0.25">
      <c r="B207" s="362">
        <v>44501</v>
      </c>
      <c r="C207" s="365"/>
      <c r="D207" s="365"/>
      <c r="E207" s="365"/>
      <c r="F207" s="365"/>
      <c r="G207" s="365"/>
      <c r="H207" s="365"/>
      <c r="I207" s="365">
        <v>443</v>
      </c>
      <c r="J207" s="365">
        <v>46</v>
      </c>
      <c r="K207" s="365">
        <v>489</v>
      </c>
      <c r="L207" s="365">
        <v>917</v>
      </c>
      <c r="M207" s="365">
        <v>199</v>
      </c>
      <c r="N207" s="365">
        <v>1116</v>
      </c>
      <c r="O207" s="365">
        <v>1827</v>
      </c>
      <c r="P207" s="365">
        <v>823</v>
      </c>
      <c r="Q207" s="365">
        <v>2650</v>
      </c>
      <c r="R207" s="365">
        <v>75</v>
      </c>
      <c r="S207" s="365">
        <v>66</v>
      </c>
      <c r="T207" s="365">
        <v>141</v>
      </c>
      <c r="U207" s="363">
        <v>3262</v>
      </c>
      <c r="V207" s="363">
        <v>1134</v>
      </c>
      <c r="W207" s="363">
        <v>4396</v>
      </c>
    </row>
    <row r="208" spans="2:23" hidden="1" outlineLevel="1" x14ac:dyDescent="0.25">
      <c r="B208" s="362">
        <v>44531</v>
      </c>
      <c r="C208" s="365"/>
      <c r="D208" s="365"/>
      <c r="E208" s="365"/>
      <c r="F208" s="365"/>
      <c r="G208" s="365"/>
      <c r="H208" s="365"/>
      <c r="I208" s="365">
        <v>521</v>
      </c>
      <c r="J208" s="365">
        <v>73</v>
      </c>
      <c r="K208" s="365">
        <v>594</v>
      </c>
      <c r="L208" s="365">
        <v>892</v>
      </c>
      <c r="M208" s="365">
        <v>236</v>
      </c>
      <c r="N208" s="365">
        <v>1128</v>
      </c>
      <c r="O208" s="365">
        <v>1747</v>
      </c>
      <c r="P208" s="365">
        <v>888</v>
      </c>
      <c r="Q208" s="365">
        <v>2635</v>
      </c>
      <c r="R208" s="365">
        <v>68</v>
      </c>
      <c r="S208" s="365">
        <v>54</v>
      </c>
      <c r="T208" s="365">
        <v>122</v>
      </c>
      <c r="U208" s="363">
        <v>3228</v>
      </c>
      <c r="V208" s="363">
        <v>1251</v>
      </c>
      <c r="W208" s="363">
        <v>4479</v>
      </c>
    </row>
    <row r="209" spans="2:23" collapsed="1" x14ac:dyDescent="0.25">
      <c r="B209" s="364" t="s">
        <v>712</v>
      </c>
      <c r="C209" s="363" t="s">
        <v>804</v>
      </c>
      <c r="D209" s="363" t="s">
        <v>804</v>
      </c>
      <c r="E209" s="363" t="s">
        <v>804</v>
      </c>
      <c r="F209" s="363" t="s">
        <v>804</v>
      </c>
      <c r="G209" s="363" t="s">
        <v>804</v>
      </c>
      <c r="H209" s="363" t="s">
        <v>804</v>
      </c>
      <c r="I209" s="363">
        <v>433</v>
      </c>
      <c r="J209" s="363">
        <v>61</v>
      </c>
      <c r="K209" s="363">
        <v>494</v>
      </c>
      <c r="L209" s="363">
        <v>707</v>
      </c>
      <c r="M209" s="363">
        <v>182</v>
      </c>
      <c r="N209" s="363">
        <v>889</v>
      </c>
      <c r="O209" s="363">
        <v>1374</v>
      </c>
      <c r="P209" s="363">
        <v>663</v>
      </c>
      <c r="Q209" s="363">
        <v>2037</v>
      </c>
      <c r="R209" s="363">
        <v>67</v>
      </c>
      <c r="S209" s="363">
        <v>52</v>
      </c>
      <c r="T209" s="363">
        <v>118</v>
      </c>
      <c r="U209" s="363">
        <v>2582</v>
      </c>
      <c r="V209" s="363">
        <v>957</v>
      </c>
      <c r="W209" s="363">
        <v>3539</v>
      </c>
    </row>
    <row r="210" spans="2:23" hidden="1" outlineLevel="1" x14ac:dyDescent="0.25">
      <c r="B210" s="362">
        <v>44562</v>
      </c>
      <c r="C210" s="365"/>
      <c r="D210" s="365"/>
      <c r="E210" s="365"/>
      <c r="F210" s="365"/>
      <c r="G210" s="365"/>
      <c r="H210" s="365"/>
      <c r="I210" s="365">
        <v>235</v>
      </c>
      <c r="J210" s="365">
        <v>64</v>
      </c>
      <c r="K210" s="365">
        <v>299</v>
      </c>
      <c r="L210" s="365">
        <v>1171</v>
      </c>
      <c r="M210" s="365">
        <v>276</v>
      </c>
      <c r="N210" s="365">
        <v>1447</v>
      </c>
      <c r="O210" s="365">
        <v>789</v>
      </c>
      <c r="P210" s="365">
        <v>522</v>
      </c>
      <c r="Q210" s="365">
        <v>1311</v>
      </c>
      <c r="R210" s="365">
        <v>101</v>
      </c>
      <c r="S210" s="365">
        <v>74</v>
      </c>
      <c r="T210" s="365">
        <v>175</v>
      </c>
      <c r="U210" s="363">
        <v>2296</v>
      </c>
      <c r="V210" s="363">
        <v>936</v>
      </c>
      <c r="W210" s="363">
        <v>3232</v>
      </c>
    </row>
    <row r="211" spans="2:23" hidden="1" outlineLevel="1" x14ac:dyDescent="0.25">
      <c r="B211" s="362">
        <v>44593</v>
      </c>
      <c r="C211" s="365">
        <v>1563</v>
      </c>
      <c r="D211" s="365">
        <v>767</v>
      </c>
      <c r="E211" s="365">
        <v>2330</v>
      </c>
      <c r="F211" s="365">
        <v>9502</v>
      </c>
      <c r="G211" s="365">
        <v>10020</v>
      </c>
      <c r="H211" s="365">
        <v>19522</v>
      </c>
      <c r="I211" s="365"/>
      <c r="J211" s="365"/>
      <c r="K211" s="365"/>
      <c r="L211" s="365">
        <v>933</v>
      </c>
      <c r="M211" s="365">
        <v>254</v>
      </c>
      <c r="N211" s="365">
        <v>1187</v>
      </c>
      <c r="O211" s="365"/>
      <c r="P211" s="365"/>
      <c r="Q211" s="365"/>
      <c r="R211" s="365">
        <v>295</v>
      </c>
      <c r="S211" s="365">
        <v>419</v>
      </c>
      <c r="T211" s="365">
        <v>714</v>
      </c>
      <c r="U211" s="363">
        <v>12293</v>
      </c>
      <c r="V211" s="363">
        <v>11460</v>
      </c>
      <c r="W211" s="363">
        <v>23753</v>
      </c>
    </row>
    <row r="212" spans="2:23" hidden="1" outlineLevel="1" x14ac:dyDescent="0.25">
      <c r="B212" s="362">
        <v>44621</v>
      </c>
      <c r="C212" s="365">
        <v>244</v>
      </c>
      <c r="D212" s="365">
        <v>83</v>
      </c>
      <c r="E212" s="365">
        <v>327</v>
      </c>
      <c r="F212" s="365">
        <v>2791</v>
      </c>
      <c r="G212" s="365">
        <v>3361</v>
      </c>
      <c r="H212" s="365">
        <v>6152</v>
      </c>
      <c r="I212" s="365"/>
      <c r="J212" s="365"/>
      <c r="K212" s="365"/>
      <c r="L212" s="365">
        <v>1175</v>
      </c>
      <c r="M212" s="365">
        <v>307</v>
      </c>
      <c r="N212" s="365">
        <v>1482</v>
      </c>
      <c r="O212" s="365"/>
      <c r="P212" s="365"/>
      <c r="Q212" s="365"/>
      <c r="R212" s="365">
        <v>129</v>
      </c>
      <c r="S212" s="365">
        <v>118</v>
      </c>
      <c r="T212" s="365">
        <v>247</v>
      </c>
      <c r="U212" s="363">
        <v>4339</v>
      </c>
      <c r="V212" s="363">
        <v>3869</v>
      </c>
      <c r="W212" s="363">
        <v>8208</v>
      </c>
    </row>
    <row r="213" spans="2:23" hidden="1" outlineLevel="1" x14ac:dyDescent="0.25">
      <c r="B213" s="362">
        <v>44652</v>
      </c>
      <c r="C213" s="365">
        <v>186</v>
      </c>
      <c r="D213" s="365">
        <v>81</v>
      </c>
      <c r="E213" s="365">
        <v>267</v>
      </c>
      <c r="F213" s="365">
        <v>1679</v>
      </c>
      <c r="G213" s="365">
        <v>2079</v>
      </c>
      <c r="H213" s="365">
        <v>3758</v>
      </c>
      <c r="I213" s="365"/>
      <c r="J213" s="365"/>
      <c r="K213" s="365"/>
      <c r="L213" s="365">
        <v>1096</v>
      </c>
      <c r="M213" s="365">
        <v>273</v>
      </c>
      <c r="N213" s="365">
        <v>1369</v>
      </c>
      <c r="O213" s="365"/>
      <c r="P213" s="365"/>
      <c r="Q213" s="365"/>
      <c r="R213" s="365">
        <v>110</v>
      </c>
      <c r="S213" s="365">
        <v>75</v>
      </c>
      <c r="T213" s="365">
        <v>185</v>
      </c>
      <c r="U213" s="363">
        <v>3071</v>
      </c>
      <c r="V213" s="363">
        <v>2508</v>
      </c>
      <c r="W213" s="363">
        <v>5579</v>
      </c>
    </row>
    <row r="214" spans="2:23" hidden="1" outlineLevel="1" x14ac:dyDescent="0.25">
      <c r="B214" s="362">
        <v>44682</v>
      </c>
      <c r="C214" s="365">
        <v>236</v>
      </c>
      <c r="D214" s="365">
        <v>147</v>
      </c>
      <c r="E214" s="365">
        <v>383</v>
      </c>
      <c r="F214" s="365">
        <v>1484</v>
      </c>
      <c r="G214" s="365">
        <v>2013</v>
      </c>
      <c r="H214" s="365">
        <v>3497</v>
      </c>
      <c r="I214" s="365"/>
      <c r="J214" s="365"/>
      <c r="K214" s="365"/>
      <c r="L214" s="365">
        <v>1059</v>
      </c>
      <c r="M214" s="365">
        <v>253</v>
      </c>
      <c r="N214" s="365">
        <v>1312</v>
      </c>
      <c r="O214" s="365"/>
      <c r="P214" s="365"/>
      <c r="Q214" s="365"/>
      <c r="R214" s="365">
        <v>126</v>
      </c>
      <c r="S214" s="365">
        <v>132</v>
      </c>
      <c r="T214" s="365">
        <v>258</v>
      </c>
      <c r="U214" s="363">
        <v>2905</v>
      </c>
      <c r="V214" s="363">
        <v>2545</v>
      </c>
      <c r="W214" s="363">
        <v>5450</v>
      </c>
    </row>
    <row r="215" spans="2:23" hidden="1" outlineLevel="1" x14ac:dyDescent="0.25">
      <c r="B215" s="362">
        <v>44713</v>
      </c>
      <c r="C215" s="365">
        <v>210</v>
      </c>
      <c r="D215" s="365">
        <v>165</v>
      </c>
      <c r="E215" s="365">
        <v>375</v>
      </c>
      <c r="F215" s="365">
        <v>1585</v>
      </c>
      <c r="G215" s="365">
        <v>2450</v>
      </c>
      <c r="H215" s="365">
        <v>4035</v>
      </c>
      <c r="I215" s="365"/>
      <c r="J215" s="365"/>
      <c r="K215" s="365"/>
      <c r="L215" s="365">
        <v>932</v>
      </c>
      <c r="M215" s="365">
        <v>244</v>
      </c>
      <c r="N215" s="365">
        <v>1176</v>
      </c>
      <c r="O215" s="365"/>
      <c r="P215" s="365"/>
      <c r="Q215" s="365"/>
      <c r="R215" s="365">
        <v>110</v>
      </c>
      <c r="S215" s="365">
        <v>105</v>
      </c>
      <c r="T215" s="365">
        <v>215</v>
      </c>
      <c r="U215" s="363">
        <v>2837</v>
      </c>
      <c r="V215" s="363">
        <v>2964</v>
      </c>
      <c r="W215" s="363">
        <v>5801</v>
      </c>
    </row>
    <row r="216" spans="2:23" hidden="1" outlineLevel="1" x14ac:dyDescent="0.25">
      <c r="B216" s="362">
        <v>44743</v>
      </c>
      <c r="C216" s="365">
        <v>310</v>
      </c>
      <c r="D216" s="365">
        <v>236</v>
      </c>
      <c r="E216" s="365">
        <v>546</v>
      </c>
      <c r="F216" s="365">
        <v>2045</v>
      </c>
      <c r="G216" s="365">
        <v>3496</v>
      </c>
      <c r="H216" s="365">
        <v>5541</v>
      </c>
      <c r="I216" s="365"/>
      <c r="J216" s="365"/>
      <c r="K216" s="365"/>
      <c r="L216" s="365">
        <v>987</v>
      </c>
      <c r="M216" s="365">
        <v>253</v>
      </c>
      <c r="N216" s="365">
        <v>1240</v>
      </c>
      <c r="O216" s="365"/>
      <c r="P216" s="365"/>
      <c r="Q216" s="365"/>
      <c r="R216" s="365">
        <v>129</v>
      </c>
      <c r="S216" s="365">
        <v>107</v>
      </c>
      <c r="T216" s="365">
        <v>236</v>
      </c>
      <c r="U216" s="363">
        <v>3471</v>
      </c>
      <c r="V216" s="363">
        <v>4092</v>
      </c>
      <c r="W216" s="363">
        <v>7563</v>
      </c>
    </row>
    <row r="217" spans="2:23" hidden="1" outlineLevel="1" x14ac:dyDescent="0.25">
      <c r="B217" s="362">
        <v>44774</v>
      </c>
      <c r="C217" s="365">
        <v>478</v>
      </c>
      <c r="D217" s="365">
        <v>300</v>
      </c>
      <c r="E217" s="365">
        <v>778</v>
      </c>
      <c r="F217" s="365">
        <v>4237</v>
      </c>
      <c r="G217" s="365">
        <v>5860</v>
      </c>
      <c r="H217" s="365">
        <v>10097</v>
      </c>
      <c r="I217" s="365"/>
      <c r="J217" s="365"/>
      <c r="K217" s="365"/>
      <c r="L217" s="365">
        <v>1293</v>
      </c>
      <c r="M217" s="365">
        <v>273</v>
      </c>
      <c r="N217" s="365">
        <v>1566</v>
      </c>
      <c r="O217" s="365"/>
      <c r="P217" s="365"/>
      <c r="Q217" s="365"/>
      <c r="R217" s="365">
        <v>132</v>
      </c>
      <c r="S217" s="365">
        <v>156</v>
      </c>
      <c r="T217" s="365">
        <v>288</v>
      </c>
      <c r="U217" s="363">
        <v>6140</v>
      </c>
      <c r="V217" s="363">
        <v>6589</v>
      </c>
      <c r="W217" s="363">
        <v>12729</v>
      </c>
    </row>
    <row r="218" spans="2:23" hidden="1" outlineLevel="1" x14ac:dyDescent="0.25">
      <c r="B218" s="362">
        <v>44805</v>
      </c>
      <c r="C218" s="365">
        <v>360</v>
      </c>
      <c r="D218" s="365">
        <v>487</v>
      </c>
      <c r="E218" s="365">
        <v>847</v>
      </c>
      <c r="F218" s="365">
        <v>2276</v>
      </c>
      <c r="G218" s="365">
        <v>2663</v>
      </c>
      <c r="H218" s="365">
        <v>4939</v>
      </c>
      <c r="I218" s="365"/>
      <c r="J218" s="365"/>
      <c r="K218" s="365"/>
      <c r="L218" s="365">
        <v>825</v>
      </c>
      <c r="M218" s="365">
        <v>197</v>
      </c>
      <c r="N218" s="365">
        <v>1022</v>
      </c>
      <c r="O218" s="365"/>
      <c r="P218" s="365"/>
      <c r="Q218" s="365"/>
      <c r="R218" s="365">
        <v>106</v>
      </c>
      <c r="S218" s="365">
        <v>99</v>
      </c>
      <c r="T218" s="365">
        <v>205</v>
      </c>
      <c r="U218" s="363">
        <v>3567</v>
      </c>
      <c r="V218" s="363">
        <v>3446</v>
      </c>
      <c r="W218" s="363">
        <v>7013</v>
      </c>
    </row>
    <row r="219" spans="2:23" hidden="1" outlineLevel="1" x14ac:dyDescent="0.25">
      <c r="B219" s="362">
        <v>44835</v>
      </c>
      <c r="C219" s="365">
        <v>603</v>
      </c>
      <c r="D219" s="365">
        <v>687</v>
      </c>
      <c r="E219" s="365">
        <v>1290</v>
      </c>
      <c r="F219" s="365">
        <v>3084</v>
      </c>
      <c r="G219" s="365">
        <v>3064</v>
      </c>
      <c r="H219" s="365">
        <v>6148</v>
      </c>
      <c r="I219" s="365"/>
      <c r="J219" s="365"/>
      <c r="K219" s="365"/>
      <c r="L219" s="365">
        <v>841</v>
      </c>
      <c r="M219" s="365">
        <v>176</v>
      </c>
      <c r="N219" s="365">
        <v>1017</v>
      </c>
      <c r="O219" s="365"/>
      <c r="P219" s="365"/>
      <c r="Q219" s="365"/>
      <c r="R219" s="365">
        <v>89</v>
      </c>
      <c r="S219" s="365">
        <v>117</v>
      </c>
      <c r="T219" s="365">
        <v>206</v>
      </c>
      <c r="U219" s="363">
        <v>4617</v>
      </c>
      <c r="V219" s="363">
        <v>4044</v>
      </c>
      <c r="W219" s="363">
        <v>8661</v>
      </c>
    </row>
    <row r="220" spans="2:23" hidden="1" outlineLevel="1" x14ac:dyDescent="0.25">
      <c r="B220" s="362">
        <v>44866</v>
      </c>
      <c r="C220" s="365">
        <v>451</v>
      </c>
      <c r="D220" s="365">
        <v>532</v>
      </c>
      <c r="E220" s="365">
        <v>983</v>
      </c>
      <c r="F220" s="365">
        <v>2305</v>
      </c>
      <c r="G220" s="365">
        <v>2632</v>
      </c>
      <c r="H220" s="365">
        <v>4937</v>
      </c>
      <c r="I220" s="365"/>
      <c r="J220" s="365"/>
      <c r="K220" s="365"/>
      <c r="L220" s="365">
        <v>827</v>
      </c>
      <c r="M220" s="365">
        <v>204</v>
      </c>
      <c r="N220" s="365">
        <v>1031</v>
      </c>
      <c r="O220" s="365"/>
      <c r="P220" s="365"/>
      <c r="Q220" s="365"/>
      <c r="R220" s="365">
        <v>98</v>
      </c>
      <c r="S220" s="365">
        <v>115</v>
      </c>
      <c r="T220" s="365">
        <v>213</v>
      </c>
      <c r="U220" s="363">
        <v>3681</v>
      </c>
      <c r="V220" s="363">
        <v>3483</v>
      </c>
      <c r="W220" s="363">
        <v>7164</v>
      </c>
    </row>
    <row r="221" spans="2:23" hidden="1" outlineLevel="1" x14ac:dyDescent="0.25">
      <c r="B221" s="362">
        <v>44896</v>
      </c>
      <c r="C221" s="365">
        <v>200</v>
      </c>
      <c r="D221" s="365">
        <v>205</v>
      </c>
      <c r="E221" s="365">
        <v>405</v>
      </c>
      <c r="F221" s="365">
        <v>1084</v>
      </c>
      <c r="G221" s="365">
        <v>1537</v>
      </c>
      <c r="H221" s="365">
        <v>2621</v>
      </c>
      <c r="I221" s="365"/>
      <c r="J221" s="365"/>
      <c r="K221" s="365"/>
      <c r="L221" s="365">
        <v>588</v>
      </c>
      <c r="M221" s="365">
        <v>174</v>
      </c>
      <c r="N221" s="365">
        <v>762</v>
      </c>
      <c r="O221" s="365"/>
      <c r="P221" s="365"/>
      <c r="Q221" s="365"/>
      <c r="R221" s="365">
        <v>75</v>
      </c>
      <c r="S221" s="365">
        <v>98</v>
      </c>
      <c r="T221" s="365">
        <v>173</v>
      </c>
      <c r="U221" s="363">
        <v>1947</v>
      </c>
      <c r="V221" s="363">
        <v>2014</v>
      </c>
      <c r="W221" s="363">
        <v>3961</v>
      </c>
    </row>
    <row r="222" spans="2:23" collapsed="1" x14ac:dyDescent="0.25">
      <c r="B222" s="364" t="s">
        <v>713</v>
      </c>
      <c r="C222" s="363">
        <v>440</v>
      </c>
      <c r="D222" s="363">
        <v>335</v>
      </c>
      <c r="E222" s="363">
        <v>776</v>
      </c>
      <c r="F222" s="363">
        <v>2916</v>
      </c>
      <c r="G222" s="363">
        <v>3561</v>
      </c>
      <c r="H222" s="363">
        <v>6477</v>
      </c>
      <c r="I222" s="363">
        <v>235</v>
      </c>
      <c r="J222" s="363">
        <v>64</v>
      </c>
      <c r="K222" s="363">
        <v>299</v>
      </c>
      <c r="L222" s="363">
        <v>977</v>
      </c>
      <c r="M222" s="363">
        <v>240</v>
      </c>
      <c r="N222" s="363">
        <v>1218</v>
      </c>
      <c r="O222" s="363">
        <v>789</v>
      </c>
      <c r="P222" s="363">
        <v>522</v>
      </c>
      <c r="Q222" s="363">
        <v>1311</v>
      </c>
      <c r="R222" s="363">
        <v>125</v>
      </c>
      <c r="S222" s="363">
        <v>135</v>
      </c>
      <c r="T222" s="363">
        <v>260</v>
      </c>
      <c r="U222" s="363">
        <v>4264</v>
      </c>
      <c r="V222" s="363">
        <v>3996</v>
      </c>
      <c r="W222" s="363">
        <v>8260</v>
      </c>
    </row>
    <row r="223" spans="2:23" outlineLevel="1" x14ac:dyDescent="0.25">
      <c r="B223" s="362">
        <v>44927</v>
      </c>
      <c r="C223" s="365">
        <v>194</v>
      </c>
      <c r="D223" s="365">
        <v>199</v>
      </c>
      <c r="E223" s="365">
        <v>393</v>
      </c>
      <c r="F223" s="365">
        <v>1777</v>
      </c>
      <c r="G223" s="365">
        <v>2056</v>
      </c>
      <c r="H223" s="365">
        <v>3833</v>
      </c>
      <c r="I223" s="365"/>
      <c r="J223" s="365"/>
      <c r="K223" s="365"/>
      <c r="L223" s="365">
        <v>625</v>
      </c>
      <c r="M223" s="365">
        <v>156</v>
      </c>
      <c r="N223" s="365">
        <v>781</v>
      </c>
      <c r="O223" s="365"/>
      <c r="P223" s="365"/>
      <c r="Q223" s="365"/>
      <c r="R223" s="365">
        <v>107</v>
      </c>
      <c r="S223" s="365">
        <v>111</v>
      </c>
      <c r="T223" s="365">
        <v>218</v>
      </c>
      <c r="U223" s="363">
        <v>2703</v>
      </c>
      <c r="V223" s="363">
        <v>2522</v>
      </c>
      <c r="W223" s="363">
        <v>5225</v>
      </c>
    </row>
    <row r="224" spans="2:23" outlineLevel="1" x14ac:dyDescent="0.25">
      <c r="B224" s="362">
        <v>44958</v>
      </c>
      <c r="C224" s="365">
        <v>221</v>
      </c>
      <c r="D224" s="365">
        <v>184</v>
      </c>
      <c r="E224" s="365">
        <v>405</v>
      </c>
      <c r="F224" s="365">
        <v>1425</v>
      </c>
      <c r="G224" s="365">
        <v>1626</v>
      </c>
      <c r="H224" s="365">
        <v>3051</v>
      </c>
      <c r="I224" s="365"/>
      <c r="J224" s="365"/>
      <c r="K224" s="365"/>
      <c r="L224" s="365">
        <v>437</v>
      </c>
      <c r="M224" s="365">
        <v>99</v>
      </c>
      <c r="N224" s="365">
        <v>536</v>
      </c>
      <c r="O224" s="365"/>
      <c r="P224" s="365"/>
      <c r="Q224" s="365"/>
      <c r="R224" s="365">
        <v>97</v>
      </c>
      <c r="S224" s="365">
        <v>96</v>
      </c>
      <c r="T224" s="365">
        <v>193</v>
      </c>
      <c r="U224" s="363">
        <v>2180</v>
      </c>
      <c r="V224" s="363">
        <v>2005</v>
      </c>
      <c r="W224" s="363">
        <v>4185</v>
      </c>
    </row>
    <row r="225" spans="2:23" outlineLevel="1" x14ac:dyDescent="0.25">
      <c r="B225" s="362">
        <v>44986</v>
      </c>
      <c r="C225" s="365">
        <v>183</v>
      </c>
      <c r="D225" s="365">
        <v>164</v>
      </c>
      <c r="E225" s="365">
        <v>347</v>
      </c>
      <c r="F225" s="365">
        <v>1172</v>
      </c>
      <c r="G225" s="365">
        <v>1409</v>
      </c>
      <c r="H225" s="365">
        <v>2581</v>
      </c>
      <c r="I225" s="365"/>
      <c r="J225" s="365"/>
      <c r="K225" s="365"/>
      <c r="L225" s="365">
        <v>534</v>
      </c>
      <c r="M225" s="365">
        <v>114</v>
      </c>
      <c r="N225" s="365">
        <v>648</v>
      </c>
      <c r="O225" s="365"/>
      <c r="P225" s="365"/>
      <c r="Q225" s="365"/>
      <c r="R225" s="365">
        <v>97</v>
      </c>
      <c r="S225" s="365">
        <v>70</v>
      </c>
      <c r="T225" s="365">
        <v>167</v>
      </c>
      <c r="U225" s="363">
        <v>1986</v>
      </c>
      <c r="V225" s="363">
        <v>1757</v>
      </c>
      <c r="W225" s="363">
        <v>3743</v>
      </c>
    </row>
    <row r="226" spans="2:23" outlineLevel="1" x14ac:dyDescent="0.25">
      <c r="B226" s="362">
        <v>45017</v>
      </c>
      <c r="C226" s="365">
        <v>172</v>
      </c>
      <c r="D226" s="365">
        <v>160</v>
      </c>
      <c r="E226" s="365">
        <v>332</v>
      </c>
      <c r="F226" s="365">
        <v>1786</v>
      </c>
      <c r="G226" s="365">
        <v>2167</v>
      </c>
      <c r="H226" s="365">
        <v>3953</v>
      </c>
      <c r="I226" s="365"/>
      <c r="J226" s="365"/>
      <c r="K226" s="365"/>
      <c r="L226" s="365">
        <v>307</v>
      </c>
      <c r="M226" s="365">
        <v>59</v>
      </c>
      <c r="N226" s="365">
        <v>366</v>
      </c>
      <c r="O226" s="365"/>
      <c r="P226" s="365"/>
      <c r="Q226" s="365"/>
      <c r="R226" s="365">
        <v>74</v>
      </c>
      <c r="S226" s="365">
        <v>64</v>
      </c>
      <c r="T226" s="365">
        <v>138</v>
      </c>
      <c r="U226" s="363">
        <v>2339</v>
      </c>
      <c r="V226" s="363">
        <v>2450</v>
      </c>
      <c r="W226" s="363">
        <v>4789</v>
      </c>
    </row>
    <row r="227" spans="2:23" outlineLevel="1" x14ac:dyDescent="0.25">
      <c r="B227" s="362">
        <v>45047</v>
      </c>
      <c r="C227" s="365">
        <v>176</v>
      </c>
      <c r="D227" s="365">
        <v>173</v>
      </c>
      <c r="E227" s="365">
        <v>349</v>
      </c>
      <c r="F227" s="365">
        <v>1387</v>
      </c>
      <c r="G227" s="365">
        <v>1740</v>
      </c>
      <c r="H227" s="365">
        <v>3127</v>
      </c>
      <c r="I227" s="365"/>
      <c r="J227" s="365"/>
      <c r="K227" s="365"/>
      <c r="L227" s="365">
        <v>196</v>
      </c>
      <c r="M227" s="365">
        <v>68</v>
      </c>
      <c r="N227" s="365">
        <v>264</v>
      </c>
      <c r="O227" s="365"/>
      <c r="P227" s="365"/>
      <c r="Q227" s="365"/>
      <c r="R227" s="365">
        <v>64</v>
      </c>
      <c r="S227" s="365">
        <v>68</v>
      </c>
      <c r="T227" s="365">
        <v>132</v>
      </c>
      <c r="U227" s="363">
        <v>1823</v>
      </c>
      <c r="V227" s="363">
        <v>2049</v>
      </c>
      <c r="W227" s="363">
        <v>3872</v>
      </c>
    </row>
    <row r="228" spans="2:23" outlineLevel="1" x14ac:dyDescent="0.25">
      <c r="B228" s="362">
        <v>45078</v>
      </c>
      <c r="C228" s="365">
        <v>60</v>
      </c>
      <c r="D228" s="365">
        <v>45</v>
      </c>
      <c r="E228" s="365">
        <v>105</v>
      </c>
      <c r="F228" s="365">
        <v>775</v>
      </c>
      <c r="G228" s="365">
        <v>1160</v>
      </c>
      <c r="H228" s="365">
        <v>1935</v>
      </c>
      <c r="I228" s="365"/>
      <c r="J228" s="365"/>
      <c r="K228" s="365"/>
      <c r="L228" s="365">
        <v>53</v>
      </c>
      <c r="M228" s="365">
        <v>15</v>
      </c>
      <c r="N228" s="365">
        <v>68</v>
      </c>
      <c r="O228" s="365"/>
      <c r="P228" s="365"/>
      <c r="Q228" s="365"/>
      <c r="R228" s="365">
        <v>42</v>
      </c>
      <c r="S228" s="365">
        <v>39</v>
      </c>
      <c r="T228" s="365">
        <v>81</v>
      </c>
      <c r="U228" s="363">
        <v>930</v>
      </c>
      <c r="V228" s="363">
        <v>1259</v>
      </c>
      <c r="W228" s="363">
        <v>2189</v>
      </c>
    </row>
    <row r="229" spans="2:23" outlineLevel="1" x14ac:dyDescent="0.25">
      <c r="B229" s="362">
        <v>45108</v>
      </c>
      <c r="C229" s="365">
        <v>7</v>
      </c>
      <c r="D229" s="365">
        <v>10</v>
      </c>
      <c r="E229" s="365">
        <v>17</v>
      </c>
      <c r="F229" s="365">
        <v>774</v>
      </c>
      <c r="G229" s="365">
        <v>1173</v>
      </c>
      <c r="H229" s="365">
        <v>1947</v>
      </c>
      <c r="I229" s="365"/>
      <c r="J229" s="365"/>
      <c r="K229" s="365"/>
      <c r="L229" s="365">
        <v>22</v>
      </c>
      <c r="M229" s="365">
        <v>4</v>
      </c>
      <c r="N229" s="365">
        <v>26</v>
      </c>
      <c r="O229" s="365"/>
      <c r="P229" s="365"/>
      <c r="Q229" s="365"/>
      <c r="R229" s="365">
        <v>39</v>
      </c>
      <c r="S229" s="365">
        <v>57</v>
      </c>
      <c r="T229" s="365">
        <v>96</v>
      </c>
      <c r="U229" s="363">
        <v>842</v>
      </c>
      <c r="V229" s="363">
        <v>1244</v>
      </c>
      <c r="W229" s="363">
        <v>2086</v>
      </c>
    </row>
    <row r="230" spans="2:23" outlineLevel="1" x14ac:dyDescent="0.25">
      <c r="B230" s="362">
        <v>45139</v>
      </c>
      <c r="C230" s="365">
        <v>4</v>
      </c>
      <c r="D230" s="365">
        <v>7</v>
      </c>
      <c r="E230" s="365">
        <v>11</v>
      </c>
      <c r="F230" s="365">
        <v>817</v>
      </c>
      <c r="G230" s="365">
        <v>1256</v>
      </c>
      <c r="H230" s="365">
        <v>2073</v>
      </c>
      <c r="I230" s="365"/>
      <c r="J230" s="365"/>
      <c r="K230" s="365"/>
      <c r="L230" s="365">
        <v>4</v>
      </c>
      <c r="M230" s="365"/>
      <c r="N230" s="365">
        <v>4</v>
      </c>
      <c r="O230" s="365"/>
      <c r="P230" s="365"/>
      <c r="Q230" s="365"/>
      <c r="R230" s="365">
        <v>22</v>
      </c>
      <c r="S230" s="365">
        <v>52</v>
      </c>
      <c r="T230" s="365">
        <v>74</v>
      </c>
      <c r="U230" s="363">
        <v>847</v>
      </c>
      <c r="V230" s="363">
        <v>1315</v>
      </c>
      <c r="W230" s="363">
        <v>2162</v>
      </c>
    </row>
    <row r="231" spans="2:23" outlineLevel="1" x14ac:dyDescent="0.25">
      <c r="B231" s="362">
        <v>45170</v>
      </c>
      <c r="C231" s="365">
        <v>4</v>
      </c>
      <c r="D231" s="365">
        <v>2</v>
      </c>
      <c r="E231" s="365">
        <v>6</v>
      </c>
      <c r="F231" s="365">
        <v>3</v>
      </c>
      <c r="G231" s="365">
        <v>5</v>
      </c>
      <c r="H231" s="365">
        <v>8</v>
      </c>
      <c r="I231" s="365"/>
      <c r="J231" s="365"/>
      <c r="K231" s="365"/>
      <c r="L231" s="365"/>
      <c r="M231" s="365"/>
      <c r="N231" s="365"/>
      <c r="O231" s="365"/>
      <c r="P231" s="365"/>
      <c r="Q231" s="365"/>
      <c r="R231" s="365">
        <v>1</v>
      </c>
      <c r="S231" s="365">
        <v>3</v>
      </c>
      <c r="T231" s="365">
        <v>4</v>
      </c>
      <c r="U231" s="363">
        <v>8</v>
      </c>
      <c r="V231" s="363">
        <v>10</v>
      </c>
      <c r="W231" s="363">
        <v>18</v>
      </c>
    </row>
    <row r="232" spans="2:23" ht="30" x14ac:dyDescent="0.25">
      <c r="B232" s="364" t="s">
        <v>864</v>
      </c>
      <c r="C232" s="363">
        <v>113</v>
      </c>
      <c r="D232" s="363">
        <v>105</v>
      </c>
      <c r="E232" s="363">
        <v>218</v>
      </c>
      <c r="F232" s="363">
        <v>1102</v>
      </c>
      <c r="G232" s="363">
        <v>1399</v>
      </c>
      <c r="H232" s="363">
        <v>2501</v>
      </c>
      <c r="I232" s="363" t="s">
        <v>804</v>
      </c>
      <c r="J232" s="363" t="s">
        <v>804</v>
      </c>
      <c r="K232" s="363" t="s">
        <v>804</v>
      </c>
      <c r="L232" s="363">
        <v>272</v>
      </c>
      <c r="M232" s="363">
        <v>74</v>
      </c>
      <c r="N232" s="363">
        <v>337</v>
      </c>
      <c r="O232" s="363" t="s">
        <v>804</v>
      </c>
      <c r="P232" s="363" t="s">
        <v>804</v>
      </c>
      <c r="Q232" s="363" t="s">
        <v>804</v>
      </c>
      <c r="R232" s="363">
        <v>60</v>
      </c>
      <c r="S232" s="363">
        <v>62</v>
      </c>
      <c r="T232" s="363">
        <v>123</v>
      </c>
      <c r="U232" s="363">
        <v>1518</v>
      </c>
      <c r="V232" s="363">
        <v>1623</v>
      </c>
      <c r="W232" s="363">
        <v>3141</v>
      </c>
    </row>
    <row r="233" spans="2:23" x14ac:dyDescent="0.25">
      <c r="B233" s="364" t="s">
        <v>834</v>
      </c>
      <c r="C233" s="363">
        <v>5862</v>
      </c>
      <c r="D233" s="363">
        <v>4634</v>
      </c>
      <c r="E233" s="363">
        <v>10496</v>
      </c>
      <c r="F233" s="363">
        <v>41988</v>
      </c>
      <c r="G233" s="363">
        <v>51767</v>
      </c>
      <c r="H233" s="363">
        <v>93755</v>
      </c>
      <c r="I233" s="363">
        <v>50026</v>
      </c>
      <c r="J233" s="363">
        <v>9515</v>
      </c>
      <c r="K233" s="363">
        <v>59541</v>
      </c>
      <c r="L233" s="363">
        <v>115939</v>
      </c>
      <c r="M233" s="363">
        <v>24130</v>
      </c>
      <c r="N233" s="363">
        <v>140069</v>
      </c>
      <c r="O233" s="363">
        <v>162263</v>
      </c>
      <c r="P233" s="363">
        <v>95221</v>
      </c>
      <c r="Q233" s="363">
        <v>257484</v>
      </c>
      <c r="R233" s="363">
        <v>13035</v>
      </c>
      <c r="S233" s="363">
        <v>7952</v>
      </c>
      <c r="T233" s="363">
        <v>20987</v>
      </c>
      <c r="U233" s="363">
        <v>389113</v>
      </c>
      <c r="V233" s="363">
        <v>193219</v>
      </c>
      <c r="W233" s="363">
        <v>582332</v>
      </c>
    </row>
    <row r="234" spans="2:23" ht="103.5" customHeight="1" x14ac:dyDescent="0.25">
      <c r="B234" s="428" t="s">
        <v>814</v>
      </c>
      <c r="C234" s="428"/>
      <c r="D234" s="428"/>
      <c r="E234" s="428"/>
      <c r="F234" s="428"/>
      <c r="G234" s="428"/>
      <c r="H234" s="428"/>
      <c r="I234" s="428"/>
      <c r="J234" s="428"/>
      <c r="K234" s="428"/>
      <c r="L234" s="428"/>
      <c r="M234" s="428"/>
      <c r="N234" s="428"/>
      <c r="O234" s="428"/>
      <c r="P234" s="428"/>
      <c r="Q234" s="428"/>
      <c r="R234" s="428"/>
      <c r="S234" s="428"/>
      <c r="T234" s="428"/>
    </row>
    <row r="235" spans="2:23" ht="30" customHeight="1" x14ac:dyDescent="0.25">
      <c r="B235" s="3"/>
      <c r="C235" s="3"/>
      <c r="D235" s="3"/>
      <c r="E235" s="3"/>
      <c r="F235" s="3"/>
      <c r="G235" s="3"/>
      <c r="H235" s="3"/>
    </row>
  </sheetData>
  <mergeCells count="38">
    <mergeCell ref="R7:T8"/>
    <mergeCell ref="B7:E9"/>
    <mergeCell ref="B10:E10"/>
    <mergeCell ref="B18:E18"/>
    <mergeCell ref="F8:H8"/>
    <mergeCell ref="I8:K8"/>
    <mergeCell ref="L8:N8"/>
    <mergeCell ref="O8:Q8"/>
    <mergeCell ref="B16:E16"/>
    <mergeCell ref="B17:E17"/>
    <mergeCell ref="B19:E19"/>
    <mergeCell ref="B234:T234"/>
    <mergeCell ref="B4:H4"/>
    <mergeCell ref="B5:H5"/>
    <mergeCell ref="B12:E12"/>
    <mergeCell ref="B15:E15"/>
    <mergeCell ref="B14:E14"/>
    <mergeCell ref="B13:E13"/>
    <mergeCell ref="B11:E11"/>
    <mergeCell ref="B21:E21"/>
    <mergeCell ref="B22:E22"/>
    <mergeCell ref="B24:E24"/>
    <mergeCell ref="B28:H28"/>
    <mergeCell ref="B29:H29"/>
    <mergeCell ref="B20:E20"/>
    <mergeCell ref="F7:Q7"/>
    <mergeCell ref="B23:E23"/>
    <mergeCell ref="B31:B33"/>
    <mergeCell ref="U31:W32"/>
    <mergeCell ref="C32:E32"/>
    <mergeCell ref="F32:H32"/>
    <mergeCell ref="I32:K32"/>
    <mergeCell ref="L32:N32"/>
    <mergeCell ref="O32:Q32"/>
    <mergeCell ref="R32:T32"/>
    <mergeCell ref="C31:T31"/>
    <mergeCell ref="B26:T26"/>
    <mergeCell ref="B25:E25"/>
  </mergeCell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W244"/>
  <sheetViews>
    <sheetView showGridLines="0" workbookViewId="0"/>
    <sheetView workbookViewId="1"/>
  </sheetViews>
  <sheetFormatPr baseColWidth="10" defaultColWidth="11.42578125" defaultRowHeight="15" outlineLevelRow="1" x14ac:dyDescent="0.25"/>
  <cols>
    <col min="1" max="1" width="7.5703125" style="7" customWidth="1"/>
    <col min="2" max="2" width="26.8554687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17" ht="23.25" x14ac:dyDescent="0.25">
      <c r="B2" s="1" t="s">
        <v>80</v>
      </c>
    </row>
    <row r="4" spans="2:17" ht="18.75" x14ac:dyDescent="0.3">
      <c r="B4" s="2" t="s">
        <v>810</v>
      </c>
      <c r="C4" s="2"/>
      <c r="D4" s="2"/>
      <c r="E4" s="2"/>
      <c r="F4" s="2"/>
      <c r="G4" s="2"/>
      <c r="H4" s="2"/>
      <c r="I4" s="8"/>
    </row>
    <row r="5" spans="2:17" x14ac:dyDescent="0.25">
      <c r="B5" s="15" t="s">
        <v>857</v>
      </c>
      <c r="C5" s="163"/>
      <c r="D5" s="163"/>
      <c r="E5" s="163"/>
      <c r="F5" s="163"/>
      <c r="G5" s="163"/>
      <c r="H5" s="163"/>
    </row>
    <row r="6" spans="2:17" x14ac:dyDescent="0.25">
      <c r="B6" s="213"/>
      <c r="C6" s="163"/>
      <c r="D6" s="163"/>
      <c r="E6" s="164"/>
      <c r="F6" s="164"/>
      <c r="G6" s="164"/>
      <c r="H6" s="164"/>
    </row>
    <row r="7" spans="2:17" x14ac:dyDescent="0.25">
      <c r="B7" s="441" t="s">
        <v>526</v>
      </c>
      <c r="C7" s="426" t="s">
        <v>481</v>
      </c>
      <c r="D7" s="426"/>
      <c r="E7" s="426"/>
      <c r="F7" s="426"/>
      <c r="G7" s="426"/>
      <c r="H7" s="426"/>
      <c r="I7" s="426"/>
      <c r="J7" s="426"/>
      <c r="K7" s="426"/>
      <c r="L7" s="426"/>
      <c r="M7" s="426"/>
      <c r="N7" s="426"/>
      <c r="O7" s="466" t="s">
        <v>697</v>
      </c>
      <c r="P7" s="467"/>
      <c r="Q7" s="468"/>
    </row>
    <row r="8" spans="2:17" ht="15" customHeight="1" x14ac:dyDescent="0.25">
      <c r="B8" s="441"/>
      <c r="C8" s="426" t="s">
        <v>658</v>
      </c>
      <c r="D8" s="426"/>
      <c r="E8" s="426"/>
      <c r="F8" s="426" t="s">
        <v>490</v>
      </c>
      <c r="G8" s="426"/>
      <c r="H8" s="426"/>
      <c r="I8" s="426" t="s">
        <v>4</v>
      </c>
      <c r="J8" s="426"/>
      <c r="K8" s="426"/>
      <c r="L8" s="426" t="s">
        <v>6</v>
      </c>
      <c r="M8" s="426"/>
      <c r="N8" s="426"/>
      <c r="O8" s="469"/>
      <c r="P8" s="470"/>
      <c r="Q8" s="471"/>
    </row>
    <row r="9" spans="2:17" x14ac:dyDescent="0.25">
      <c r="B9" s="441"/>
      <c r="C9" s="161" t="s">
        <v>76</v>
      </c>
      <c r="D9" s="161" t="s">
        <v>77</v>
      </c>
      <c r="E9" s="161" t="s">
        <v>28</v>
      </c>
      <c r="F9" s="161" t="s">
        <v>76</v>
      </c>
      <c r="G9" s="161" t="s">
        <v>77</v>
      </c>
      <c r="H9" s="161" t="s">
        <v>28</v>
      </c>
      <c r="I9" s="161" t="s">
        <v>76</v>
      </c>
      <c r="J9" s="161" t="s">
        <v>77</v>
      </c>
      <c r="K9" s="161" t="s">
        <v>28</v>
      </c>
      <c r="L9" s="161" t="s">
        <v>76</v>
      </c>
      <c r="M9" s="161" t="s">
        <v>77</v>
      </c>
      <c r="N9" s="161" t="s">
        <v>28</v>
      </c>
      <c r="O9" s="328" t="s">
        <v>76</v>
      </c>
      <c r="P9" s="328" t="s">
        <v>77</v>
      </c>
      <c r="Q9" s="328" t="s">
        <v>28</v>
      </c>
    </row>
    <row r="10" spans="2:17" x14ac:dyDescent="0.25">
      <c r="B10" s="313" t="s">
        <v>524</v>
      </c>
      <c r="C10" s="284">
        <f>IFERROR('2.4'!C10/'2.2'!C10,"")</f>
        <v>0.3968253968253968</v>
      </c>
      <c r="D10" s="284">
        <f>IFERROR('2.4'!D10/'2.2'!D10,"")</f>
        <v>0.11538461538461539</v>
      </c>
      <c r="E10" s="284">
        <f>IFERROR('2.4'!E10/'2.2'!E10,"")</f>
        <v>0.26956521739130435</v>
      </c>
      <c r="F10" s="284">
        <f>IFERROR('2.4'!F10/'2.2'!F10,"")</f>
        <v>0.62535211267605639</v>
      </c>
      <c r="G10" s="284">
        <f>IFERROR('2.4'!G10/'2.2'!G10,"")</f>
        <v>0.5889967637540453</v>
      </c>
      <c r="H10" s="284">
        <f>IFERROR('2.4'!H10/'2.2'!H10,"")</f>
        <v>0.60843373493975905</v>
      </c>
      <c r="I10" s="284">
        <f>IFERROR('2.4'!I10/'2.2'!I10,"")</f>
        <v>5.6603773584905662E-2</v>
      </c>
      <c r="J10" s="284">
        <f>IFERROR('2.4'!J10/'2.2'!J10,"")</f>
        <v>2.564102564102564E-2</v>
      </c>
      <c r="K10" s="284">
        <f>IFERROR('2.4'!K10/'2.2'!K10,"")</f>
        <v>4.3478260869565216E-2</v>
      </c>
      <c r="L10" s="284">
        <f>IFERROR('2.4'!L10/'2.2'!L10,"")</f>
        <v>0.33333333333333331</v>
      </c>
      <c r="M10" s="284">
        <f>IFERROR('2.4'!M10/'2.2'!M10,"")</f>
        <v>0.34285714285714286</v>
      </c>
      <c r="N10" s="284">
        <f>IFERROR('2.4'!N10/'2.2'!N10,"")</f>
        <v>0.33870967741935482</v>
      </c>
      <c r="O10" s="327">
        <f>IFERROR('2.4'!O10/'2.2'!O10,"")</f>
        <v>0.52008032128514059</v>
      </c>
      <c r="P10" s="327">
        <f>IFERROR('2.4'!P10/'2.2'!P10,"")</f>
        <v>0.46206896551724136</v>
      </c>
      <c r="Q10" s="327">
        <f>IFERROR('2.4'!Q10/'2.2'!Q10,"")</f>
        <v>0.49303322615219719</v>
      </c>
    </row>
    <row r="11" spans="2:17" x14ac:dyDescent="0.25">
      <c r="B11" s="314" t="s">
        <v>510</v>
      </c>
      <c r="C11" s="284">
        <f>IFERROR('2.4'!C11/'2.2'!C11,"")</f>
        <v>0.28333333333333333</v>
      </c>
      <c r="D11" s="284">
        <f>IFERROR('2.4'!D11/'2.2'!D11,"")</f>
        <v>6.8181818181818177E-2</v>
      </c>
      <c r="E11" s="284">
        <f>IFERROR('2.4'!E11/'2.2'!E11,"")</f>
        <v>0.19230769230769232</v>
      </c>
      <c r="F11" s="284">
        <f>IFERROR('2.4'!F11/'2.2'!F11,"")</f>
        <v>0.62796208530805686</v>
      </c>
      <c r="G11" s="284">
        <f>IFERROR('2.4'!G11/'2.2'!G11,"")</f>
        <v>0.65144230769230771</v>
      </c>
      <c r="H11" s="284">
        <f>IFERROR('2.4'!H11/'2.2'!H11,"")</f>
        <v>0.63961813842482096</v>
      </c>
      <c r="I11" s="284">
        <f>IFERROR('2.4'!I11/'2.2'!I11,"")</f>
        <v>3.7037037037037035E-2</v>
      </c>
      <c r="J11" s="284">
        <f>IFERROR('2.4'!J11/'2.2'!J11,"")</f>
        <v>7.1428571428571425E-2</v>
      </c>
      <c r="K11" s="284">
        <f>IFERROR('2.4'!K11/'2.2'!K11,"")</f>
        <v>4.5871559633027525E-2</v>
      </c>
      <c r="L11" s="284">
        <f>IFERROR('2.4'!L11/'2.2'!L11,"")</f>
        <v>0.4375</v>
      </c>
      <c r="M11" s="284">
        <f>IFERROR('2.4'!M11/'2.2'!M11,"")</f>
        <v>0.56756756756756754</v>
      </c>
      <c r="N11" s="284">
        <f>IFERROR('2.4'!N11/'2.2'!N11,"")</f>
        <v>0.50724637681159424</v>
      </c>
      <c r="O11" s="327">
        <f>IFERROR('2.4'!O11/'2.2'!O11,"")</f>
        <v>0.50252100840336134</v>
      </c>
      <c r="P11" s="327">
        <f>IFERROR('2.4'!P11/'2.2'!P11,"")</f>
        <v>0.56571428571428573</v>
      </c>
      <c r="Q11" s="327">
        <f>IFERROR('2.4'!Q11/'2.2'!Q11,"")</f>
        <v>0.53214285714285714</v>
      </c>
    </row>
    <row r="12" spans="2:17" x14ac:dyDescent="0.25">
      <c r="B12" s="314" t="s">
        <v>511</v>
      </c>
      <c r="C12" s="284">
        <f>IFERROR('2.4'!C12/'2.2'!C12,"")</f>
        <v>0.19047619047619047</v>
      </c>
      <c r="D12" s="284">
        <f>IFERROR('2.4'!D12/'2.2'!D12,"")</f>
        <v>4.1666666666666664E-2</v>
      </c>
      <c r="E12" s="284">
        <f>IFERROR('2.4'!E12/'2.2'!E12,"")</f>
        <v>0.12994350282485875</v>
      </c>
      <c r="F12" s="284">
        <f>IFERROR('2.4'!F12/'2.2'!F12,"")</f>
        <v>0.65909090909090906</v>
      </c>
      <c r="G12" s="284">
        <f>IFERROR('2.4'!G12/'2.2'!G12,"")</f>
        <v>0.66379310344827591</v>
      </c>
      <c r="H12" s="284">
        <f>IFERROR('2.4'!H12/'2.2'!H12,"")</f>
        <v>0.66140776699029125</v>
      </c>
      <c r="I12" s="284">
        <f>IFERROR('2.4'!I12/'2.2'!I12,"")</f>
        <v>3.3057851239669422E-2</v>
      </c>
      <c r="J12" s="284">
        <f>IFERROR('2.4'!J12/'2.2'!J12,"")</f>
        <v>4.1666666666666664E-2</v>
      </c>
      <c r="K12" s="284">
        <f>IFERROR('2.4'!K12/'2.2'!K12,"")</f>
        <v>3.5502958579881658E-2</v>
      </c>
      <c r="L12" s="284">
        <f>IFERROR('2.4'!L12/'2.2'!L12,"")</f>
        <v>0.5</v>
      </c>
      <c r="M12" s="284">
        <f>IFERROR('2.4'!M12/'2.2'!M12,"")</f>
        <v>0.36363636363636365</v>
      </c>
      <c r="N12" s="284">
        <f>IFERROR('2.4'!N12/'2.2'!N12,"")</f>
        <v>0.40625</v>
      </c>
      <c r="O12" s="327">
        <f>IFERROR('2.4'!O12/'2.2'!O12,"")</f>
        <v>0.5406654343807763</v>
      </c>
      <c r="P12" s="327">
        <f>IFERROR('2.4'!P12/'2.2'!P12,"")</f>
        <v>0.57377049180327866</v>
      </c>
      <c r="Q12" s="327">
        <f>IFERROR('2.4'!Q12/'2.2'!Q12,"")</f>
        <v>0.55636540330417883</v>
      </c>
    </row>
    <row r="13" spans="2:17" x14ac:dyDescent="0.25">
      <c r="B13" s="314" t="s">
        <v>512</v>
      </c>
      <c r="C13" s="284">
        <f>IFERROR('2.4'!C13/'2.2'!C13,"")</f>
        <v>0.38235294117647056</v>
      </c>
      <c r="D13" s="284">
        <f>IFERROR('2.4'!D13/'2.2'!D13,"")</f>
        <v>0.14084507042253522</v>
      </c>
      <c r="E13" s="284">
        <f>IFERROR('2.4'!E13/'2.2'!E13,"")</f>
        <v>0.25899280575539568</v>
      </c>
      <c r="F13" s="284">
        <f>IFERROR('2.4'!F13/'2.2'!F13,"")</f>
        <v>0.69246861924686187</v>
      </c>
      <c r="G13" s="284">
        <f>IFERROR('2.4'!G13/'2.2'!G13,"")</f>
        <v>0.68008474576271183</v>
      </c>
      <c r="H13" s="284">
        <f>IFERROR('2.4'!H13/'2.2'!H13,"")</f>
        <v>0.68631578947368421</v>
      </c>
      <c r="I13" s="284">
        <f>IFERROR('2.4'!I13/'2.2'!I13,"")</f>
        <v>3.5294117647058823E-2</v>
      </c>
      <c r="J13" s="284">
        <f>IFERROR('2.4'!J13/'2.2'!J13,"")</f>
        <v>9.375E-2</v>
      </c>
      <c r="K13" s="284">
        <f>IFERROR('2.4'!K13/'2.2'!K13,"")</f>
        <v>5.128205128205128E-2</v>
      </c>
      <c r="L13" s="284">
        <f>IFERROR('2.4'!L13/'2.2'!L13,"")</f>
        <v>0.22727272727272727</v>
      </c>
      <c r="M13" s="284">
        <f>IFERROR('2.4'!M13/'2.2'!M13,"")</f>
        <v>0.51282051282051277</v>
      </c>
      <c r="N13" s="284">
        <f>IFERROR('2.4'!N13/'2.2'!N13,"")</f>
        <v>0.4098360655737705</v>
      </c>
      <c r="O13" s="327">
        <f>IFERROR('2.4'!O13/'2.2'!O13,"")</f>
        <v>0.55895865237366005</v>
      </c>
      <c r="P13" s="327">
        <f>IFERROR('2.4'!P13/'2.2'!P13,"")</f>
        <v>0.57654723127035834</v>
      </c>
      <c r="Q13" s="327">
        <f>IFERROR('2.4'!Q13/'2.2'!Q13,"")</f>
        <v>0.56748224151539073</v>
      </c>
    </row>
    <row r="14" spans="2:17" x14ac:dyDescent="0.25">
      <c r="B14" s="314" t="s">
        <v>513</v>
      </c>
      <c r="C14" s="284">
        <f>IFERROR('2.4'!C14/'2.2'!C14,"")</f>
        <v>0.3452914798206278</v>
      </c>
      <c r="D14" s="284">
        <f>IFERROR('2.4'!D14/'2.2'!D14,"")</f>
        <v>0.20108695652173914</v>
      </c>
      <c r="E14" s="284">
        <f>IFERROR('2.4'!E14/'2.2'!E14,"")</f>
        <v>0.28009828009828008</v>
      </c>
      <c r="F14" s="284">
        <f>IFERROR('2.4'!F14/'2.2'!F14,"")</f>
        <v>0.67490347490347491</v>
      </c>
      <c r="G14" s="284">
        <f>IFERROR('2.4'!G14/'2.2'!G14,"")</f>
        <v>0.68558558558558558</v>
      </c>
      <c r="H14" s="284">
        <f>IFERROR('2.4'!H14/'2.2'!H14,"")</f>
        <v>0.67983367983367982</v>
      </c>
      <c r="I14" s="284">
        <f>IFERROR('2.4'!I14/'2.2'!I14,"")</f>
        <v>5.0179211469534052E-2</v>
      </c>
      <c r="J14" s="284">
        <f>IFERROR('2.4'!J14/'2.2'!J14,"")</f>
        <v>6.7796610169491525E-2</v>
      </c>
      <c r="K14" s="284">
        <f>IFERROR('2.4'!K14/'2.2'!K14,"")</f>
        <v>5.5415617128463476E-2</v>
      </c>
      <c r="L14" s="284">
        <f>IFERROR('2.4'!L14/'2.2'!L14,"")</f>
        <v>0.43243243243243246</v>
      </c>
      <c r="M14" s="284">
        <f>IFERROR('2.4'!M14/'2.2'!M14,"")</f>
        <v>0.5130434782608696</v>
      </c>
      <c r="N14" s="284">
        <f>IFERROR('2.4'!N14/'2.2'!N14,"")</f>
        <v>0.48148148148148145</v>
      </c>
      <c r="O14" s="327">
        <f>IFERROR('2.4'!O14/'2.2'!O14,"")</f>
        <v>0.532870122928915</v>
      </c>
      <c r="P14" s="327">
        <f>IFERROR('2.4'!P14/'2.2'!P14,"")</f>
        <v>0.56647020301244266</v>
      </c>
      <c r="Q14" s="327">
        <f>IFERROR('2.4'!Q14/'2.2'!Q14,"")</f>
        <v>0.54796939376103593</v>
      </c>
    </row>
    <row r="15" spans="2:17" x14ac:dyDescent="0.25">
      <c r="B15" s="314" t="s">
        <v>514</v>
      </c>
      <c r="C15" s="284">
        <f>IFERROR('2.4'!C15/'2.2'!C15,"")</f>
        <v>0.39215686274509803</v>
      </c>
      <c r="D15" s="284">
        <f>IFERROR('2.4'!D15/'2.2'!D15,"")</f>
        <v>0.17267552182163187</v>
      </c>
      <c r="E15" s="284">
        <f>IFERROR('2.4'!E15/'2.2'!E15,"")</f>
        <v>0.2906057945566286</v>
      </c>
      <c r="F15" s="284">
        <f>IFERROR('2.4'!F15/'2.2'!F15,"")</f>
        <v>0.66702155975512378</v>
      </c>
      <c r="G15" s="284">
        <f>IFERROR('2.4'!G15/'2.2'!G15,"")</f>
        <v>0.68332160450387047</v>
      </c>
      <c r="H15" s="284">
        <f>IFERROR('2.4'!H15/'2.2'!H15,"")</f>
        <v>0.67404152144264284</v>
      </c>
      <c r="I15" s="284">
        <f>IFERROR('2.4'!I15/'2.2'!I15,"")</f>
        <v>4.710144927536232E-2</v>
      </c>
      <c r="J15" s="284">
        <f>IFERROR('2.4'!J15/'2.2'!J15,"")</f>
        <v>6.7729083665338641E-2</v>
      </c>
      <c r="K15" s="284">
        <f>IFERROR('2.4'!K15/'2.2'!K15,"")</f>
        <v>5.3549190535491904E-2</v>
      </c>
      <c r="L15" s="284">
        <f>IFERROR('2.4'!L15/'2.2'!L15,"")</f>
        <v>0.40972222222222221</v>
      </c>
      <c r="M15" s="284">
        <f>IFERROR('2.4'!M15/'2.2'!M15,"")</f>
        <v>0.45748987854251011</v>
      </c>
      <c r="N15" s="284">
        <f>IFERROR('2.4'!N15/'2.2'!N15,"")</f>
        <v>0.43989769820971869</v>
      </c>
      <c r="O15" s="327">
        <f>IFERROR('2.4'!O15/'2.2'!O15,"")</f>
        <v>0.55893385982230992</v>
      </c>
      <c r="P15" s="327">
        <f>IFERROR('2.4'!P15/'2.2'!P15,"")</f>
        <v>0.5593483320403414</v>
      </c>
      <c r="Q15" s="327">
        <f>IFERROR('2.4'!Q15/'2.2'!Q15,"")</f>
        <v>0.55911330049261088</v>
      </c>
    </row>
    <row r="16" spans="2:17" ht="30" x14ac:dyDescent="0.25">
      <c r="B16" s="314" t="s">
        <v>522</v>
      </c>
      <c r="C16" s="284">
        <f>IFERROR('2.4'!C16/'2.2'!C16,"")</f>
        <v>0.3577371048252912</v>
      </c>
      <c r="D16" s="284">
        <f>IFERROR('2.4'!D16/'2.2'!D16,"")</f>
        <v>0.11309949892627058</v>
      </c>
      <c r="E16" s="284">
        <f>IFERROR('2.4'!E16/'2.2'!E16,"")</f>
        <v>0.25093749999999998</v>
      </c>
      <c r="F16" s="284">
        <f>IFERROR('2.4'!F16/'2.2'!F16,"")</f>
        <v>0.6327023761578735</v>
      </c>
      <c r="G16" s="284">
        <f>IFERROR('2.4'!G16/'2.2'!G16,"")</f>
        <v>0.63140379185155304</v>
      </c>
      <c r="H16" s="284">
        <f>IFERROR('2.4'!H16/'2.2'!H16,"")</f>
        <v>0.63212574448076664</v>
      </c>
      <c r="I16" s="284">
        <f>IFERROR('2.4'!I16/'2.2'!I16,"")</f>
        <v>4.7687861271676298E-2</v>
      </c>
      <c r="J16" s="284">
        <f>IFERROR('2.4'!J16/'2.2'!J16,"")</f>
        <v>9.0090090090090086E-2</v>
      </c>
      <c r="K16" s="284">
        <f>IFERROR('2.4'!K16/'2.2'!K16,"")</f>
        <v>6.1463414634146341E-2</v>
      </c>
      <c r="L16" s="284">
        <f>IFERROR('2.4'!L16/'2.2'!L16,"")</f>
        <v>0.46335697399527187</v>
      </c>
      <c r="M16" s="284">
        <f>IFERROR('2.4'!M16/'2.2'!M16,"")</f>
        <v>0.51724137931034486</v>
      </c>
      <c r="N16" s="284">
        <f>IFERROR('2.4'!N16/'2.2'!N16,"")</f>
        <v>0.49575871819038642</v>
      </c>
      <c r="O16" s="327">
        <f>IFERROR('2.4'!O16/'2.2'!O16,"")</f>
        <v>0.54677067082683306</v>
      </c>
      <c r="P16" s="327">
        <f>IFERROR('2.4'!P16/'2.2'!P16,"")</f>
        <v>0.53966870095902353</v>
      </c>
      <c r="Q16" s="327">
        <f>IFERROR('2.4'!Q16/'2.2'!Q16,"")</f>
        <v>0.5436422037567209</v>
      </c>
    </row>
    <row r="17" spans="2:23" ht="30" x14ac:dyDescent="0.25">
      <c r="B17" s="314" t="s">
        <v>515</v>
      </c>
      <c r="C17" s="284">
        <f>IFERROR('2.4'!C17/'2.2'!C17,"")</f>
        <v>0.49190938511326859</v>
      </c>
      <c r="D17" s="284">
        <f>IFERROR('2.4'!D17/'2.2'!D17,"")</f>
        <v>0.27017543859649124</v>
      </c>
      <c r="E17" s="284">
        <f>IFERROR('2.4'!E17/'2.2'!E17,"")</f>
        <v>0.38552188552188554</v>
      </c>
      <c r="F17" s="284">
        <f>IFERROR('2.4'!F17/'2.2'!F17,"")</f>
        <v>0.70512820512820518</v>
      </c>
      <c r="G17" s="284">
        <f>IFERROR('2.4'!G17/'2.2'!G17,"")</f>
        <v>0.71667699938003715</v>
      </c>
      <c r="H17" s="284">
        <f>IFERROR('2.4'!H17/'2.2'!H17,"")</f>
        <v>0.71072394112346049</v>
      </c>
      <c r="I17" s="284">
        <f>IFERROR('2.4'!I17/'2.2'!I17,"")</f>
        <v>7.6470588235294124E-2</v>
      </c>
      <c r="J17" s="284">
        <f>IFERROR('2.4'!J17/'2.2'!J17,"")</f>
        <v>9.166666666666666E-2</v>
      </c>
      <c r="K17" s="284">
        <f>IFERROR('2.4'!K17/'2.2'!K17,"")</f>
        <v>8.0434782608695646E-2</v>
      </c>
      <c r="L17" s="284">
        <f>IFERROR('2.4'!L17/'2.2'!L17,"")</f>
        <v>0.47706422018348627</v>
      </c>
      <c r="M17" s="284">
        <f>IFERROR('2.4'!M17/'2.2'!M17,"")</f>
        <v>0.52873563218390807</v>
      </c>
      <c r="N17" s="284">
        <f>IFERROR('2.4'!N17/'2.2'!N17,"")</f>
        <v>0.50883392226148405</v>
      </c>
      <c r="O17" s="327">
        <f>IFERROR('2.4'!O17/'2.2'!O17,"")</f>
        <v>0.58205335489086496</v>
      </c>
      <c r="P17" s="327">
        <f>IFERROR('2.4'!P17/'2.2'!P17,"")</f>
        <v>0.60948905109489049</v>
      </c>
      <c r="Q17" s="327">
        <f>IFERROR('2.4'!Q17/'2.2'!Q17,"")</f>
        <v>0.59494213459065581</v>
      </c>
    </row>
    <row r="18" spans="2:23" x14ac:dyDescent="0.25">
      <c r="B18" s="160" t="s">
        <v>516</v>
      </c>
      <c r="C18" s="284">
        <f>IFERROR('2.4'!C18/'2.2'!C18,"")</f>
        <v>0.51038575667655783</v>
      </c>
      <c r="D18" s="284">
        <f>IFERROR('2.4'!D18/'2.2'!D18,"")</f>
        <v>0.29667519181585678</v>
      </c>
      <c r="E18" s="284">
        <f>IFERROR('2.4'!E18/'2.2'!E18,"")</f>
        <v>0.39560439560439559</v>
      </c>
      <c r="F18" s="284">
        <f>IFERROR('2.4'!F18/'2.2'!F18,"")</f>
        <v>0.67811839323467227</v>
      </c>
      <c r="G18" s="284">
        <f>IFERROR('2.4'!G18/'2.2'!G18,"")</f>
        <v>0.69665513264129186</v>
      </c>
      <c r="H18" s="284">
        <f>IFERROR('2.4'!H18/'2.2'!H18,"")</f>
        <v>0.68698290126861561</v>
      </c>
      <c r="I18" s="284">
        <f>IFERROR('2.4'!I18/'2.2'!I18,"")</f>
        <v>4.1189931350114416E-2</v>
      </c>
      <c r="J18" s="284">
        <f>IFERROR('2.4'!J18/'2.2'!J18,"")</f>
        <v>8.8757396449704137E-2</v>
      </c>
      <c r="K18" s="284">
        <f>IFERROR('2.4'!K18/'2.2'!K18,"")</f>
        <v>5.4455445544554455E-2</v>
      </c>
      <c r="L18" s="284">
        <f>IFERROR('2.4'!L18/'2.2'!L18,"")</f>
        <v>0.29565217391304349</v>
      </c>
      <c r="M18" s="284">
        <f>IFERROR('2.4'!M18/'2.2'!M18,"")</f>
        <v>0.39634146341463417</v>
      </c>
      <c r="N18" s="284">
        <f>IFERROR('2.4'!N18/'2.2'!N18,"")</f>
        <v>0.35483870967741937</v>
      </c>
      <c r="O18" s="327">
        <f>IFERROR('2.4'!O18/'2.2'!O18,"")</f>
        <v>0.54189140596907592</v>
      </c>
      <c r="P18" s="327">
        <f>IFERROR('2.4'!P18/'2.2'!P18,"")</f>
        <v>0.57119609438567942</v>
      </c>
      <c r="Q18" s="327">
        <f>IFERROR('2.4'!Q18/'2.2'!Q18,"")</f>
        <v>0.55564038938728766</v>
      </c>
    </row>
    <row r="19" spans="2:23" x14ac:dyDescent="0.25">
      <c r="B19" s="160" t="s">
        <v>865</v>
      </c>
      <c r="C19" s="284">
        <f>IFERROR('2.4'!C19/'2.2'!C19,"")</f>
        <v>0.51674641148325362</v>
      </c>
      <c r="D19" s="284">
        <f>IFERROR('2.4'!D19/'2.2'!D19,"")</f>
        <v>0.36263736263736263</v>
      </c>
      <c r="E19" s="284">
        <f>IFERROR('2.4'!E19/'2.2'!E19,"")</f>
        <v>0.44501278772378516</v>
      </c>
      <c r="F19" s="284">
        <f>IFERROR('2.4'!F19/'2.2'!F19,"")</f>
        <v>0.60983606557377046</v>
      </c>
      <c r="G19" s="284">
        <f>IFERROR('2.4'!G19/'2.2'!G19,"")</f>
        <v>0.67672955974842763</v>
      </c>
      <c r="H19" s="284">
        <f>IFERROR('2.4'!H19/'2.2'!H19,"")</f>
        <v>0.64093567251461991</v>
      </c>
      <c r="I19" s="284">
        <f>IFERROR('2.4'!I19/'2.2'!I19,"")</f>
        <v>3.4852546916890083E-2</v>
      </c>
      <c r="J19" s="284">
        <f>IFERROR('2.4'!J19/'2.2'!J19,"")</f>
        <v>9.0909090909090912E-2</v>
      </c>
      <c r="K19" s="284">
        <f>IFERROR('2.4'!K19/'2.2'!K19,"")</f>
        <v>4.9504950495049507E-2</v>
      </c>
      <c r="L19" s="284">
        <f>IFERROR('2.4'!L19/'2.2'!L19,"")</f>
        <v>0.42168674698795183</v>
      </c>
      <c r="M19" s="284">
        <f>IFERROR('2.4'!M19/'2.2'!M19,"")</f>
        <v>0.5</v>
      </c>
      <c r="N19" s="284">
        <f>IFERROR('2.4'!N19/'2.2'!N19,"")</f>
        <v>0.46486486486486489</v>
      </c>
      <c r="O19" s="327">
        <f>IFERROR('2.4'!O19/'2.2'!O19,"")</f>
        <v>0.45189873417721521</v>
      </c>
      <c r="P19" s="327">
        <f>IFERROR('2.4'!P19/'2.2'!P19,"")</f>
        <v>0.55078447563996702</v>
      </c>
      <c r="Q19" s="327">
        <f>IFERROR('2.4'!Q19/'2.2'!Q19,"")</f>
        <v>0.49480472948763882</v>
      </c>
    </row>
    <row r="20" spans="2:23" x14ac:dyDescent="0.25">
      <c r="B20" s="160" t="s">
        <v>517</v>
      </c>
      <c r="C20" s="284">
        <f>IFERROR('2.4'!C20/'2.2'!C20,"")</f>
        <v>0.46379310344827585</v>
      </c>
      <c r="D20" s="284">
        <f>IFERROR('2.4'!D20/'2.2'!D20,"")</f>
        <v>0.24407582938388625</v>
      </c>
      <c r="E20" s="284">
        <f>IFERROR('2.4'!E20/'2.2'!E20,"")</f>
        <v>0.3712574850299401</v>
      </c>
      <c r="F20" s="284">
        <f>IFERROR('2.4'!F20/'2.2'!F20,"")</f>
        <v>0.67611052815669814</v>
      </c>
      <c r="G20" s="284">
        <f>IFERROR('2.4'!G20/'2.2'!G20,"")</f>
        <v>0.68850380388841925</v>
      </c>
      <c r="H20" s="284">
        <f>IFERROR('2.4'!H20/'2.2'!H20,"")</f>
        <v>0.68172248803827751</v>
      </c>
      <c r="I20" s="284">
        <f>IFERROR('2.4'!I20/'2.2'!I20,"")</f>
        <v>4.4444444444444446E-2</v>
      </c>
      <c r="J20" s="284">
        <f>IFERROR('2.4'!J20/'2.2'!J20,"")</f>
        <v>0.11155378486055777</v>
      </c>
      <c r="K20" s="284">
        <f>IFERROR('2.4'!K20/'2.2'!K20,"")</f>
        <v>6.2634989200863925E-2</v>
      </c>
      <c r="L20" s="284">
        <f>IFERROR('2.4'!L20/'2.2'!L20,"")</f>
        <v>0.42483660130718953</v>
      </c>
      <c r="M20" s="284">
        <f>IFERROR('2.4'!M20/'2.2'!M20,"")</f>
        <v>0.53508771929824561</v>
      </c>
      <c r="N20" s="284">
        <f>IFERROR('2.4'!N20/'2.2'!N20,"")</f>
        <v>0.49081364829396323</v>
      </c>
      <c r="O20" s="327">
        <f>IFERROR('2.4'!O20/'2.2'!O20,"")</f>
        <v>0.53831731895945634</v>
      </c>
      <c r="P20" s="327">
        <f>IFERROR('2.4'!P20/'2.2'!P20,"")</f>
        <v>0.5760636669727579</v>
      </c>
      <c r="Q20" s="327">
        <f>IFERROR('2.4'!Q20/'2.2'!Q20,"")</f>
        <v>0.55468542606848947</v>
      </c>
    </row>
    <row r="21" spans="2:23" x14ac:dyDescent="0.25">
      <c r="B21" s="160" t="s">
        <v>518</v>
      </c>
      <c r="C21" s="284">
        <f>IFERROR('2.4'!C21/'2.2'!C21,"")</f>
        <v>0.39365079365079364</v>
      </c>
      <c r="D21" s="284">
        <f>IFERROR('2.4'!D21/'2.2'!D21,"")</f>
        <v>0.15018315018315018</v>
      </c>
      <c r="E21" s="284">
        <f>IFERROR('2.4'!E21/'2.2'!E21,"")</f>
        <v>0.28061224489795916</v>
      </c>
      <c r="F21" s="284">
        <f>IFERROR('2.4'!F21/'2.2'!F21,"")</f>
        <v>0.65476923076923077</v>
      </c>
      <c r="G21" s="284">
        <f>IFERROR('2.4'!G21/'2.2'!G21,"")</f>
        <v>0.7009162303664922</v>
      </c>
      <c r="H21" s="284">
        <f>IFERROR('2.4'!H21/'2.2'!H21,"")</f>
        <v>0.67713288931176652</v>
      </c>
      <c r="I21" s="284">
        <f>IFERROR('2.4'!I21/'2.2'!I21,"")</f>
        <v>3.5000000000000003E-2</v>
      </c>
      <c r="J21" s="284">
        <f>IFERROR('2.4'!J21/'2.2'!J21,"")</f>
        <v>9.1787439613526575E-2</v>
      </c>
      <c r="K21" s="284">
        <f>IFERROR('2.4'!K21/'2.2'!K21,"")</f>
        <v>5.4365733113673806E-2</v>
      </c>
      <c r="L21" s="284">
        <f>IFERROR('2.4'!L21/'2.2'!L21,"")</f>
        <v>0.35869565217391303</v>
      </c>
      <c r="M21" s="284">
        <f>IFERROR('2.4'!M21/'2.2'!M21,"")</f>
        <v>0.45882352941176469</v>
      </c>
      <c r="N21" s="284">
        <f>IFERROR('2.4'!N21/'2.2'!N21,"")</f>
        <v>0.42366412213740456</v>
      </c>
      <c r="O21" s="327">
        <f>IFERROR('2.4'!O21/'2.2'!O21,"")</f>
        <v>0.5078125</v>
      </c>
      <c r="P21" s="327">
        <f>IFERROR('2.4'!P21/'2.2'!P21,"")</f>
        <v>0.55509641873278237</v>
      </c>
      <c r="Q21" s="327">
        <f>IFERROR('2.4'!Q21/'2.2'!Q21,"")</f>
        <v>0.53015184381778746</v>
      </c>
    </row>
    <row r="22" spans="2:23" x14ac:dyDescent="0.25">
      <c r="B22" s="160" t="s">
        <v>523</v>
      </c>
      <c r="C22" s="284">
        <f>IFERROR('2.4'!C22/'2.2'!C22,"")</f>
        <v>0.44805194805194803</v>
      </c>
      <c r="D22" s="284">
        <f>IFERROR('2.4'!D22/'2.2'!D22,"")</f>
        <v>0.21212121212121213</v>
      </c>
      <c r="E22" s="284">
        <f>IFERROR('2.4'!E22/'2.2'!E22,"")</f>
        <v>0.35573122529644269</v>
      </c>
      <c r="F22" s="284">
        <f>IFERROR('2.4'!F22/'2.2'!F22,"")</f>
        <v>0.6297335203366059</v>
      </c>
      <c r="G22" s="284">
        <f>IFERROR('2.4'!G22/'2.2'!G22,"")</f>
        <v>0.66984126984126979</v>
      </c>
      <c r="H22" s="284">
        <f>IFERROR('2.4'!H22/'2.2'!H22,"")</f>
        <v>0.64854802680565893</v>
      </c>
      <c r="I22" s="284">
        <f>IFERROR('2.4'!I22/'2.2'!I22,"")</f>
        <v>5.7142857142857141E-2</v>
      </c>
      <c r="J22" s="284">
        <f>IFERROR('2.4'!J22/'2.2'!J22,"")</f>
        <v>0.15714285714285714</v>
      </c>
      <c r="K22" s="284">
        <f>IFERROR('2.4'!K22/'2.2'!K22,"")</f>
        <v>8.5714285714285715E-2</v>
      </c>
      <c r="L22" s="284">
        <f>IFERROR('2.4'!L22/'2.2'!L22,"")</f>
        <v>0.42372881355932202</v>
      </c>
      <c r="M22" s="284">
        <f>IFERROR('2.4'!M22/'2.2'!M22,"")</f>
        <v>0.44761904761904764</v>
      </c>
      <c r="N22" s="284">
        <f>IFERROR('2.4'!N22/'2.2'!N22,"")</f>
        <v>0.43902439024390244</v>
      </c>
      <c r="O22" s="327">
        <f>IFERROR('2.4'!O22/'2.2'!O22,"")</f>
        <v>0.50227066303360579</v>
      </c>
      <c r="P22" s="327">
        <f>IFERROR('2.4'!P22/'2.2'!P22,"")</f>
        <v>0.55420353982300885</v>
      </c>
      <c r="Q22" s="327">
        <f>IFERROR('2.4'!Q22/'2.2'!Q22,"")</f>
        <v>0.52568578553615963</v>
      </c>
    </row>
    <row r="23" spans="2:23" x14ac:dyDescent="0.25">
      <c r="B23" s="160" t="s">
        <v>519</v>
      </c>
      <c r="C23" s="284">
        <f>IFERROR('2.4'!C23/'2.2'!C23,"")</f>
        <v>0.45751633986928103</v>
      </c>
      <c r="D23" s="284">
        <f>IFERROR('2.4'!D23/'2.2'!D23,"")</f>
        <v>0.19557195571955718</v>
      </c>
      <c r="E23" s="284">
        <f>IFERROR('2.4'!E23/'2.2'!E23,"")</f>
        <v>0.33448873483535529</v>
      </c>
      <c r="F23" s="284">
        <f>IFERROR('2.4'!F23/'2.2'!F23,"")</f>
        <v>0.66619115549215402</v>
      </c>
      <c r="G23" s="284">
        <f>IFERROR('2.4'!G23/'2.2'!G23,"")</f>
        <v>0.66863406408094439</v>
      </c>
      <c r="H23" s="284">
        <f>IFERROR('2.4'!H23/'2.2'!H23,"")</f>
        <v>0.66731066460587329</v>
      </c>
      <c r="I23" s="284">
        <f>IFERROR('2.4'!I23/'2.2'!I23,"")</f>
        <v>4.0214477211796246E-2</v>
      </c>
      <c r="J23" s="284">
        <f>IFERROR('2.4'!J23/'2.2'!J23,"")</f>
        <v>8.7209302325581398E-2</v>
      </c>
      <c r="K23" s="284">
        <f>IFERROR('2.4'!K23/'2.2'!K23,"")</f>
        <v>5.5045871559633031E-2</v>
      </c>
      <c r="L23" s="284">
        <f>IFERROR('2.4'!L23/'2.2'!L23,"")</f>
        <v>0.38383838383838381</v>
      </c>
      <c r="M23" s="284">
        <f>IFERROR('2.4'!M23/'2.2'!M23,"")</f>
        <v>0.50955414012738853</v>
      </c>
      <c r="N23" s="284">
        <f>IFERROR('2.4'!N23/'2.2'!N23,"")</f>
        <v>0.4609375</v>
      </c>
      <c r="O23" s="327">
        <f>IFERROR('2.4'!O23/'2.2'!O23,"")</f>
        <v>0.51697247706422023</v>
      </c>
      <c r="P23" s="327">
        <f>IFERROR('2.4'!P23/'2.2'!P23,"")</f>
        <v>0.52687569988801797</v>
      </c>
      <c r="Q23" s="327">
        <f>IFERROR('2.4'!Q23/'2.2'!Q23,"")</f>
        <v>0.52143217347453352</v>
      </c>
    </row>
    <row r="24" spans="2:23" ht="30" x14ac:dyDescent="0.25">
      <c r="B24" s="160" t="s">
        <v>520</v>
      </c>
      <c r="C24" s="284">
        <f>IFERROR('2.4'!C24/'2.2'!C24,"")</f>
        <v>0.22222222222222221</v>
      </c>
      <c r="D24" s="284">
        <f>IFERROR('2.4'!D24/'2.2'!D24,"")</f>
        <v>0.04</v>
      </c>
      <c r="E24" s="284">
        <f>IFERROR('2.4'!E24/'2.2'!E24,"")</f>
        <v>0.13461538461538461</v>
      </c>
      <c r="F24" s="284">
        <f>IFERROR('2.4'!F24/'2.2'!F24,"")</f>
        <v>0.67664670658682635</v>
      </c>
      <c r="G24" s="284">
        <f>IFERROR('2.4'!G24/'2.2'!G24,"")</f>
        <v>0.67625899280575541</v>
      </c>
      <c r="H24" s="284">
        <f>IFERROR('2.4'!H24/'2.2'!H24,"")</f>
        <v>0.67647058823529416</v>
      </c>
      <c r="I24" s="284">
        <f>IFERROR('2.4'!I24/'2.2'!I24,"")</f>
        <v>0</v>
      </c>
      <c r="J24" s="284">
        <f>IFERROR('2.4'!J24/'2.2'!J24,"")</f>
        <v>0</v>
      </c>
      <c r="K24" s="284">
        <f>IFERROR('2.4'!K24/'2.2'!K24,"")</f>
        <v>0</v>
      </c>
      <c r="L24" s="284">
        <f>IFERROR('2.4'!L24/'2.2'!L24,"")</f>
        <v>0.66666666666666663</v>
      </c>
      <c r="M24" s="284">
        <f>IFERROR('2.4'!M24/'2.2'!M24,"")</f>
        <v>0.21428571428571427</v>
      </c>
      <c r="N24" s="284">
        <f>IFERROR('2.4'!N24/'2.2'!N24,"")</f>
        <v>0.42307692307692307</v>
      </c>
      <c r="O24" s="327">
        <f>IFERROR('2.4'!O24/'2.2'!O24,"")</f>
        <v>0.54273504273504269</v>
      </c>
      <c r="P24" s="327">
        <f>IFERROR('2.4'!P24/'2.2'!P24,"")</f>
        <v>0.51041666666666663</v>
      </c>
      <c r="Q24" s="327">
        <f>IFERROR('2.4'!Q24/'2.2'!Q24,"")</f>
        <v>0.528169014084507</v>
      </c>
    </row>
    <row r="25" spans="2:23" ht="30" x14ac:dyDescent="0.25">
      <c r="B25" s="160" t="s">
        <v>521</v>
      </c>
      <c r="C25" s="284">
        <f>IFERROR('2.4'!C25/'2.2'!C25,"")</f>
        <v>0.375</v>
      </c>
      <c r="D25" s="284">
        <f>IFERROR('2.4'!D25/'2.2'!D25,"")</f>
        <v>0.16666666666666666</v>
      </c>
      <c r="E25" s="284">
        <f>IFERROR('2.4'!E25/'2.2'!E25,"")</f>
        <v>0.29347826086956524</v>
      </c>
      <c r="F25" s="284">
        <f>IFERROR('2.4'!F25/'2.2'!F25,"")</f>
        <v>0.59935897435897434</v>
      </c>
      <c r="G25" s="284">
        <f>IFERROR('2.4'!G25/'2.2'!G25,"")</f>
        <v>0.65182186234817818</v>
      </c>
      <c r="H25" s="284">
        <f>IFERROR('2.4'!H25/'2.2'!H25,"")</f>
        <v>0.62254025044722716</v>
      </c>
      <c r="I25" s="284">
        <f>IFERROR('2.4'!I25/'2.2'!I25,"")</f>
        <v>6.8965517241379309E-2</v>
      </c>
      <c r="J25" s="284">
        <f>IFERROR('2.4'!J25/'2.2'!J25,"")</f>
        <v>0.23076923076923078</v>
      </c>
      <c r="K25" s="284">
        <f>IFERROR('2.4'!K25/'2.2'!K25,"")</f>
        <v>0.11904761904761904</v>
      </c>
      <c r="L25" s="284">
        <f>IFERROR('2.4'!L25/'2.2'!L25,"")</f>
        <v>0.33333333333333331</v>
      </c>
      <c r="M25" s="284">
        <f>IFERROR('2.4'!M25/'2.2'!M25,"")</f>
        <v>0.47826086956521741</v>
      </c>
      <c r="N25" s="284">
        <f>IFERROR('2.4'!N25/'2.2'!N25,"")</f>
        <v>0.42105263157894735</v>
      </c>
      <c r="O25" s="327">
        <f>IFERROR('2.4'!O25/'2.2'!O25,"")</f>
        <v>0.52184466019417475</v>
      </c>
      <c r="P25" s="327">
        <f>IFERROR('2.4'!P25/'2.2'!P25,"")</f>
        <v>0.56739811912225702</v>
      </c>
      <c r="Q25" s="327">
        <f>IFERROR('2.4'!Q25/'2.2'!Q25,"")</f>
        <v>0.54172366621067036</v>
      </c>
    </row>
    <row r="26" spans="2:23" x14ac:dyDescent="0.25">
      <c r="B26" s="386" t="s">
        <v>28</v>
      </c>
      <c r="C26" s="327">
        <f>IFERROR('2.4'!C26/'2.2'!C26,"")</f>
        <v>0.40386454945475414</v>
      </c>
      <c r="D26" s="327">
        <f>IFERROR('2.4'!D26/'2.2'!D26,"")</f>
        <v>0.18286769799122604</v>
      </c>
      <c r="E26" s="327">
        <f>IFERROR('2.4'!E26/'2.2'!E26,"")</f>
        <v>0.30372462858338567</v>
      </c>
      <c r="F26" s="327">
        <f>IFERROR('2.4'!F26/'2.2'!F26,"")</f>
        <v>0.65262043069418141</v>
      </c>
      <c r="G26" s="327">
        <f>IFERROR('2.4'!G26/'2.2'!G26,"")</f>
        <v>0.66433084434233203</v>
      </c>
      <c r="H26" s="327">
        <f>IFERROR('2.4'!H26/'2.2'!H26,"")</f>
        <v>0.65795998184167337</v>
      </c>
      <c r="I26" s="327">
        <f>IFERROR('2.4'!I26/'2.2'!I26,"")</f>
        <v>4.5868152274837509E-2</v>
      </c>
      <c r="J26" s="327">
        <f>IFERROR('2.4'!J26/'2.2'!J26,"")</f>
        <v>8.8841201716738191E-2</v>
      </c>
      <c r="K26" s="327">
        <f>IFERROR('2.4'!K26/'2.2'!K26,"")</f>
        <v>5.8846403110823071E-2</v>
      </c>
      <c r="L26" s="327">
        <f>IFERROR('2.4'!L26/'2.2'!L26,"")</f>
        <v>0.41920216362407031</v>
      </c>
      <c r="M26" s="327">
        <f>IFERROR('2.4'!M26/'2.2'!M26,"")</f>
        <v>0.48865619546247818</v>
      </c>
      <c r="N26" s="327">
        <f>IFERROR('2.4'!N26/'2.2'!N26,"")</f>
        <v>0.46141607000795543</v>
      </c>
      <c r="O26" s="327">
        <f>IFERROR('2.4'!O26/'2.2'!O26,"")</f>
        <v>0.539028901734104</v>
      </c>
      <c r="P26" s="327">
        <f>IFERROR('2.4'!P26/'2.2'!P26,"")</f>
        <v>0.55514999429679479</v>
      </c>
      <c r="Q26" s="327">
        <f>IFERROR('2.4'!Q26/'2.2'!Q26,"")</f>
        <v>0.54624735054521312</v>
      </c>
    </row>
    <row r="27" spans="2:23" ht="100.5" customHeight="1" x14ac:dyDescent="0.25">
      <c r="B27" s="465" t="s">
        <v>814</v>
      </c>
      <c r="C27" s="465"/>
      <c r="D27" s="465"/>
      <c r="E27" s="465"/>
      <c r="F27" s="465"/>
      <c r="G27" s="465"/>
      <c r="H27" s="465"/>
      <c r="I27" s="465"/>
      <c r="J27" s="465"/>
      <c r="K27" s="465"/>
      <c r="L27" s="465"/>
      <c r="M27" s="465"/>
      <c r="N27" s="465"/>
      <c r="O27" s="465"/>
      <c r="P27" s="465"/>
      <c r="Q27" s="465"/>
    </row>
    <row r="29" spans="2:23" ht="18.75" x14ac:dyDescent="0.3">
      <c r="B29" s="2" t="s">
        <v>811</v>
      </c>
      <c r="C29" s="2"/>
      <c r="D29" s="2"/>
      <c r="E29" s="2"/>
      <c r="F29" s="2"/>
      <c r="G29" s="8"/>
      <c r="H29"/>
      <c r="I29"/>
    </row>
    <row r="30" spans="2:23" x14ac:dyDescent="0.25">
      <c r="B30" s="387" t="s">
        <v>877</v>
      </c>
    </row>
    <row r="31" spans="2:23" x14ac:dyDescent="0.25">
      <c r="B31" s="15"/>
    </row>
    <row r="32" spans="2:23" x14ac:dyDescent="0.25">
      <c r="B32" s="433" t="s">
        <v>476</v>
      </c>
      <c r="C32" s="434" t="s">
        <v>481</v>
      </c>
      <c r="D32" s="435"/>
      <c r="E32" s="435"/>
      <c r="F32" s="435"/>
      <c r="G32" s="435"/>
      <c r="H32" s="435"/>
      <c r="I32" s="435"/>
      <c r="J32" s="435"/>
      <c r="K32" s="435"/>
      <c r="L32" s="435"/>
      <c r="M32" s="435"/>
      <c r="N32" s="435"/>
      <c r="O32" s="435"/>
      <c r="P32" s="435"/>
      <c r="Q32" s="435"/>
      <c r="R32" s="435"/>
      <c r="S32" s="435"/>
      <c r="T32" s="436"/>
      <c r="U32" s="429" t="s">
        <v>480</v>
      </c>
      <c r="V32" s="429"/>
      <c r="W32" s="429"/>
    </row>
    <row r="33" spans="2:23" x14ac:dyDescent="0.25">
      <c r="B33" s="433"/>
      <c r="C33" s="422" t="s">
        <v>658</v>
      </c>
      <c r="D33" s="422"/>
      <c r="E33" s="422"/>
      <c r="F33" s="422" t="s">
        <v>490</v>
      </c>
      <c r="G33" s="422"/>
      <c r="H33" s="422"/>
      <c r="I33" s="422" t="s">
        <v>3</v>
      </c>
      <c r="J33" s="422"/>
      <c r="K33" s="422"/>
      <c r="L33" s="422" t="s">
        <v>4</v>
      </c>
      <c r="M33" s="422"/>
      <c r="N33" s="422"/>
      <c r="O33" s="422" t="s">
        <v>5</v>
      </c>
      <c r="P33" s="422"/>
      <c r="Q33" s="422"/>
      <c r="R33" s="422" t="s">
        <v>6</v>
      </c>
      <c r="S33" s="422"/>
      <c r="T33" s="422"/>
      <c r="U33" s="429"/>
      <c r="V33" s="429"/>
      <c r="W33" s="429"/>
    </row>
    <row r="34" spans="2:23" x14ac:dyDescent="0.25">
      <c r="B34" s="433"/>
      <c r="C34" s="239" t="s">
        <v>76</v>
      </c>
      <c r="D34" s="239" t="s">
        <v>77</v>
      </c>
      <c r="E34" s="239" t="s">
        <v>28</v>
      </c>
      <c r="F34" s="239" t="s">
        <v>76</v>
      </c>
      <c r="G34" s="239" t="s">
        <v>77</v>
      </c>
      <c r="H34" s="239" t="s">
        <v>28</v>
      </c>
      <c r="I34" s="239" t="s">
        <v>76</v>
      </c>
      <c r="J34" s="239" t="s">
        <v>77</v>
      </c>
      <c r="K34" s="239" t="s">
        <v>28</v>
      </c>
      <c r="L34" s="239" t="s">
        <v>76</v>
      </c>
      <c r="M34" s="239" t="s">
        <v>77</v>
      </c>
      <c r="N34" s="239" t="s">
        <v>28</v>
      </c>
      <c r="O34" s="239" t="s">
        <v>76</v>
      </c>
      <c r="P34" s="239" t="s">
        <v>77</v>
      </c>
      <c r="Q34" s="239" t="s">
        <v>28</v>
      </c>
      <c r="R34" s="239" t="s">
        <v>76</v>
      </c>
      <c r="S34" s="239" t="s">
        <v>77</v>
      </c>
      <c r="T34" s="239" t="s">
        <v>28</v>
      </c>
      <c r="U34" s="329" t="s">
        <v>76</v>
      </c>
      <c r="V34" s="329" t="s">
        <v>77</v>
      </c>
      <c r="W34" s="329" t="s">
        <v>28</v>
      </c>
    </row>
    <row r="35" spans="2:23" hidden="1" outlineLevel="1" x14ac:dyDescent="0.25">
      <c r="B35" s="362">
        <v>39630</v>
      </c>
      <c r="C35" s="366" t="str">
        <f>IFERROR('2.3'!C22/'2.1'!C33,"")</f>
        <v/>
      </c>
      <c r="D35" s="366" t="str">
        <f>IFERROR('2.3'!D22/'2.1'!D33,"")</f>
        <v/>
      </c>
      <c r="E35" s="366" t="str">
        <f>IFERROR('2.3'!E22/'2.1'!E33,"")</f>
        <v/>
      </c>
      <c r="F35" s="366" t="str">
        <f>IFERROR('2.3'!F22/'2.1'!F33,"")</f>
        <v/>
      </c>
      <c r="G35" s="366" t="str">
        <f>IFERROR('2.3'!G22/'2.1'!G33,"")</f>
        <v/>
      </c>
      <c r="H35" s="366" t="str">
        <f>IFERROR('2.3'!H22/'2.1'!H33,"")</f>
        <v/>
      </c>
      <c r="I35" s="366">
        <f>IFERROR('2.3'!I22/'2.1'!I33,"")</f>
        <v>0.99291377063423114</v>
      </c>
      <c r="J35" s="366">
        <f>IFERROR('2.3'!J22/'2.1'!J33,"")</f>
        <v>0.98814574494634388</v>
      </c>
      <c r="K35" s="366">
        <f>IFERROR('2.3'!K22/'2.1'!K33,"")</f>
        <v>0.99206172233867007</v>
      </c>
      <c r="L35" s="366">
        <f>IFERROR('2.3'!L22/'2.1'!L33,"")</f>
        <v>0.56155706553034668</v>
      </c>
      <c r="M35" s="366">
        <f>IFERROR('2.3'!M22/'2.1'!M33,"")</f>
        <v>0.77443609022556392</v>
      </c>
      <c r="N35" s="366">
        <f>IFERROR('2.3'!N22/'2.1'!N33,"")</f>
        <v>0.60553728070175439</v>
      </c>
      <c r="O35" s="366">
        <f>IFERROR('2.3'!O22/'2.1'!O33,"")</f>
        <v>0.75202057310800885</v>
      </c>
      <c r="P35" s="366">
        <f>IFERROR('2.3'!P22/'2.1'!P33,"")</f>
        <v>0.66639072847682124</v>
      </c>
      <c r="Q35" s="366">
        <f>IFERROR('2.3'!Q22/'2.1'!Q33,"")</f>
        <v>0.72569974554707384</v>
      </c>
      <c r="R35" s="366">
        <f>IFERROR('2.3'!R22/'2.1'!R33,"")</f>
        <v>0.16034755134281201</v>
      </c>
      <c r="S35" s="366">
        <f>IFERROR('2.3'!S22/'2.1'!S33,"")</f>
        <v>0.2638888888888889</v>
      </c>
      <c r="T35" s="366">
        <f>IFERROR('2.3'!T22/'2.1'!T33,"")</f>
        <v>0.19540229885057472</v>
      </c>
      <c r="U35" s="367">
        <f>IFERROR('2.3'!U22/'2.1'!U33,"")</f>
        <v>0.88271417893865023</v>
      </c>
      <c r="V35" s="367">
        <f>IFERROR('2.3'!V22/'2.1'!V33,"")</f>
        <v>0.87758634902316379</v>
      </c>
      <c r="W35" s="367">
        <f>IFERROR('2.3'!W22/'2.1'!W33,"")</f>
        <v>0.88170490313787842</v>
      </c>
    </row>
    <row r="36" spans="2:23" hidden="1" outlineLevel="1" x14ac:dyDescent="0.25">
      <c r="B36" s="362">
        <v>39661</v>
      </c>
      <c r="C36" s="366" t="str">
        <f>IFERROR('2.3'!C23/'2.1'!C34,"")</f>
        <v/>
      </c>
      <c r="D36" s="366" t="str">
        <f>IFERROR('2.3'!D23/'2.1'!D34,"")</f>
        <v/>
      </c>
      <c r="E36" s="366" t="str">
        <f>IFERROR('2.3'!E23/'2.1'!E34,"")</f>
        <v/>
      </c>
      <c r="F36" s="366" t="str">
        <f>IFERROR('2.3'!F23/'2.1'!F34,"")</f>
        <v/>
      </c>
      <c r="G36" s="366" t="str">
        <f>IFERROR('2.3'!G23/'2.1'!G34,"")</f>
        <v/>
      </c>
      <c r="H36" s="366" t="str">
        <f>IFERROR('2.3'!H23/'2.1'!H34,"")</f>
        <v/>
      </c>
      <c r="I36" s="366">
        <f>IFERROR('2.3'!I23/'2.1'!I34,"")</f>
        <v>0.98183429330970318</v>
      </c>
      <c r="J36" s="366">
        <f>IFERROR('2.3'!J23/'2.1'!J34,"")</f>
        <v>0.98637015781922521</v>
      </c>
      <c r="K36" s="366">
        <f>IFERROR('2.3'!K23/'2.1'!K34,"")</f>
        <v>0.98290453622207175</v>
      </c>
      <c r="L36" s="366">
        <f>IFERROR('2.3'!L23/'2.1'!L34,"")</f>
        <v>0.55663665408074359</v>
      </c>
      <c r="M36" s="366">
        <f>IFERROR('2.3'!M23/'2.1'!M34,"")</f>
        <v>0.75038206826286291</v>
      </c>
      <c r="N36" s="366">
        <f>IFERROR('2.3'!N23/'2.1'!N34,"")</f>
        <v>0.59961577579387504</v>
      </c>
      <c r="O36" s="366">
        <f>IFERROR('2.3'!O23/'2.1'!O34,"")</f>
        <v>0.80420012353304504</v>
      </c>
      <c r="P36" s="366">
        <f>IFERROR('2.3'!P23/'2.1'!P34,"")</f>
        <v>0.67349551856594114</v>
      </c>
      <c r="Q36" s="366">
        <f>IFERROR('2.3'!Q23/'2.1'!Q34,"")</f>
        <v>0.76166666666666671</v>
      </c>
      <c r="R36" s="366">
        <f>IFERROR('2.3'!R23/'2.1'!R34,"")</f>
        <v>0.10618556701030928</v>
      </c>
      <c r="S36" s="366">
        <f>IFERROR('2.3'!S23/'2.1'!S34,"")</f>
        <v>0.21476510067114093</v>
      </c>
      <c r="T36" s="366">
        <f>IFERROR('2.3'!T23/'2.1'!T34,"")</f>
        <v>0.1475095785440613</v>
      </c>
      <c r="U36" s="367">
        <f>IFERROR('2.3'!U23/'2.1'!U34,"")</f>
        <v>0.76214667891693244</v>
      </c>
      <c r="V36" s="367">
        <f>IFERROR('2.3'!V23/'2.1'!V34,"")</f>
        <v>0.79585509138381205</v>
      </c>
      <c r="W36" s="367">
        <f>IFERROR('2.3'!W23/'2.1'!W34,"")</f>
        <v>0.7705330680849336</v>
      </c>
    </row>
    <row r="37" spans="2:23" hidden="1" outlineLevel="1" x14ac:dyDescent="0.25">
      <c r="B37" s="362">
        <v>39692</v>
      </c>
      <c r="C37" s="366" t="str">
        <f>IFERROR('2.3'!C24/'2.1'!C35,"")</f>
        <v/>
      </c>
      <c r="D37" s="366" t="str">
        <f>IFERROR('2.3'!D24/'2.1'!D35,"")</f>
        <v/>
      </c>
      <c r="E37" s="366" t="str">
        <f>IFERROR('2.3'!E24/'2.1'!E35,"")</f>
        <v/>
      </c>
      <c r="F37" s="366" t="str">
        <f>IFERROR('2.3'!F24/'2.1'!F35,"")</f>
        <v/>
      </c>
      <c r="G37" s="366" t="str">
        <f>IFERROR('2.3'!G24/'2.1'!G35,"")</f>
        <v/>
      </c>
      <c r="H37" s="366" t="str">
        <f>IFERROR('2.3'!H24/'2.1'!H35,"")</f>
        <v/>
      </c>
      <c r="I37" s="366">
        <f>IFERROR('2.3'!I24/'2.1'!I35,"")</f>
        <v>0.98981348637015787</v>
      </c>
      <c r="J37" s="366">
        <f>IFERROR('2.3'!J24/'2.1'!J35,"")</f>
        <v>0.98317307692307687</v>
      </c>
      <c r="K37" s="366">
        <f>IFERROR('2.3'!K24/'2.1'!K35,"")</f>
        <v>0.98828729281767957</v>
      </c>
      <c r="L37" s="366">
        <f>IFERROR('2.3'!L24/'2.1'!L35,"")</f>
        <v>0.49196064314854809</v>
      </c>
      <c r="M37" s="366">
        <f>IFERROR('2.3'!M24/'2.1'!M35,"")</f>
        <v>0.68088888888888888</v>
      </c>
      <c r="N37" s="366">
        <f>IFERROR('2.3'!N24/'2.1'!N35,"")</f>
        <v>0.53212396069538925</v>
      </c>
      <c r="O37" s="366">
        <f>IFERROR('2.3'!O24/'2.1'!O35,"")</f>
        <v>0.74460742018981885</v>
      </c>
      <c r="P37" s="366">
        <f>IFERROR('2.3'!P24/'2.1'!P35,"")</f>
        <v>0.61102603369065855</v>
      </c>
      <c r="Q37" s="366">
        <f>IFERROR('2.3'!Q24/'2.1'!Q35,"")</f>
        <v>0.69646799116997793</v>
      </c>
      <c r="R37" s="366">
        <f>IFERROR('2.3'!R24/'2.1'!R35,"")</f>
        <v>0.15311909262759923</v>
      </c>
      <c r="S37" s="366">
        <f>IFERROR('2.3'!S24/'2.1'!S35,"")</f>
        <v>0.31921824104234525</v>
      </c>
      <c r="T37" s="366">
        <f>IFERROR('2.3'!T24/'2.1'!T35,"")</f>
        <v>0.21411483253588517</v>
      </c>
      <c r="U37" s="367">
        <f>IFERROR('2.3'!U24/'2.1'!U35,"")</f>
        <v>0.77138401559454195</v>
      </c>
      <c r="V37" s="367">
        <f>IFERROR('2.3'!V24/'2.1'!V35,"")</f>
        <v>0.79423769507803121</v>
      </c>
      <c r="W37" s="367">
        <f>IFERROR('2.3'!W24/'2.1'!W35,"")</f>
        <v>0.77698646262507354</v>
      </c>
    </row>
    <row r="38" spans="2:23" hidden="1" outlineLevel="1" x14ac:dyDescent="0.25">
      <c r="B38" s="362">
        <v>39722</v>
      </c>
      <c r="C38" s="366" t="str">
        <f>IFERROR('2.3'!C25/'2.1'!C36,"")</f>
        <v/>
      </c>
      <c r="D38" s="366" t="str">
        <f>IFERROR('2.3'!D25/'2.1'!D36,"")</f>
        <v/>
      </c>
      <c r="E38" s="366" t="str">
        <f>IFERROR('2.3'!E25/'2.1'!E36,"")</f>
        <v/>
      </c>
      <c r="F38" s="366" t="str">
        <f>IFERROR('2.3'!F25/'2.1'!F36,"")</f>
        <v/>
      </c>
      <c r="G38" s="366" t="str">
        <f>IFERROR('2.3'!G25/'2.1'!G36,"")</f>
        <v/>
      </c>
      <c r="H38" s="366" t="str">
        <f>IFERROR('2.3'!H25/'2.1'!H36,"")</f>
        <v/>
      </c>
      <c r="I38" s="366">
        <f>IFERROR('2.3'!I25/'2.1'!I36,"")</f>
        <v>0.98596433289299867</v>
      </c>
      <c r="J38" s="366">
        <f>IFERROR('2.3'!J25/'2.1'!J36,"")</f>
        <v>0.98871968415115619</v>
      </c>
      <c r="K38" s="366">
        <f>IFERROR('2.3'!K25/'2.1'!K36,"")</f>
        <v>0.98658832545663555</v>
      </c>
      <c r="L38" s="366">
        <f>IFERROR('2.3'!L25/'2.1'!L36,"")</f>
        <v>0.47790314997649269</v>
      </c>
      <c r="M38" s="366">
        <f>IFERROR('2.3'!M25/'2.1'!M36,"")</f>
        <v>0.66779949022939677</v>
      </c>
      <c r="N38" s="366">
        <f>IFERROR('2.3'!N25/'2.1'!N36,"")</f>
        <v>0.51905726385564355</v>
      </c>
      <c r="O38" s="366">
        <f>IFERROR('2.3'!O25/'2.1'!O36,"")</f>
        <v>0.77055449330783943</v>
      </c>
      <c r="P38" s="366">
        <f>IFERROR('2.3'!P25/'2.1'!P36,"")</f>
        <v>0.63622754491017963</v>
      </c>
      <c r="Q38" s="366">
        <f>IFERROR('2.3'!Q25/'2.1'!Q36,"")</f>
        <v>0.71820303383897321</v>
      </c>
      <c r="R38" s="366">
        <f>IFERROR('2.3'!R25/'2.1'!R36,"")</f>
        <v>0.26706231454005935</v>
      </c>
      <c r="S38" s="366">
        <f>IFERROR('2.3'!S25/'2.1'!S36,"")</f>
        <v>0.41304347826086957</v>
      </c>
      <c r="T38" s="366">
        <f>IFERROR('2.3'!T25/'2.1'!T36,"")</f>
        <v>0.31861804222648754</v>
      </c>
      <c r="U38" s="367">
        <f>IFERROR('2.3'!U25/'2.1'!U36,"")</f>
        <v>0.76113914307705466</v>
      </c>
      <c r="V38" s="367">
        <f>IFERROR('2.3'!V25/'2.1'!V36,"")</f>
        <v>0.79957916885849556</v>
      </c>
      <c r="W38" s="367">
        <f>IFERROR('2.3'!W25/'2.1'!W36,"")</f>
        <v>0.77057115198451109</v>
      </c>
    </row>
    <row r="39" spans="2:23" hidden="1" outlineLevel="1" x14ac:dyDescent="0.25">
      <c r="B39" s="362">
        <v>39753</v>
      </c>
      <c r="C39" s="366" t="str">
        <f>IFERROR('2.3'!C26/'2.1'!C37,"")</f>
        <v/>
      </c>
      <c r="D39" s="366" t="str">
        <f>IFERROR('2.3'!D26/'2.1'!D37,"")</f>
        <v/>
      </c>
      <c r="E39" s="366" t="str">
        <f>IFERROR('2.3'!E26/'2.1'!E37,"")</f>
        <v/>
      </c>
      <c r="F39" s="366" t="str">
        <f>IFERROR('2.3'!F26/'2.1'!F37,"")</f>
        <v/>
      </c>
      <c r="G39" s="366" t="str">
        <f>IFERROR('2.3'!G26/'2.1'!G37,"")</f>
        <v/>
      </c>
      <c r="H39" s="366" t="str">
        <f>IFERROR('2.3'!H26/'2.1'!H37,"")</f>
        <v/>
      </c>
      <c r="I39" s="366">
        <f>IFERROR('2.3'!I26/'2.1'!I37,"")</f>
        <v>0.99139102854553696</v>
      </c>
      <c r="J39" s="366">
        <f>IFERROR('2.3'!J26/'2.1'!J37,"")</f>
        <v>0.98374613003095979</v>
      </c>
      <c r="K39" s="366">
        <f>IFERROR('2.3'!K26/'2.1'!K37,"")</f>
        <v>0.98966000701016477</v>
      </c>
      <c r="L39" s="366">
        <f>IFERROR('2.3'!L26/'2.1'!L37,"")</f>
        <v>0.51647058823529413</v>
      </c>
      <c r="M39" s="366">
        <f>IFERROR('2.3'!M26/'2.1'!M37,"")</f>
        <v>0.73179611650485432</v>
      </c>
      <c r="N39" s="366">
        <f>IFERROR('2.3'!N26/'2.1'!N37,"")</f>
        <v>0.56905749851807941</v>
      </c>
      <c r="O39" s="366">
        <f>IFERROR('2.3'!O26/'2.1'!O37,"")</f>
        <v>0.81161137440758291</v>
      </c>
      <c r="P39" s="366">
        <f>IFERROR('2.3'!P26/'2.1'!P37,"")</f>
        <v>0.76243093922651939</v>
      </c>
      <c r="Q39" s="366">
        <f>IFERROR('2.3'!Q26/'2.1'!Q37,"")</f>
        <v>0.79235760634462871</v>
      </c>
      <c r="R39" s="366">
        <f>IFERROR('2.3'!R26/'2.1'!R37,"")</f>
        <v>0.39632545931758528</v>
      </c>
      <c r="S39" s="366">
        <f>IFERROR('2.3'!S26/'2.1'!S37,"")</f>
        <v>0.60386473429951693</v>
      </c>
      <c r="T39" s="366">
        <f>IFERROR('2.3'!T26/'2.1'!T37,"")</f>
        <v>0.46938775510204084</v>
      </c>
      <c r="U39" s="367">
        <f>IFERROR('2.3'!U26/'2.1'!U37,"")</f>
        <v>0.79728904628159725</v>
      </c>
      <c r="V39" s="367">
        <f>IFERROR('2.3'!V26/'2.1'!V37,"")</f>
        <v>0.84193998604326592</v>
      </c>
      <c r="W39" s="367">
        <f>IFERROR('2.3'!W26/'2.1'!W37,"")</f>
        <v>0.80886476707372235</v>
      </c>
    </row>
    <row r="40" spans="2:23" hidden="1" outlineLevel="1" x14ac:dyDescent="0.25">
      <c r="B40" s="362">
        <v>39783</v>
      </c>
      <c r="C40" s="366" t="str">
        <f>IFERROR('2.3'!C27/'2.1'!C38,"")</f>
        <v/>
      </c>
      <c r="D40" s="366" t="str">
        <f>IFERROR('2.3'!D27/'2.1'!D38,"")</f>
        <v/>
      </c>
      <c r="E40" s="366" t="str">
        <f>IFERROR('2.3'!E27/'2.1'!E38,"")</f>
        <v/>
      </c>
      <c r="F40" s="366" t="str">
        <f>IFERROR('2.3'!F27/'2.1'!F38,"")</f>
        <v/>
      </c>
      <c r="G40" s="366" t="str">
        <f>IFERROR('2.3'!G27/'2.1'!G38,"")</f>
        <v/>
      </c>
      <c r="H40" s="366" t="str">
        <f>IFERROR('2.3'!H27/'2.1'!H38,"")</f>
        <v/>
      </c>
      <c r="I40" s="366">
        <f>IFERROR('2.3'!I27/'2.1'!I38,"")</f>
        <v>0.99707531074823297</v>
      </c>
      <c r="J40" s="366">
        <f>IFERROR('2.3'!J27/'2.1'!J38,"")</f>
        <v>0.99593495934959353</v>
      </c>
      <c r="K40" s="366">
        <f>IFERROR('2.3'!K27/'2.1'!K38,"")</f>
        <v>0.99681230076879801</v>
      </c>
      <c r="L40" s="366">
        <f>IFERROR('2.3'!L27/'2.1'!L38,"")</f>
        <v>0.53705905667855725</v>
      </c>
      <c r="M40" s="366">
        <f>IFERROR('2.3'!M27/'2.1'!M38,"")</f>
        <v>0.70650887573964494</v>
      </c>
      <c r="N40" s="366">
        <f>IFERROR('2.3'!N27/'2.1'!N38,"")</f>
        <v>0.57957244655581952</v>
      </c>
      <c r="O40" s="366">
        <f>IFERROR('2.3'!O27/'2.1'!O38,"")</f>
        <v>0.80222222222222217</v>
      </c>
      <c r="P40" s="366">
        <f>IFERROR('2.3'!P27/'2.1'!P38,"")</f>
        <v>0.74732006125574268</v>
      </c>
      <c r="Q40" s="366">
        <f>IFERROR('2.3'!Q27/'2.1'!Q38,"")</f>
        <v>0.77913715389568572</v>
      </c>
      <c r="R40" s="366">
        <f>IFERROR('2.3'!R27/'2.1'!R38,"")</f>
        <v>0.47715736040609136</v>
      </c>
      <c r="S40" s="366">
        <f>IFERROR('2.3'!S27/'2.1'!S38,"")</f>
        <v>0.54506437768240346</v>
      </c>
      <c r="T40" s="366">
        <f>IFERROR('2.3'!T27/'2.1'!T38,"")</f>
        <v>0.50239234449760761</v>
      </c>
      <c r="U40" s="367">
        <f>IFERROR('2.3'!U27/'2.1'!U38,"")</f>
        <v>0.80252525252525253</v>
      </c>
      <c r="V40" s="367">
        <f>IFERROR('2.3'!V27/'2.1'!V38,"")</f>
        <v>0.82303275920297192</v>
      </c>
      <c r="W40" s="367">
        <f>IFERROR('2.3'!W27/'2.1'!W38,"")</f>
        <v>0.80810587262200162</v>
      </c>
    </row>
    <row r="41" spans="2:23" collapsed="1" x14ac:dyDescent="0.25">
      <c r="B41" s="364" t="s">
        <v>699</v>
      </c>
      <c r="C41" s="367" t="str">
        <f>IFERROR('2.3'!C28/'2.1'!C39,"")</f>
        <v/>
      </c>
      <c r="D41" s="367" t="str">
        <f>IFERROR('2.3'!D28/'2.1'!D39,"")</f>
        <v/>
      </c>
      <c r="E41" s="367" t="str">
        <f>IFERROR('2.3'!E28/'2.1'!E39,"")</f>
        <v/>
      </c>
      <c r="F41" s="367" t="str">
        <f>IFERROR('2.3'!F28/'2.1'!F39,"")</f>
        <v/>
      </c>
      <c r="G41" s="367" t="str">
        <f>IFERROR('2.3'!G28/'2.1'!G39,"")</f>
        <v/>
      </c>
      <c r="H41" s="367" t="str">
        <f>IFERROR('2.3'!H28/'2.1'!H39,"")</f>
        <v/>
      </c>
      <c r="I41" s="367">
        <f>IFERROR('2.3'!I28/'2.1'!I39,"")</f>
        <v>0.99065337368702155</v>
      </c>
      <c r="J41" s="367">
        <f>IFERROR('2.3'!J28/'2.1'!J39,"")</f>
        <v>0.98742577715682855</v>
      </c>
      <c r="K41" s="367">
        <f>IFERROR('2.3'!K28/'2.1'!K39,"")</f>
        <v>0.98999787188763566</v>
      </c>
      <c r="L41" s="367">
        <f>IFERROR('2.3'!L28/'2.1'!L39,"")</f>
        <v>0.53199834847233696</v>
      </c>
      <c r="M41" s="367">
        <f>IFERROR('2.3'!M28/'2.1'!M39,"")</f>
        <v>0.72913616398243042</v>
      </c>
      <c r="N41" s="367">
        <f>IFERROR('2.3'!N28/'2.1'!N39,"")</f>
        <v>0.57536231884057976</v>
      </c>
      <c r="O41" s="367">
        <f>IFERROR('2.3'!O28/'2.1'!O39,"")</f>
        <v>0.77496382054992763</v>
      </c>
      <c r="P41" s="367">
        <f>IFERROR('2.3'!P28/'2.1'!P39,"")</f>
        <v>0.67909454061251662</v>
      </c>
      <c r="Q41" s="367">
        <f>IFERROR('2.3'!Q28/'2.1'!Q39,"")</f>
        <v>0.7407407407407407</v>
      </c>
      <c r="R41" s="367">
        <f>IFERROR('2.3'!R28/'2.1'!R39,"")</f>
        <v>0.21052631578947367</v>
      </c>
      <c r="S41" s="367">
        <f>IFERROR('2.3'!S28/'2.1'!S39,"")</f>
        <v>0.33333333333333331</v>
      </c>
      <c r="T41" s="367">
        <f>IFERROR('2.3'!T28/'2.1'!T39,"")</f>
        <v>0.25470763131813678</v>
      </c>
      <c r="U41" s="367">
        <f>IFERROR('2.3'!U28/'2.1'!U39,"")</f>
        <v>0.82364961891085831</v>
      </c>
      <c r="V41" s="367">
        <f>IFERROR('2.3'!V28/'2.1'!V39,"")</f>
        <v>0.83377012354923252</v>
      </c>
      <c r="W41" s="367">
        <f>IFERROR('2.3'!W28/'2.1'!W39,"")</f>
        <v>0.82591265779597411</v>
      </c>
    </row>
    <row r="42" spans="2:23" hidden="1" outlineLevel="1" x14ac:dyDescent="0.25">
      <c r="B42" s="362">
        <v>39814</v>
      </c>
      <c r="C42" s="366" t="str">
        <f>IFERROR('2.3'!C29/'2.1'!C40,"")</f>
        <v/>
      </c>
      <c r="D42" s="366" t="str">
        <f>IFERROR('2.3'!D29/'2.1'!D40,"")</f>
        <v/>
      </c>
      <c r="E42" s="366" t="str">
        <f>IFERROR('2.3'!E29/'2.1'!E40,"")</f>
        <v/>
      </c>
      <c r="F42" s="366" t="str">
        <f>IFERROR('2.3'!F29/'2.1'!F40,"")</f>
        <v/>
      </c>
      <c r="G42" s="366" t="str">
        <f>IFERROR('2.3'!G29/'2.1'!G40,"")</f>
        <v/>
      </c>
      <c r="H42" s="366" t="str">
        <f>IFERROR('2.3'!H29/'2.1'!H40,"")</f>
        <v/>
      </c>
      <c r="I42" s="366">
        <f>IFERROR('2.3'!I29/'2.1'!I40,"")</f>
        <v>0.99726692985119947</v>
      </c>
      <c r="J42" s="366">
        <f>IFERROR('2.3'!J29/'2.1'!J40,"")</f>
        <v>0.98912133891213394</v>
      </c>
      <c r="K42" s="366">
        <f>IFERROR('2.3'!K29/'2.1'!K40,"")</f>
        <v>0.99509803921568629</v>
      </c>
      <c r="L42" s="366">
        <f>IFERROR('2.3'!L29/'2.1'!L40,"")</f>
        <v>0.55152838427947604</v>
      </c>
      <c r="M42" s="366">
        <f>IFERROR('2.3'!M29/'2.1'!M40,"")</f>
        <v>0.71754636233951496</v>
      </c>
      <c r="N42" s="366">
        <f>IFERROR('2.3'!N29/'2.1'!N40,"")</f>
        <v>0.59043798060849217</v>
      </c>
      <c r="O42" s="366">
        <f>IFERROR('2.3'!O29/'2.1'!O40,"")</f>
        <v>0.86775818639798485</v>
      </c>
      <c r="P42" s="366">
        <f>IFERROR('2.3'!P29/'2.1'!P40,"")</f>
        <v>0.81681681681681684</v>
      </c>
      <c r="Q42" s="366">
        <f>IFERROR('2.3'!Q29/'2.1'!Q40,"")</f>
        <v>0.84452054794520548</v>
      </c>
      <c r="R42" s="366">
        <f>IFERROR('2.3'!R29/'2.1'!R40,"")</f>
        <v>0.61722488038277512</v>
      </c>
      <c r="S42" s="366">
        <f>IFERROR('2.3'!S29/'2.1'!S40,"")</f>
        <v>0.70940170940170943</v>
      </c>
      <c r="T42" s="366">
        <f>IFERROR('2.3'!T29/'2.1'!T40,"")</f>
        <v>0.65030674846625769</v>
      </c>
      <c r="U42" s="367">
        <f>IFERROR('2.3'!U29/'2.1'!U40,"")</f>
        <v>0.80853568800588671</v>
      </c>
      <c r="V42" s="367">
        <f>IFERROR('2.3'!V29/'2.1'!V40,"")</f>
        <v>0.85658082975679539</v>
      </c>
      <c r="W42" s="367">
        <f>IFERROR('2.3'!W29/'2.1'!W40,"")</f>
        <v>0.82254196642685851</v>
      </c>
    </row>
    <row r="43" spans="2:23" hidden="1" outlineLevel="1" x14ac:dyDescent="0.25">
      <c r="B43" s="362">
        <v>39845</v>
      </c>
      <c r="C43" s="366" t="str">
        <f>IFERROR('2.3'!C30/'2.1'!C41,"")</f>
        <v/>
      </c>
      <c r="D43" s="366" t="str">
        <f>IFERROR('2.3'!D30/'2.1'!D41,"")</f>
        <v/>
      </c>
      <c r="E43" s="366" t="str">
        <f>IFERROR('2.3'!E30/'2.1'!E41,"")</f>
        <v/>
      </c>
      <c r="F43" s="366" t="str">
        <f>IFERROR('2.3'!F30/'2.1'!F41,"")</f>
        <v/>
      </c>
      <c r="G43" s="366" t="str">
        <f>IFERROR('2.3'!G30/'2.1'!G41,"")</f>
        <v/>
      </c>
      <c r="H43" s="366" t="str">
        <f>IFERROR('2.3'!H30/'2.1'!H41,"")</f>
        <v/>
      </c>
      <c r="I43" s="366">
        <f>IFERROR('2.3'!I30/'2.1'!I41,"")</f>
        <v>0.99919322307382008</v>
      </c>
      <c r="J43" s="366">
        <f>IFERROR('2.3'!J30/'2.1'!J41,"")</f>
        <v>0.9977194982896237</v>
      </c>
      <c r="K43" s="366">
        <f>IFERROR('2.3'!K30/'2.1'!K41,"")</f>
        <v>0.99880810488676997</v>
      </c>
      <c r="L43" s="366">
        <f>IFERROR('2.3'!L30/'2.1'!L41,"")</f>
        <v>0.54698375870069604</v>
      </c>
      <c r="M43" s="366">
        <f>IFERROR('2.3'!M30/'2.1'!M41,"")</f>
        <v>0.77883096366508686</v>
      </c>
      <c r="N43" s="366">
        <f>IFERROR('2.3'!N30/'2.1'!N41,"")</f>
        <v>0.60924904539669067</v>
      </c>
      <c r="O43" s="366">
        <f>IFERROR('2.3'!O30/'2.1'!O41,"")</f>
        <v>0.94366197183098588</v>
      </c>
      <c r="P43" s="366">
        <f>IFERROR('2.3'!P30/'2.1'!P41,"")</f>
        <v>0.94896030245746688</v>
      </c>
      <c r="Q43" s="366">
        <f>IFERROR('2.3'!Q30/'2.1'!Q41,"")</f>
        <v>0.94606164383561642</v>
      </c>
      <c r="R43" s="366">
        <f>IFERROR('2.3'!R30/'2.1'!R41,"")</f>
        <v>0.72702702702702704</v>
      </c>
      <c r="S43" s="366">
        <f>IFERROR('2.3'!S30/'2.1'!S41,"")</f>
        <v>0.84210526315789469</v>
      </c>
      <c r="T43" s="366">
        <f>IFERROR('2.3'!T30/'2.1'!T41,"")</f>
        <v>0.77090301003344486</v>
      </c>
      <c r="U43" s="367">
        <f>IFERROR('2.3'!U30/'2.1'!U41,"")</f>
        <v>0.82348426707597855</v>
      </c>
      <c r="V43" s="367">
        <f>IFERROR('2.3'!V30/'2.1'!V41,"")</f>
        <v>0.90957212174680191</v>
      </c>
      <c r="W43" s="367">
        <f>IFERROR('2.3'!W30/'2.1'!W41,"")</f>
        <v>0.84957882069795432</v>
      </c>
    </row>
    <row r="44" spans="2:23" hidden="1" outlineLevel="1" x14ac:dyDescent="0.25">
      <c r="B44" s="362">
        <v>39873</v>
      </c>
      <c r="C44" s="366" t="str">
        <f>IFERROR('2.3'!C31/'2.1'!C42,"")</f>
        <v/>
      </c>
      <c r="D44" s="366" t="str">
        <f>IFERROR('2.3'!D31/'2.1'!D42,"")</f>
        <v/>
      </c>
      <c r="E44" s="366" t="str">
        <f>IFERROR('2.3'!E31/'2.1'!E42,"")</f>
        <v/>
      </c>
      <c r="F44" s="366" t="str">
        <f>IFERROR('2.3'!F31/'2.1'!F42,"")</f>
        <v/>
      </c>
      <c r="G44" s="366" t="str">
        <f>IFERROR('2.3'!G31/'2.1'!G42,"")</f>
        <v/>
      </c>
      <c r="H44" s="366" t="str">
        <f>IFERROR('2.3'!H31/'2.1'!H42,"")</f>
        <v/>
      </c>
      <c r="I44" s="366">
        <f>IFERROR('2.3'!I31/'2.1'!I42,"")</f>
        <v>0.99937578027465668</v>
      </c>
      <c r="J44" s="366">
        <f>IFERROR('2.3'!J31/'2.1'!J42,"")</f>
        <v>0.9971830985915493</v>
      </c>
      <c r="K44" s="366">
        <f>IFERROR('2.3'!K31/'2.1'!K42,"")</f>
        <v>0.99882876551885691</v>
      </c>
      <c r="L44" s="366">
        <f>IFERROR('2.3'!L31/'2.1'!L42,"")</f>
        <v>0.54297352342158856</v>
      </c>
      <c r="M44" s="366">
        <f>IFERROR('2.3'!M31/'2.1'!M42,"")</f>
        <v>0.73684210526315785</v>
      </c>
      <c r="N44" s="366">
        <f>IFERROR('2.3'!N31/'2.1'!N42,"")</f>
        <v>0.5888024883359253</v>
      </c>
      <c r="O44" s="366">
        <f>IFERROR('2.3'!O31/'2.1'!O42,"")</f>
        <v>0.9287598944591029</v>
      </c>
      <c r="P44" s="366">
        <f>IFERROR('2.3'!P31/'2.1'!P42,"")</f>
        <v>0.95380029806259314</v>
      </c>
      <c r="Q44" s="366">
        <f>IFERROR('2.3'!Q31/'2.1'!Q42,"")</f>
        <v>0.94051784464660604</v>
      </c>
      <c r="R44" s="366">
        <f>IFERROR('2.3'!R31/'2.1'!R42,"")</f>
        <v>0.6875</v>
      </c>
      <c r="S44" s="366">
        <f>IFERROR('2.3'!S31/'2.1'!S42,"")</f>
        <v>0.83061889250814336</v>
      </c>
      <c r="T44" s="366">
        <f>IFERROR('2.3'!T31/'2.1'!T42,"")</f>
        <v>0.74569536423841054</v>
      </c>
      <c r="U44" s="367">
        <f>IFERROR('2.3'!U31/'2.1'!U42,"")</f>
        <v>0.80801165331391112</v>
      </c>
      <c r="V44" s="367">
        <f>IFERROR('2.3'!V31/'2.1'!V42,"")</f>
        <v>0.89796646450231898</v>
      </c>
      <c r="W44" s="367">
        <f>IFERROR('2.3'!W31/'2.1'!W42,"")</f>
        <v>0.83409184940008274</v>
      </c>
    </row>
    <row r="45" spans="2:23" hidden="1" outlineLevel="1" x14ac:dyDescent="0.25">
      <c r="B45" s="362">
        <v>39904</v>
      </c>
      <c r="C45" s="366" t="str">
        <f>IFERROR('2.3'!C32/'2.1'!C43,"")</f>
        <v/>
      </c>
      <c r="D45" s="366" t="str">
        <f>IFERROR('2.3'!D32/'2.1'!D43,"")</f>
        <v/>
      </c>
      <c r="E45" s="366" t="str">
        <f>IFERROR('2.3'!E32/'2.1'!E43,"")</f>
        <v/>
      </c>
      <c r="F45" s="366" t="str">
        <f>IFERROR('2.3'!F32/'2.1'!F43,"")</f>
        <v/>
      </c>
      <c r="G45" s="366" t="str">
        <f>IFERROR('2.3'!G32/'2.1'!G43,"")</f>
        <v/>
      </c>
      <c r="H45" s="366" t="str">
        <f>IFERROR('2.3'!H32/'2.1'!H43,"")</f>
        <v/>
      </c>
      <c r="I45" s="366">
        <f>IFERROR('2.3'!I32/'2.1'!I43,"")</f>
        <v>0.99547983310152988</v>
      </c>
      <c r="J45" s="366">
        <f>IFERROR('2.3'!J32/'2.1'!J43,"")</f>
        <v>0.99363732767762458</v>
      </c>
      <c r="K45" s="366">
        <f>IFERROR('2.3'!K32/'2.1'!K43,"")</f>
        <v>0.99502487562189057</v>
      </c>
      <c r="L45" s="366">
        <f>IFERROR('2.3'!L32/'2.1'!L43,"")</f>
        <v>0.57708430367955288</v>
      </c>
      <c r="M45" s="366">
        <f>IFERROR('2.3'!M32/'2.1'!M43,"")</f>
        <v>0.77777777777777779</v>
      </c>
      <c r="N45" s="366">
        <f>IFERROR('2.3'!N32/'2.1'!N43,"")</f>
        <v>0.62508858965272851</v>
      </c>
      <c r="O45" s="366">
        <f>IFERROR('2.3'!O32/'2.1'!O43,"")</f>
        <v>0.95325779036827196</v>
      </c>
      <c r="P45" s="366">
        <f>IFERROR('2.3'!P32/'2.1'!P43,"")</f>
        <v>0.95812395309882747</v>
      </c>
      <c r="Q45" s="366">
        <f>IFERROR('2.3'!Q32/'2.1'!Q43,"")</f>
        <v>0.95548733691481202</v>
      </c>
      <c r="R45" s="366">
        <f>IFERROR('2.3'!R32/'2.1'!R43,"")</f>
        <v>0.8125</v>
      </c>
      <c r="S45" s="366">
        <f>IFERROR('2.3'!S32/'2.1'!S43,"")</f>
        <v>0.85614035087719298</v>
      </c>
      <c r="T45" s="366">
        <f>IFERROR('2.3'!T32/'2.1'!T43,"")</f>
        <v>0.83024251069900146</v>
      </c>
      <c r="U45" s="367">
        <f>IFERROR('2.3'!U32/'2.1'!U43,"")</f>
        <v>0.83205858421480883</v>
      </c>
      <c r="V45" s="367">
        <f>IFERROR('2.3'!V32/'2.1'!V43,"")</f>
        <v>0.91120000000000001</v>
      </c>
      <c r="W45" s="367">
        <f>IFERROR('2.3'!W32/'2.1'!W43,"")</f>
        <v>0.85494505494505491</v>
      </c>
    </row>
    <row r="46" spans="2:23" hidden="1" outlineLevel="1" x14ac:dyDescent="0.25">
      <c r="B46" s="362">
        <v>39934</v>
      </c>
      <c r="C46" s="366" t="str">
        <f>IFERROR('2.3'!C33/'2.1'!C44,"")</f>
        <v/>
      </c>
      <c r="D46" s="366" t="str">
        <f>IFERROR('2.3'!D33/'2.1'!D44,"")</f>
        <v/>
      </c>
      <c r="E46" s="366" t="str">
        <f>IFERROR('2.3'!E33/'2.1'!E44,"")</f>
        <v/>
      </c>
      <c r="F46" s="366" t="str">
        <f>IFERROR('2.3'!F33/'2.1'!F44,"")</f>
        <v/>
      </c>
      <c r="G46" s="366" t="str">
        <f>IFERROR('2.3'!G33/'2.1'!G44,"")</f>
        <v/>
      </c>
      <c r="H46" s="366" t="str">
        <f>IFERROR('2.3'!H33/'2.1'!H44,"")</f>
        <v/>
      </c>
      <c r="I46" s="366">
        <f>IFERROR('2.3'!I33/'2.1'!I44,"")</f>
        <v>0.97562804649418822</v>
      </c>
      <c r="J46" s="366">
        <f>IFERROR('2.3'!J33/'2.1'!J44,"")</f>
        <v>0.99096045197740112</v>
      </c>
      <c r="K46" s="366">
        <f>IFERROR('2.3'!K33/'2.1'!K44,"")</f>
        <v>0.97944819819819817</v>
      </c>
      <c r="L46" s="366">
        <f>IFERROR('2.3'!L33/'2.1'!L44,"")</f>
        <v>0.55781584582441113</v>
      </c>
      <c r="M46" s="366">
        <f>IFERROR('2.3'!M33/'2.1'!M44,"")</f>
        <v>0.73421926910299007</v>
      </c>
      <c r="N46" s="366">
        <f>IFERROR('2.3'!N33/'2.1'!N44,"")</f>
        <v>0.60080971659919025</v>
      </c>
      <c r="O46" s="366">
        <f>IFERROR('2.3'!O33/'2.1'!O44,"")</f>
        <v>0.95189003436426112</v>
      </c>
      <c r="P46" s="366">
        <f>IFERROR('2.3'!P33/'2.1'!P44,"")</f>
        <v>0.94965277777777779</v>
      </c>
      <c r="Q46" s="366">
        <f>IFERROR('2.3'!Q33/'2.1'!Q44,"")</f>
        <v>0.95077720207253891</v>
      </c>
      <c r="R46" s="366">
        <f>IFERROR('2.3'!R33/'2.1'!R44,"")</f>
        <v>0.87782805429864252</v>
      </c>
      <c r="S46" s="366">
        <f>IFERROR('2.3'!S33/'2.1'!S44,"")</f>
        <v>0.85761589403973515</v>
      </c>
      <c r="T46" s="366">
        <f>IFERROR('2.3'!T33/'2.1'!T44,"")</f>
        <v>0.8696236559139785</v>
      </c>
      <c r="U46" s="367">
        <f>IFERROR('2.3'!U33/'2.1'!U44,"")</f>
        <v>0.82496851951789896</v>
      </c>
      <c r="V46" s="367">
        <f>IFERROR('2.3'!V33/'2.1'!V44,"")</f>
        <v>0.89852008456659616</v>
      </c>
      <c r="W46" s="367">
        <f>IFERROR('2.3'!W33/'2.1'!W44,"")</f>
        <v>0.8469207470974256</v>
      </c>
    </row>
    <row r="47" spans="2:23" hidden="1" outlineLevel="1" x14ac:dyDescent="0.25">
      <c r="B47" s="362">
        <v>39965</v>
      </c>
      <c r="C47" s="366" t="str">
        <f>IFERROR('2.3'!C34/'2.1'!C45,"")</f>
        <v/>
      </c>
      <c r="D47" s="366" t="str">
        <f>IFERROR('2.3'!D34/'2.1'!D45,"")</f>
        <v/>
      </c>
      <c r="E47" s="366" t="str">
        <f>IFERROR('2.3'!E34/'2.1'!E45,"")</f>
        <v/>
      </c>
      <c r="F47" s="366" t="str">
        <f>IFERROR('2.3'!F34/'2.1'!F45,"")</f>
        <v/>
      </c>
      <c r="G47" s="366" t="str">
        <f>IFERROR('2.3'!G34/'2.1'!G45,"")</f>
        <v/>
      </c>
      <c r="H47" s="366" t="str">
        <f>IFERROR('2.3'!H34/'2.1'!H45,"")</f>
        <v/>
      </c>
      <c r="I47" s="366">
        <f>IFERROR('2.3'!I34/'2.1'!I45,"")</f>
        <v>0.94102694458566349</v>
      </c>
      <c r="J47" s="366">
        <f>IFERROR('2.3'!J34/'2.1'!J45,"")</f>
        <v>0.9437439379243453</v>
      </c>
      <c r="K47" s="366">
        <f>IFERROR('2.3'!K34/'2.1'!K45,"")</f>
        <v>0.94196130753835894</v>
      </c>
      <c r="L47" s="366">
        <f>IFERROR('2.3'!L34/'2.1'!L45,"")</f>
        <v>0.59266503667481663</v>
      </c>
      <c r="M47" s="366">
        <f>IFERROR('2.3'!M34/'2.1'!M45,"")</f>
        <v>0.76190476190476186</v>
      </c>
      <c r="N47" s="366">
        <f>IFERROR('2.3'!N34/'2.1'!N45,"")</f>
        <v>0.63741007194244603</v>
      </c>
      <c r="O47" s="366">
        <f>IFERROR('2.3'!O34/'2.1'!O45,"")</f>
        <v>0.70383459483526267</v>
      </c>
      <c r="P47" s="366">
        <f>IFERROR('2.3'!P34/'2.1'!P45,"")</f>
        <v>0.94699665696106983</v>
      </c>
      <c r="Q47" s="366">
        <f>IFERROR('2.3'!Q34/'2.1'!Q45,"")</f>
        <v>0.78660842112991447</v>
      </c>
      <c r="R47" s="366">
        <f>IFERROR('2.3'!R34/'2.1'!R45,"")</f>
        <v>0.87073170731707317</v>
      </c>
      <c r="S47" s="366">
        <f>IFERROR('2.3'!S34/'2.1'!S45,"")</f>
        <v>0.90883190883190879</v>
      </c>
      <c r="T47" s="366">
        <f>IFERROR('2.3'!T34/'2.1'!T45,"")</f>
        <v>0.88830486202365311</v>
      </c>
      <c r="U47" s="367">
        <f>IFERROR('2.3'!U34/'2.1'!U45,"")</f>
        <v>0.71145745577085084</v>
      </c>
      <c r="V47" s="367">
        <f>IFERROR('2.3'!V34/'2.1'!V45,"")</f>
        <v>0.93960218748487634</v>
      </c>
      <c r="W47" s="367">
        <f>IFERROR('2.3'!W34/'2.1'!W45,"")</f>
        <v>0.7887120827256191</v>
      </c>
    </row>
    <row r="48" spans="2:23" hidden="1" outlineLevel="1" x14ac:dyDescent="0.25">
      <c r="B48" s="362">
        <v>39995</v>
      </c>
      <c r="C48" s="366" t="str">
        <f>IFERROR('2.3'!C35/'2.1'!C46,"")</f>
        <v/>
      </c>
      <c r="D48" s="366" t="str">
        <f>IFERROR('2.3'!D35/'2.1'!D46,"")</f>
        <v/>
      </c>
      <c r="E48" s="366" t="str">
        <f>IFERROR('2.3'!E35/'2.1'!E46,"")</f>
        <v/>
      </c>
      <c r="F48" s="366" t="str">
        <f>IFERROR('2.3'!F35/'2.1'!F46,"")</f>
        <v/>
      </c>
      <c r="G48" s="366" t="str">
        <f>IFERROR('2.3'!G35/'2.1'!G46,"")</f>
        <v/>
      </c>
      <c r="H48" s="366" t="str">
        <f>IFERROR('2.3'!H35/'2.1'!H46,"")</f>
        <v/>
      </c>
      <c r="I48" s="366">
        <f>IFERROR('2.3'!I35/'2.1'!I46,"")</f>
        <v>0.9748489705338429</v>
      </c>
      <c r="J48" s="366">
        <f>IFERROR('2.3'!J35/'2.1'!J46,"")</f>
        <v>0.96660808435852374</v>
      </c>
      <c r="K48" s="366">
        <f>IFERROR('2.3'!K35/'2.1'!K46,"")</f>
        <v>0.97383500919018273</v>
      </c>
      <c r="L48" s="366">
        <f>IFERROR('2.3'!L35/'2.1'!L46,"")</f>
        <v>0.57894736842105265</v>
      </c>
      <c r="M48" s="366">
        <f>IFERROR('2.3'!M35/'2.1'!M46,"")</f>
        <v>0.76839237057220711</v>
      </c>
      <c r="N48" s="366">
        <f>IFERROR('2.3'!N35/'2.1'!N46,"")</f>
        <v>0.61946386946386944</v>
      </c>
      <c r="O48" s="366">
        <f>IFERROR('2.3'!O35/'2.1'!O46,"")</f>
        <v>0.88928828181164632</v>
      </c>
      <c r="P48" s="366">
        <f>IFERROR('2.3'!P35/'2.1'!P46,"")</f>
        <v>0.95486549918757901</v>
      </c>
      <c r="Q48" s="366">
        <f>IFERROR('2.3'!Q35/'2.1'!Q46,"")</f>
        <v>0.91948131113019871</v>
      </c>
      <c r="R48" s="366">
        <f>IFERROR('2.3'!R35/'2.1'!R46,"")</f>
        <v>0.92500000000000004</v>
      </c>
      <c r="S48" s="366">
        <f>IFERROR('2.3'!S35/'2.1'!S46,"")</f>
        <v>0.90909090909090906</v>
      </c>
      <c r="T48" s="366">
        <f>IFERROR('2.3'!T35/'2.1'!T46,"")</f>
        <v>0.9178082191780822</v>
      </c>
      <c r="U48" s="367">
        <f>IFERROR('2.3'!U35/'2.1'!U46,"")</f>
        <v>0.88508294495323148</v>
      </c>
      <c r="V48" s="367">
        <f>IFERROR('2.3'!V35/'2.1'!V46,"")</f>
        <v>0.94749986715553425</v>
      </c>
      <c r="W48" s="367">
        <f>IFERROR('2.3'!W35/'2.1'!W46,"")</f>
        <v>0.90881176518120477</v>
      </c>
    </row>
    <row r="49" spans="2:23" hidden="1" outlineLevel="1" x14ac:dyDescent="0.25">
      <c r="B49" s="362">
        <v>40026</v>
      </c>
      <c r="C49" s="366" t="str">
        <f>IFERROR('2.3'!C36/'2.1'!C47,"")</f>
        <v/>
      </c>
      <c r="D49" s="366" t="str">
        <f>IFERROR('2.3'!D36/'2.1'!D47,"")</f>
        <v/>
      </c>
      <c r="E49" s="366" t="str">
        <f>IFERROR('2.3'!E36/'2.1'!E47,"")</f>
        <v/>
      </c>
      <c r="F49" s="366" t="str">
        <f>IFERROR('2.3'!F36/'2.1'!F47,"")</f>
        <v/>
      </c>
      <c r="G49" s="366" t="str">
        <f>IFERROR('2.3'!G36/'2.1'!G47,"")</f>
        <v/>
      </c>
      <c r="H49" s="366" t="str">
        <f>IFERROR('2.3'!H36/'2.1'!H47,"")</f>
        <v/>
      </c>
      <c r="I49" s="366">
        <f>IFERROR('2.3'!I36/'2.1'!I47,"")</f>
        <v>0.97861751152073728</v>
      </c>
      <c r="J49" s="366">
        <f>IFERROR('2.3'!J36/'2.1'!J47,"")</f>
        <v>0.97918112421929215</v>
      </c>
      <c r="K49" s="366">
        <f>IFERROR('2.3'!K36/'2.1'!K47,"")</f>
        <v>0.97873579959219337</v>
      </c>
      <c r="L49" s="366">
        <f>IFERROR('2.3'!L36/'2.1'!L47,"")</f>
        <v>0.5661842569714084</v>
      </c>
      <c r="M49" s="366">
        <f>IFERROR('2.3'!M36/'2.1'!M47,"")</f>
        <v>0.73108265424912688</v>
      </c>
      <c r="N49" s="366">
        <f>IFERROR('2.3'!N36/'2.1'!N47,"")</f>
        <v>0.60455037919826649</v>
      </c>
      <c r="O49" s="366">
        <f>IFERROR('2.3'!O36/'2.1'!O47,"")</f>
        <v>0.97865600492080573</v>
      </c>
      <c r="P49" s="366">
        <f>IFERROR('2.3'!P36/'2.1'!P47,"")</f>
        <v>0.97889646076060677</v>
      </c>
      <c r="Q49" s="366">
        <f>IFERROR('2.3'!Q36/'2.1'!Q47,"")</f>
        <v>0.97875497647484622</v>
      </c>
      <c r="R49" s="366">
        <f>IFERROR('2.3'!R36/'2.1'!R47,"")</f>
        <v>0.76715410573678289</v>
      </c>
      <c r="S49" s="366">
        <f>IFERROR('2.3'!S36/'2.1'!S47,"")</f>
        <v>0.88695652173913042</v>
      </c>
      <c r="T49" s="366">
        <f>IFERROR('2.3'!T36/'2.1'!T47,"")</f>
        <v>0.81420765027322406</v>
      </c>
      <c r="U49" s="367">
        <f>IFERROR('2.3'!U36/'2.1'!U47,"")</f>
        <v>0.94608996207575247</v>
      </c>
      <c r="V49" s="367">
        <f>IFERROR('2.3'!V36/'2.1'!V47,"")</f>
        <v>0.96854020296643251</v>
      </c>
      <c r="W49" s="367">
        <f>IFERROR('2.3'!W36/'2.1'!W47,"")</f>
        <v>0.95463868493802206</v>
      </c>
    </row>
    <row r="50" spans="2:23" hidden="1" outlineLevel="1" x14ac:dyDescent="0.25">
      <c r="B50" s="362">
        <v>40057</v>
      </c>
      <c r="C50" s="366" t="str">
        <f>IFERROR('2.3'!C37/'2.1'!C48,"")</f>
        <v/>
      </c>
      <c r="D50" s="366" t="str">
        <f>IFERROR('2.3'!D37/'2.1'!D48,"")</f>
        <v/>
      </c>
      <c r="E50" s="366" t="str">
        <f>IFERROR('2.3'!E37/'2.1'!E48,"")</f>
        <v/>
      </c>
      <c r="F50" s="366" t="str">
        <f>IFERROR('2.3'!F37/'2.1'!F48,"")</f>
        <v/>
      </c>
      <c r="G50" s="366" t="str">
        <f>IFERROR('2.3'!G37/'2.1'!G48,"")</f>
        <v/>
      </c>
      <c r="H50" s="366" t="str">
        <f>IFERROR('2.3'!H37/'2.1'!H48,"")</f>
        <v/>
      </c>
      <c r="I50" s="366">
        <f>IFERROR('2.3'!I37/'2.1'!I48,"")</f>
        <v>0.97145138750249549</v>
      </c>
      <c r="J50" s="366">
        <f>IFERROR('2.3'!J37/'2.1'!J48,"")</f>
        <v>0.93535353535353538</v>
      </c>
      <c r="K50" s="366">
        <f>IFERROR('2.3'!K37/'2.1'!K48,"")</f>
        <v>0.96319679704342465</v>
      </c>
      <c r="L50" s="366">
        <f>IFERROR('2.3'!L37/'2.1'!L48,"")</f>
        <v>0.54488188976377949</v>
      </c>
      <c r="M50" s="366">
        <f>IFERROR('2.3'!M37/'2.1'!M48,"")</f>
        <v>0.73768613974799546</v>
      </c>
      <c r="N50" s="366">
        <f>IFERROR('2.3'!N37/'2.1'!N48,"")</f>
        <v>0.59419865221213009</v>
      </c>
      <c r="O50" s="366">
        <f>IFERROR('2.3'!O37/'2.1'!O48,"")</f>
        <v>0.97623952432229977</v>
      </c>
      <c r="P50" s="366">
        <f>IFERROR('2.3'!P37/'2.1'!P48,"")</f>
        <v>0.98140228097459825</v>
      </c>
      <c r="Q50" s="366">
        <f>IFERROR('2.3'!Q37/'2.1'!Q48,"")</f>
        <v>0.97840504471202194</v>
      </c>
      <c r="R50" s="366">
        <f>IFERROR('2.3'!R37/'2.1'!R48,"")</f>
        <v>0.85876288659793809</v>
      </c>
      <c r="S50" s="366">
        <f>IFERROR('2.3'!S37/'2.1'!S48,"")</f>
        <v>0.88288288288288286</v>
      </c>
      <c r="T50" s="366">
        <f>IFERROR('2.3'!T37/'2.1'!T48,"")</f>
        <v>0.86949055523755003</v>
      </c>
      <c r="U50" s="367">
        <f>IFERROR('2.3'!U37/'2.1'!U48,"")</f>
        <v>0.95216347561332626</v>
      </c>
      <c r="V50" s="367">
        <f>IFERROR('2.3'!V37/'2.1'!V48,"")</f>
        <v>0.97088149651460343</v>
      </c>
      <c r="W50" s="367">
        <f>IFERROR('2.3'!W37/'2.1'!W48,"")</f>
        <v>0.95962973391524709</v>
      </c>
    </row>
    <row r="51" spans="2:23" hidden="1" outlineLevel="1" x14ac:dyDescent="0.25">
      <c r="B51" s="362">
        <v>40087</v>
      </c>
      <c r="C51" s="366" t="str">
        <f>IFERROR('2.3'!C38/'2.1'!C49,"")</f>
        <v/>
      </c>
      <c r="D51" s="366" t="str">
        <f>IFERROR('2.3'!D38/'2.1'!D49,"")</f>
        <v/>
      </c>
      <c r="E51" s="366" t="str">
        <f>IFERROR('2.3'!E38/'2.1'!E49,"")</f>
        <v/>
      </c>
      <c r="F51" s="366" t="str">
        <f>IFERROR('2.3'!F38/'2.1'!F49,"")</f>
        <v/>
      </c>
      <c r="G51" s="366" t="str">
        <f>IFERROR('2.3'!G38/'2.1'!G49,"")</f>
        <v/>
      </c>
      <c r="H51" s="366" t="str">
        <f>IFERROR('2.3'!H38/'2.1'!H49,"")</f>
        <v/>
      </c>
      <c r="I51" s="366">
        <f>IFERROR('2.3'!I38/'2.1'!I49,"")</f>
        <v>0.96211389961389959</v>
      </c>
      <c r="J51" s="366">
        <f>IFERROR('2.3'!J38/'2.1'!J49,"")</f>
        <v>0.9311827956989247</v>
      </c>
      <c r="K51" s="366">
        <f>IFERROR('2.3'!K38/'2.1'!K49,"")</f>
        <v>0.95432388517782996</v>
      </c>
      <c r="L51" s="366">
        <f>IFERROR('2.3'!L38/'2.1'!L49,"")</f>
        <v>0.53739272578667752</v>
      </c>
      <c r="M51" s="366">
        <f>IFERROR('2.3'!M38/'2.1'!M49,"")</f>
        <v>0.73880597014925375</v>
      </c>
      <c r="N51" s="366">
        <f>IFERROR('2.3'!N38/'2.1'!N49,"")</f>
        <v>0.58720393725007691</v>
      </c>
      <c r="O51" s="366">
        <f>IFERROR('2.3'!O38/'2.1'!O49,"")</f>
        <v>0.95948293480482316</v>
      </c>
      <c r="P51" s="366">
        <f>IFERROR('2.3'!P38/'2.1'!P49,"")</f>
        <v>0.96955890121500266</v>
      </c>
      <c r="Q51" s="366">
        <f>IFERROR('2.3'!Q38/'2.1'!Q49,"")</f>
        <v>0.96387832699619769</v>
      </c>
      <c r="R51" s="366">
        <f>IFERROR('2.3'!R38/'2.1'!R49,"")</f>
        <v>0.87221396731054979</v>
      </c>
      <c r="S51" s="366">
        <f>IFERROR('2.3'!S38/'2.1'!S49,"")</f>
        <v>0.8764044943820225</v>
      </c>
      <c r="T51" s="366">
        <f>IFERROR('2.3'!T38/'2.1'!T49,"")</f>
        <v>0.87406793703396857</v>
      </c>
      <c r="U51" s="367">
        <f>IFERROR('2.3'!U38/'2.1'!U49,"")</f>
        <v>0.91921299746609031</v>
      </c>
      <c r="V51" s="367">
        <f>IFERROR('2.3'!V38/'2.1'!V49,"")</f>
        <v>0.95340381495776694</v>
      </c>
      <c r="W51" s="367">
        <f>IFERROR('2.3'!W38/'2.1'!W49,"")</f>
        <v>0.93288305414532691</v>
      </c>
    </row>
    <row r="52" spans="2:23" hidden="1" outlineLevel="1" x14ac:dyDescent="0.25">
      <c r="B52" s="362">
        <v>40118</v>
      </c>
      <c r="C52" s="366" t="str">
        <f>IFERROR('2.3'!C39/'2.1'!C50,"")</f>
        <v/>
      </c>
      <c r="D52" s="366" t="str">
        <f>IFERROR('2.3'!D39/'2.1'!D50,"")</f>
        <v/>
      </c>
      <c r="E52" s="366" t="str">
        <f>IFERROR('2.3'!E39/'2.1'!E50,"")</f>
        <v/>
      </c>
      <c r="F52" s="366" t="str">
        <f>IFERROR('2.3'!F39/'2.1'!F50,"")</f>
        <v/>
      </c>
      <c r="G52" s="366" t="str">
        <f>IFERROR('2.3'!G39/'2.1'!G50,"")</f>
        <v/>
      </c>
      <c r="H52" s="366" t="str">
        <f>IFERROR('2.3'!H39/'2.1'!H50,"")</f>
        <v/>
      </c>
      <c r="I52" s="366">
        <f>IFERROR('2.3'!I39/'2.1'!I50,"")</f>
        <v>0.97840676976947771</v>
      </c>
      <c r="J52" s="366">
        <f>IFERROR('2.3'!J39/'2.1'!J50,"")</f>
        <v>0.9737072743207712</v>
      </c>
      <c r="K52" s="366">
        <f>IFERROR('2.3'!K39/'2.1'!K50,"")</f>
        <v>0.97723292469352019</v>
      </c>
      <c r="L52" s="366">
        <f>IFERROR('2.3'!L39/'2.1'!L50,"")</f>
        <v>0.50476668339187158</v>
      </c>
      <c r="M52" s="366">
        <f>IFERROR('2.3'!M39/'2.1'!M50,"")</f>
        <v>0.75407166123778502</v>
      </c>
      <c r="N52" s="366">
        <f>IFERROR('2.3'!N39/'2.1'!N50,"")</f>
        <v>0.5634829305715382</v>
      </c>
      <c r="O52" s="366">
        <f>IFERROR('2.3'!O39/'2.1'!O50,"")</f>
        <v>0.95859847592112502</v>
      </c>
      <c r="P52" s="366">
        <f>IFERROR('2.3'!P39/'2.1'!P50,"")</f>
        <v>0.96682350102545545</v>
      </c>
      <c r="Q52" s="366">
        <f>IFERROR('2.3'!Q39/'2.1'!Q50,"")</f>
        <v>0.96184223046912165</v>
      </c>
      <c r="R52" s="366">
        <f>IFERROR('2.3'!R39/'2.1'!R50,"")</f>
        <v>0.87519025875190259</v>
      </c>
      <c r="S52" s="366">
        <f>IFERROR('2.3'!S39/'2.1'!S50,"")</f>
        <v>0.91827956989247317</v>
      </c>
      <c r="T52" s="366">
        <f>IFERROR('2.3'!T39/'2.1'!T50,"")</f>
        <v>0.89304812834224601</v>
      </c>
      <c r="U52" s="367">
        <f>IFERROR('2.3'!U39/'2.1'!U50,"")</f>
        <v>0.91119855365308944</v>
      </c>
      <c r="V52" s="367">
        <f>IFERROR('2.3'!V39/'2.1'!V50,"")</f>
        <v>0.95299267294699785</v>
      </c>
      <c r="W52" s="367">
        <f>IFERROR('2.3'!W39/'2.1'!W50,"")</f>
        <v>0.9261811359372335</v>
      </c>
    </row>
    <row r="53" spans="2:23" hidden="1" outlineLevel="1" x14ac:dyDescent="0.25">
      <c r="B53" s="362">
        <v>40148</v>
      </c>
      <c r="C53" s="366" t="str">
        <f>IFERROR('2.3'!C40/'2.1'!C51,"")</f>
        <v/>
      </c>
      <c r="D53" s="366" t="str">
        <f>IFERROR('2.3'!D40/'2.1'!D51,"")</f>
        <v/>
      </c>
      <c r="E53" s="366" t="str">
        <f>IFERROR('2.3'!E40/'2.1'!E51,"")</f>
        <v/>
      </c>
      <c r="F53" s="366" t="str">
        <f>IFERROR('2.3'!F40/'2.1'!F51,"")</f>
        <v/>
      </c>
      <c r="G53" s="366" t="str">
        <f>IFERROR('2.3'!G40/'2.1'!G51,"")</f>
        <v/>
      </c>
      <c r="H53" s="366" t="str">
        <f>IFERROR('2.3'!H40/'2.1'!H51,"")</f>
        <v/>
      </c>
      <c r="I53" s="366">
        <f>IFERROR('2.3'!I40/'2.1'!I51,"")</f>
        <v>0.98544303797468358</v>
      </c>
      <c r="J53" s="366">
        <f>IFERROR('2.3'!J40/'2.1'!J51,"")</f>
        <v>0.98231009365244537</v>
      </c>
      <c r="K53" s="366">
        <f>IFERROR('2.3'!K40/'2.1'!K51,"")</f>
        <v>0.98471244843484595</v>
      </c>
      <c r="L53" s="366">
        <f>IFERROR('2.3'!L40/'2.1'!L51,"")</f>
        <v>0.50160599571734477</v>
      </c>
      <c r="M53" s="366">
        <f>IFERROR('2.3'!M40/'2.1'!M51,"")</f>
        <v>0.71653543307086609</v>
      </c>
      <c r="N53" s="366">
        <f>IFERROR('2.3'!N40/'2.1'!N51,"")</f>
        <v>0.55613264083100278</v>
      </c>
      <c r="O53" s="366">
        <f>IFERROR('2.3'!O40/'2.1'!O51,"")</f>
        <v>0.94143540669856463</v>
      </c>
      <c r="P53" s="366">
        <f>IFERROR('2.3'!P40/'2.1'!P51,"")</f>
        <v>0.90309822017139085</v>
      </c>
      <c r="Q53" s="366">
        <f>IFERROR('2.3'!Q40/'2.1'!Q51,"")</f>
        <v>0.92735197965855432</v>
      </c>
      <c r="R53" s="366">
        <f>IFERROR('2.3'!R40/'2.1'!R51,"")</f>
        <v>0.85419734904270983</v>
      </c>
      <c r="S53" s="366">
        <f>IFERROR('2.3'!S40/'2.1'!S51,"")</f>
        <v>0.8884955752212389</v>
      </c>
      <c r="T53" s="366">
        <f>IFERROR('2.3'!T40/'2.1'!T51,"")</f>
        <v>0.86977491961414788</v>
      </c>
      <c r="U53" s="367">
        <f>IFERROR('2.3'!U40/'2.1'!U51,"")</f>
        <v>0.89552515937364607</v>
      </c>
      <c r="V53" s="367">
        <f>IFERROR('2.3'!V40/'2.1'!V51,"")</f>
        <v>0.8969498116417548</v>
      </c>
      <c r="W53" s="367">
        <f>IFERROR('2.3'!W40/'2.1'!W51,"")</f>
        <v>0.89600590502747479</v>
      </c>
    </row>
    <row r="54" spans="2:23" collapsed="1" x14ac:dyDescent="0.25">
      <c r="B54" s="364" t="s">
        <v>700</v>
      </c>
      <c r="C54" s="367" t="str">
        <f>IFERROR('2.3'!C41/'2.1'!C52,"")</f>
        <v/>
      </c>
      <c r="D54" s="367" t="str">
        <f>IFERROR('2.3'!D41/'2.1'!D52,"")</f>
        <v/>
      </c>
      <c r="E54" s="367" t="str">
        <f>IFERROR('2.3'!E41/'2.1'!E52,"")</f>
        <v/>
      </c>
      <c r="F54" s="367" t="str">
        <f>IFERROR('2.3'!F41/'2.1'!F52,"")</f>
        <v/>
      </c>
      <c r="G54" s="367" t="str">
        <f>IFERROR('2.3'!G41/'2.1'!G52,"")</f>
        <v/>
      </c>
      <c r="H54" s="367" t="str">
        <f>IFERROR('2.3'!H41/'2.1'!H52,"")</f>
        <v/>
      </c>
      <c r="I54" s="367">
        <f>IFERROR('2.3'!I41/'2.1'!I52,"")</f>
        <v>0.97928683796539062</v>
      </c>
      <c r="J54" s="367">
        <f>IFERROR('2.3'!J41/'2.1'!J52,"")</f>
        <v>0.97079646017699117</v>
      </c>
      <c r="K54" s="367">
        <f>IFERROR('2.3'!K41/'2.1'!K52,"")</f>
        <v>0.97734169532672466</v>
      </c>
      <c r="L54" s="367">
        <f>IFERROR('2.3'!L41/'2.1'!L52,"")</f>
        <v>0.55173951828724355</v>
      </c>
      <c r="M54" s="367">
        <f>IFERROR('2.3'!M41/'2.1'!M52,"")</f>
        <v>0.74547983310152988</v>
      </c>
      <c r="N54" s="367">
        <f>IFERROR('2.3'!N41/'2.1'!N52,"")</f>
        <v>0.59878419452887544</v>
      </c>
      <c r="O54" s="367">
        <f>IFERROR('2.3'!O41/'2.1'!O52,"")</f>
        <v>0.90562453355044437</v>
      </c>
      <c r="P54" s="367">
        <f>IFERROR('2.3'!P41/'2.1'!P52,"")</f>
        <v>0.964190325452567</v>
      </c>
      <c r="Q54" s="367">
        <f>IFERROR('2.3'!Q41/'2.1'!Q52,"")</f>
        <v>0.92941365849732382</v>
      </c>
      <c r="R54" s="367">
        <f>IFERROR('2.3'!R41/'2.1'!R52,"")</f>
        <v>0.81914893617021278</v>
      </c>
      <c r="S54" s="367">
        <f>IFERROR('2.3'!S41/'2.1'!S52,"")</f>
        <v>0.87409200968523004</v>
      </c>
      <c r="T54" s="367">
        <f>IFERROR('2.3'!T41/'2.1'!T52,"")</f>
        <v>0.84237461617195497</v>
      </c>
      <c r="U54" s="367">
        <f>IFERROR('2.3'!U41/'2.1'!U52,"")</f>
        <v>0.87926029962546814</v>
      </c>
      <c r="V54" s="367">
        <f>IFERROR('2.3'!V41/'2.1'!V52,"")</f>
        <v>0.94907444830652332</v>
      </c>
      <c r="W54" s="367">
        <f>IFERROR('2.3'!W41/'2.1'!W52,"")</f>
        <v>0.90489178772605994</v>
      </c>
    </row>
    <row r="55" spans="2:23" hidden="1" outlineLevel="1" x14ac:dyDescent="0.25">
      <c r="B55" s="362">
        <v>40179</v>
      </c>
      <c r="C55" s="366" t="str">
        <f>IFERROR('2.3'!C42/'2.1'!C53,"")</f>
        <v/>
      </c>
      <c r="D55" s="366" t="str">
        <f>IFERROR('2.3'!D42/'2.1'!D53,"")</f>
        <v/>
      </c>
      <c r="E55" s="366" t="str">
        <f>IFERROR('2.3'!E42/'2.1'!E53,"")</f>
        <v/>
      </c>
      <c r="F55" s="366" t="str">
        <f>IFERROR('2.3'!F42/'2.1'!F53,"")</f>
        <v/>
      </c>
      <c r="G55" s="366" t="str">
        <f>IFERROR('2.3'!G42/'2.1'!G53,"")</f>
        <v/>
      </c>
      <c r="H55" s="366" t="str">
        <f>IFERROR('2.3'!H42/'2.1'!H53,"")</f>
        <v/>
      </c>
      <c r="I55" s="366">
        <f>IFERROR('2.3'!I42/'2.1'!I53,"")</f>
        <v>0.99537366548042705</v>
      </c>
      <c r="J55" s="366">
        <f>IFERROR('2.3'!J42/'2.1'!J53,"")</f>
        <v>0.99228224917309815</v>
      </c>
      <c r="K55" s="366">
        <f>IFERROR('2.3'!K42/'2.1'!K53,"")</f>
        <v>0.99461931665321501</v>
      </c>
      <c r="L55" s="366">
        <f>IFERROR('2.3'!L42/'2.1'!L53,"")</f>
        <v>0.53410404624277452</v>
      </c>
      <c r="M55" s="366">
        <f>IFERROR('2.3'!M42/'2.1'!M53,"")</f>
        <v>0.73397435897435892</v>
      </c>
      <c r="N55" s="366">
        <f>IFERROR('2.3'!N42/'2.1'!N53,"")</f>
        <v>0.58708581138487681</v>
      </c>
      <c r="O55" s="366">
        <f>IFERROR('2.3'!O42/'2.1'!O53,"")</f>
        <v>0.965134328358209</v>
      </c>
      <c r="P55" s="366">
        <f>IFERROR('2.3'!P42/'2.1'!P53,"")</f>
        <v>0.92137297944522056</v>
      </c>
      <c r="Q55" s="366">
        <f>IFERROR('2.3'!Q42/'2.1'!Q53,"")</f>
        <v>0.94875242790975645</v>
      </c>
      <c r="R55" s="366">
        <f>IFERROR('2.3'!R42/'2.1'!R53,"")</f>
        <v>0.90666666666666662</v>
      </c>
      <c r="S55" s="366">
        <f>IFERROR('2.3'!S42/'2.1'!S53,"")</f>
        <v>0.96961325966850831</v>
      </c>
      <c r="T55" s="366">
        <f>IFERROR('2.3'!T42/'2.1'!T53,"")</f>
        <v>0.93035343035343032</v>
      </c>
      <c r="U55" s="367">
        <f>IFERROR('2.3'!U42/'2.1'!U53,"")</f>
        <v>0.91365149833518311</v>
      </c>
      <c r="V55" s="367">
        <f>IFERROR('2.3'!V42/'2.1'!V53,"")</f>
        <v>0.91628041714947861</v>
      </c>
      <c r="W55" s="367">
        <f>IFERROR('2.3'!W42/'2.1'!W53,"")</f>
        <v>0.91454037905871977</v>
      </c>
    </row>
    <row r="56" spans="2:23" hidden="1" outlineLevel="1" x14ac:dyDescent="0.25">
      <c r="B56" s="362">
        <v>40210</v>
      </c>
      <c r="C56" s="366" t="str">
        <f>IFERROR('2.3'!C43/'2.1'!C54,"")</f>
        <v/>
      </c>
      <c r="D56" s="366" t="str">
        <f>IFERROR('2.3'!D43/'2.1'!D54,"")</f>
        <v/>
      </c>
      <c r="E56" s="366" t="str">
        <f>IFERROR('2.3'!E43/'2.1'!E54,"")</f>
        <v/>
      </c>
      <c r="F56" s="366" t="str">
        <f>IFERROR('2.3'!F43/'2.1'!F54,"")</f>
        <v/>
      </c>
      <c r="G56" s="366" t="str">
        <f>IFERROR('2.3'!G43/'2.1'!G54,"")</f>
        <v/>
      </c>
      <c r="H56" s="366" t="str">
        <f>IFERROR('2.3'!H43/'2.1'!H54,"")</f>
        <v/>
      </c>
      <c r="I56" s="366">
        <f>IFERROR('2.3'!I43/'2.1'!I54,"")</f>
        <v>0.99309392265193375</v>
      </c>
      <c r="J56" s="366">
        <f>IFERROR('2.3'!J43/'2.1'!J54,"")</f>
        <v>0.9728729963008631</v>
      </c>
      <c r="K56" s="366">
        <f>IFERROR('2.3'!K43/'2.1'!K54,"")</f>
        <v>0.98759637948374124</v>
      </c>
      <c r="L56" s="366">
        <f>IFERROR('2.3'!L43/'2.1'!L54,"")</f>
        <v>0.52471984179301256</v>
      </c>
      <c r="M56" s="366">
        <f>IFERROR('2.3'!M43/'2.1'!M54,"")</f>
        <v>0.74446680080482897</v>
      </c>
      <c r="N56" s="366">
        <f>IFERROR('2.3'!N43/'2.1'!N54,"")</f>
        <v>0.57894736842105265</v>
      </c>
      <c r="O56" s="366">
        <f>IFERROR('2.3'!O43/'2.1'!O54,"")</f>
        <v>0.98047127178825044</v>
      </c>
      <c r="P56" s="366">
        <f>IFERROR('2.3'!P43/'2.1'!P54,"")</f>
        <v>0.95922174840085284</v>
      </c>
      <c r="Q56" s="366">
        <f>IFERROR('2.3'!Q43/'2.1'!Q54,"")</f>
        <v>0.97245677523120222</v>
      </c>
      <c r="R56" s="366">
        <f>IFERROR('2.3'!R43/'2.1'!R54,"")</f>
        <v>0.93202146690518783</v>
      </c>
      <c r="S56" s="366">
        <f>IFERROR('2.3'!S43/'2.1'!S54,"")</f>
        <v>0.9513513513513514</v>
      </c>
      <c r="T56" s="366">
        <f>IFERROR('2.3'!T43/'2.1'!T54,"")</f>
        <v>0.93972012917115177</v>
      </c>
      <c r="U56" s="367">
        <f>IFERROR('2.3'!U43/'2.1'!U54,"")</f>
        <v>0.91430486403676747</v>
      </c>
      <c r="V56" s="367">
        <f>IFERROR('2.3'!V43/'2.1'!V54,"")</f>
        <v>0.94106813996316763</v>
      </c>
      <c r="W56" s="367">
        <f>IFERROR('2.3'!W43/'2.1'!W54,"")</f>
        <v>0.92345974549577925</v>
      </c>
    </row>
    <row r="57" spans="2:23" hidden="1" outlineLevel="1" x14ac:dyDescent="0.25">
      <c r="B57" s="362">
        <v>40238</v>
      </c>
      <c r="C57" s="366" t="str">
        <f>IFERROR('2.3'!C44/'2.1'!C55,"")</f>
        <v/>
      </c>
      <c r="D57" s="366" t="str">
        <f>IFERROR('2.3'!D44/'2.1'!D55,"")</f>
        <v/>
      </c>
      <c r="E57" s="366" t="str">
        <f>IFERROR('2.3'!E44/'2.1'!E55,"")</f>
        <v/>
      </c>
      <c r="F57" s="366" t="str">
        <f>IFERROR('2.3'!F44/'2.1'!F55,"")</f>
        <v/>
      </c>
      <c r="G57" s="366" t="str">
        <f>IFERROR('2.3'!G44/'2.1'!G55,"")</f>
        <v/>
      </c>
      <c r="H57" s="366" t="str">
        <f>IFERROR('2.3'!H44/'2.1'!H55,"")</f>
        <v/>
      </c>
      <c r="I57" s="366">
        <f>IFERROR('2.3'!I44/'2.1'!I55,"")</f>
        <v>0.99150382327952424</v>
      </c>
      <c r="J57" s="366">
        <f>IFERROR('2.3'!J44/'2.1'!J55,"")</f>
        <v>0.97549591598599772</v>
      </c>
      <c r="K57" s="366">
        <f>IFERROR('2.3'!K44/'2.1'!K55,"")</f>
        <v>0.98723139208969168</v>
      </c>
      <c r="L57" s="366">
        <f>IFERROR('2.3'!L44/'2.1'!L55,"")</f>
        <v>0.55942028985507242</v>
      </c>
      <c r="M57" s="366">
        <f>IFERROR('2.3'!M44/'2.1'!M55,"")</f>
        <v>0.73570019723865876</v>
      </c>
      <c r="N57" s="366">
        <f>IFERROR('2.3'!N44/'2.1'!N55,"")</f>
        <v>0.60678325384207732</v>
      </c>
      <c r="O57" s="366">
        <f>IFERROR('2.3'!O44/'2.1'!O55,"")</f>
        <v>0.96668685645063601</v>
      </c>
      <c r="P57" s="366">
        <f>IFERROR('2.3'!P44/'2.1'!P55,"")</f>
        <v>0.95064252336448596</v>
      </c>
      <c r="Q57" s="366">
        <f>IFERROR('2.3'!Q44/'2.1'!Q55,"")</f>
        <v>0.96012892443595554</v>
      </c>
      <c r="R57" s="366">
        <f>IFERROR('2.3'!R44/'2.1'!R55,"")</f>
        <v>0.94108527131782949</v>
      </c>
      <c r="S57" s="366">
        <f>IFERROR('2.3'!S44/'2.1'!S55,"")</f>
        <v>0.97945205479452058</v>
      </c>
      <c r="T57" s="366">
        <f>IFERROR('2.3'!T44/'2.1'!T55,"")</f>
        <v>0.95660203139427513</v>
      </c>
      <c r="U57" s="367">
        <f>IFERROR('2.3'!U44/'2.1'!U55,"")</f>
        <v>0.91095156450921555</v>
      </c>
      <c r="V57" s="367">
        <f>IFERROR('2.3'!V44/'2.1'!V55,"")</f>
        <v>0.93628013777267505</v>
      </c>
      <c r="W57" s="367">
        <f>IFERROR('2.3'!W44/'2.1'!W55,"")</f>
        <v>0.92004396208270367</v>
      </c>
    </row>
    <row r="58" spans="2:23" hidden="1" outlineLevel="1" x14ac:dyDescent="0.25">
      <c r="B58" s="362">
        <v>40269</v>
      </c>
      <c r="C58" s="366" t="str">
        <f>IFERROR('2.3'!C45/'2.1'!C56,"")</f>
        <v/>
      </c>
      <c r="D58" s="366" t="str">
        <f>IFERROR('2.3'!D45/'2.1'!D56,"")</f>
        <v/>
      </c>
      <c r="E58" s="366" t="str">
        <f>IFERROR('2.3'!E45/'2.1'!E56,"")</f>
        <v/>
      </c>
      <c r="F58" s="366" t="str">
        <f>IFERROR('2.3'!F45/'2.1'!F56,"")</f>
        <v/>
      </c>
      <c r="G58" s="366" t="str">
        <f>IFERROR('2.3'!G45/'2.1'!G56,"")</f>
        <v/>
      </c>
      <c r="H58" s="366" t="str">
        <f>IFERROR('2.3'!H45/'2.1'!H56,"")</f>
        <v/>
      </c>
      <c r="I58" s="366">
        <f>IFERROR('2.3'!I45/'2.1'!I56,"")</f>
        <v>0.99245283018867925</v>
      </c>
      <c r="J58" s="366">
        <f>IFERROR('2.3'!J45/'2.1'!J56,"")</f>
        <v>0.97718631178707227</v>
      </c>
      <c r="K58" s="366">
        <f>IFERROR('2.3'!K45/'2.1'!K56,"")</f>
        <v>0.98865784499054821</v>
      </c>
      <c r="L58" s="366">
        <f>IFERROR('2.3'!L45/'2.1'!L56,"")</f>
        <v>0.49816625916870416</v>
      </c>
      <c r="M58" s="366">
        <f>IFERROR('2.3'!M45/'2.1'!M56,"")</f>
        <v>0.734006734006734</v>
      </c>
      <c r="N58" s="366">
        <f>IFERROR('2.3'!N45/'2.1'!N56,"")</f>
        <v>0.56098654708520179</v>
      </c>
      <c r="O58" s="366">
        <f>IFERROR('2.3'!O45/'2.1'!O56,"")</f>
        <v>0.9634167385677308</v>
      </c>
      <c r="P58" s="366">
        <f>IFERROR('2.3'!P45/'2.1'!P56,"")</f>
        <v>0.95561204536566291</v>
      </c>
      <c r="Q58" s="366">
        <f>IFERROR('2.3'!Q45/'2.1'!Q56,"")</f>
        <v>0.95975799798331651</v>
      </c>
      <c r="R58" s="366">
        <f>IFERROR('2.3'!R45/'2.1'!R56,"")</f>
        <v>0.91167192429022081</v>
      </c>
      <c r="S58" s="366">
        <f>IFERROR('2.3'!S45/'2.1'!S56,"")</f>
        <v>0.96981891348088534</v>
      </c>
      <c r="T58" s="366">
        <f>IFERROR('2.3'!T45/'2.1'!T56,"")</f>
        <v>0.93722369584438547</v>
      </c>
      <c r="U58" s="367">
        <f>IFERROR('2.3'!U45/'2.1'!U56,"")</f>
        <v>0.89406698564593301</v>
      </c>
      <c r="V58" s="367">
        <f>IFERROR('2.3'!V45/'2.1'!V56,"")</f>
        <v>0.94023448670288823</v>
      </c>
      <c r="W58" s="367">
        <f>IFERROR('2.3'!W45/'2.1'!W56,"")</f>
        <v>0.91257739050676445</v>
      </c>
    </row>
    <row r="59" spans="2:23" hidden="1" outlineLevel="1" x14ac:dyDescent="0.25">
      <c r="B59" s="362">
        <v>40299</v>
      </c>
      <c r="C59" s="366" t="str">
        <f>IFERROR('2.3'!C46/'2.1'!C57,"")</f>
        <v/>
      </c>
      <c r="D59" s="366" t="str">
        <f>IFERROR('2.3'!D46/'2.1'!D57,"")</f>
        <v/>
      </c>
      <c r="E59" s="366" t="str">
        <f>IFERROR('2.3'!E46/'2.1'!E57,"")</f>
        <v/>
      </c>
      <c r="F59" s="366" t="str">
        <f>IFERROR('2.3'!F46/'2.1'!F57,"")</f>
        <v/>
      </c>
      <c r="G59" s="366" t="str">
        <f>IFERROR('2.3'!G46/'2.1'!G57,"")</f>
        <v/>
      </c>
      <c r="H59" s="366" t="str">
        <f>IFERROR('2.3'!H46/'2.1'!H57,"")</f>
        <v/>
      </c>
      <c r="I59" s="366">
        <f>IFERROR('2.3'!I46/'2.1'!I57,"")</f>
        <v>0.99260969976905311</v>
      </c>
      <c r="J59" s="366">
        <f>IFERROR('2.3'!J46/'2.1'!J57,"")</f>
        <v>0.98873591989987486</v>
      </c>
      <c r="K59" s="366">
        <f>IFERROR('2.3'!K46/'2.1'!K57,"")</f>
        <v>0.99156545209176783</v>
      </c>
      <c r="L59" s="366">
        <f>IFERROR('2.3'!L46/'2.1'!L57,"")</f>
        <v>0.50156152404747034</v>
      </c>
      <c r="M59" s="366">
        <f>IFERROR('2.3'!M46/'2.1'!M57,"")</f>
        <v>0.7392120075046904</v>
      </c>
      <c r="N59" s="366">
        <f>IFERROR('2.3'!N46/'2.1'!N57,"")</f>
        <v>0.56091846298031867</v>
      </c>
      <c r="O59" s="366">
        <f>IFERROR('2.3'!O46/'2.1'!O57,"")</f>
        <v>0.97210657785179022</v>
      </c>
      <c r="P59" s="366">
        <f>IFERROR('2.3'!P46/'2.1'!P57,"")</f>
        <v>0.96992481203007519</v>
      </c>
      <c r="Q59" s="366">
        <f>IFERROR('2.3'!Q46/'2.1'!Q57,"")</f>
        <v>0.97101751459549623</v>
      </c>
      <c r="R59" s="366">
        <f>IFERROR('2.3'!R46/'2.1'!R57,"")</f>
        <v>0.91979522184300344</v>
      </c>
      <c r="S59" s="366">
        <f>IFERROR('2.3'!S46/'2.1'!S57,"")</f>
        <v>0.96955503512880559</v>
      </c>
      <c r="T59" s="366">
        <f>IFERROR('2.3'!T46/'2.1'!T57,"")</f>
        <v>0.94076999012833173</v>
      </c>
      <c r="U59" s="367">
        <f>IFERROR('2.3'!U46/'2.1'!U57,"")</f>
        <v>0.89132809086937526</v>
      </c>
      <c r="V59" s="367">
        <f>IFERROR('2.3'!V46/'2.1'!V57,"")</f>
        <v>0.95341377730258137</v>
      </c>
      <c r="W59" s="367">
        <f>IFERROR('2.3'!W46/'2.1'!W57,"")</f>
        <v>0.91721327134942365</v>
      </c>
    </row>
    <row r="60" spans="2:23" hidden="1" outlineLevel="1" x14ac:dyDescent="0.25">
      <c r="B60" s="362">
        <v>40330</v>
      </c>
      <c r="C60" s="366" t="str">
        <f>IFERROR('2.3'!C47/'2.1'!C58,"")</f>
        <v/>
      </c>
      <c r="D60" s="366" t="str">
        <f>IFERROR('2.3'!D47/'2.1'!D58,"")</f>
        <v/>
      </c>
      <c r="E60" s="366" t="str">
        <f>IFERROR('2.3'!E47/'2.1'!E58,"")</f>
        <v/>
      </c>
      <c r="F60" s="366" t="str">
        <f>IFERROR('2.3'!F47/'2.1'!F58,"")</f>
        <v/>
      </c>
      <c r="G60" s="366" t="str">
        <f>IFERROR('2.3'!G47/'2.1'!G58,"")</f>
        <v/>
      </c>
      <c r="H60" s="366" t="str">
        <f>IFERROR('2.3'!H47/'2.1'!H58,"")</f>
        <v/>
      </c>
      <c r="I60" s="366">
        <f>IFERROR('2.3'!I47/'2.1'!I58,"")</f>
        <v>0.9973009446693657</v>
      </c>
      <c r="J60" s="366">
        <f>IFERROR('2.3'!J47/'2.1'!J58,"")</f>
        <v>0.9893111638954869</v>
      </c>
      <c r="K60" s="366">
        <f>IFERROR('2.3'!K47/'2.1'!K58,"")</f>
        <v>0.9951060358890701</v>
      </c>
      <c r="L60" s="366">
        <f>IFERROR('2.3'!L47/'2.1'!L58,"")</f>
        <v>0.49114233353695785</v>
      </c>
      <c r="M60" s="366">
        <f>IFERROR('2.3'!M47/'2.1'!M58,"")</f>
        <v>0.70149253731343286</v>
      </c>
      <c r="N60" s="366">
        <f>IFERROR('2.3'!N47/'2.1'!N58,"")</f>
        <v>0.54302807179015189</v>
      </c>
      <c r="O60" s="366">
        <f>IFERROR('2.3'!O47/'2.1'!O58,"")</f>
        <v>0.97142857142857142</v>
      </c>
      <c r="P60" s="366">
        <f>IFERROR('2.3'!P47/'2.1'!P58,"")</f>
        <v>0.96987780619494179</v>
      </c>
      <c r="Q60" s="366">
        <f>IFERROR('2.3'!Q47/'2.1'!Q58,"")</f>
        <v>0.97074931540950959</v>
      </c>
      <c r="R60" s="366">
        <f>IFERROR('2.3'!R47/'2.1'!R58,"")</f>
        <v>0.8537477148080439</v>
      </c>
      <c r="S60" s="366">
        <f>IFERROR('2.3'!S47/'2.1'!S58,"")</f>
        <v>0.92091836734693877</v>
      </c>
      <c r="T60" s="366">
        <f>IFERROR('2.3'!T47/'2.1'!T58,"")</f>
        <v>0.88178913738019171</v>
      </c>
      <c r="U60" s="367">
        <f>IFERROR('2.3'!U47/'2.1'!U58,"")</f>
        <v>0.91240604301555406</v>
      </c>
      <c r="V60" s="367">
        <f>IFERROR('2.3'!V47/'2.1'!V58,"")</f>
        <v>0.95322434150772029</v>
      </c>
      <c r="W60" s="367">
        <f>IFERROR('2.3'!W47/'2.1'!W58,"")</f>
        <v>0.9285682175769836</v>
      </c>
    </row>
    <row r="61" spans="2:23" hidden="1" outlineLevel="1" x14ac:dyDescent="0.25">
      <c r="B61" s="362">
        <v>40360</v>
      </c>
      <c r="C61" s="366" t="str">
        <f>IFERROR('2.3'!C48/'2.1'!C59,"")</f>
        <v/>
      </c>
      <c r="D61" s="366" t="str">
        <f>IFERROR('2.3'!D48/'2.1'!D59,"")</f>
        <v/>
      </c>
      <c r="E61" s="366" t="str">
        <f>IFERROR('2.3'!E48/'2.1'!E59,"")</f>
        <v/>
      </c>
      <c r="F61" s="366" t="str">
        <f>IFERROR('2.3'!F48/'2.1'!F59,"")</f>
        <v/>
      </c>
      <c r="G61" s="366" t="str">
        <f>IFERROR('2.3'!G48/'2.1'!G59,"")</f>
        <v/>
      </c>
      <c r="H61" s="366" t="str">
        <f>IFERROR('2.3'!H48/'2.1'!H59,"")</f>
        <v/>
      </c>
      <c r="I61" s="366">
        <f>IFERROR('2.3'!I48/'2.1'!I59,"")</f>
        <v>0.77695666778636208</v>
      </c>
      <c r="J61" s="366">
        <f>IFERROR('2.3'!J48/'2.1'!J59,"")</f>
        <v>0.89640591966173366</v>
      </c>
      <c r="K61" s="366">
        <f>IFERROR('2.3'!K48/'2.1'!K59,"")</f>
        <v>0.80576089727249556</v>
      </c>
      <c r="L61" s="366">
        <f>IFERROR('2.3'!L48/'2.1'!L59,"")</f>
        <v>0.46391752577319589</v>
      </c>
      <c r="M61" s="366">
        <f>IFERROR('2.3'!M48/'2.1'!M59,"")</f>
        <v>0.58888888888888891</v>
      </c>
      <c r="N61" s="366">
        <f>IFERROR('2.3'!N48/'2.1'!N59,"")</f>
        <v>0.49474645957058017</v>
      </c>
      <c r="O61" s="366">
        <f>IFERROR('2.3'!O48/'2.1'!O59,"")</f>
        <v>0.73971128276560716</v>
      </c>
      <c r="P61" s="366">
        <f>IFERROR('2.3'!P48/'2.1'!P59,"")</f>
        <v>0.80325408735486925</v>
      </c>
      <c r="Q61" s="366">
        <f>IFERROR('2.3'!Q48/'2.1'!Q59,"")</f>
        <v>0.767984536988227</v>
      </c>
      <c r="R61" s="366">
        <f>IFERROR('2.3'!R48/'2.1'!R59,"")</f>
        <v>0.66293929712460065</v>
      </c>
      <c r="S61" s="366">
        <f>IFERROR('2.3'!S48/'2.1'!S59,"")</f>
        <v>0.65532879818594103</v>
      </c>
      <c r="T61" s="366">
        <f>IFERROR('2.3'!T48/'2.1'!T59,"")</f>
        <v>0.65979381443298968</v>
      </c>
      <c r="U61" s="367">
        <f>IFERROR('2.3'!U48/'2.1'!U59,"")</f>
        <v>0.72108714244987171</v>
      </c>
      <c r="V61" s="367">
        <f>IFERROR('2.3'!V48/'2.1'!V59,"")</f>
        <v>0.79688785302988763</v>
      </c>
      <c r="W61" s="367">
        <f>IFERROR('2.3'!W48/'2.1'!W59,"")</f>
        <v>0.75211876297917724</v>
      </c>
    </row>
    <row r="62" spans="2:23" hidden="1" outlineLevel="1" x14ac:dyDescent="0.25">
      <c r="B62" s="362">
        <v>40391</v>
      </c>
      <c r="C62" s="366" t="str">
        <f>IFERROR('2.3'!C49/'2.1'!C60,"")</f>
        <v/>
      </c>
      <c r="D62" s="366" t="str">
        <f>IFERROR('2.3'!D49/'2.1'!D60,"")</f>
        <v/>
      </c>
      <c r="E62" s="366" t="str">
        <f>IFERROR('2.3'!E49/'2.1'!E60,"")</f>
        <v/>
      </c>
      <c r="F62" s="366" t="str">
        <f>IFERROR('2.3'!F49/'2.1'!F60,"")</f>
        <v/>
      </c>
      <c r="G62" s="366" t="str">
        <f>IFERROR('2.3'!G49/'2.1'!G60,"")</f>
        <v/>
      </c>
      <c r="H62" s="366" t="str">
        <f>IFERROR('2.3'!H49/'2.1'!H60,"")</f>
        <v/>
      </c>
      <c r="I62" s="366">
        <f>IFERROR('2.3'!I49/'2.1'!I60,"")</f>
        <v>0.74207718857860061</v>
      </c>
      <c r="J62" s="366">
        <f>IFERROR('2.3'!J49/'2.1'!J60,"")</f>
        <v>0.86692381870781099</v>
      </c>
      <c r="K62" s="366">
        <f>IFERROR('2.3'!K49/'2.1'!K60,"")</f>
        <v>0.77272727272727271</v>
      </c>
      <c r="L62" s="366">
        <f>IFERROR('2.3'!L49/'2.1'!L60,"")</f>
        <v>0.43831168831168832</v>
      </c>
      <c r="M62" s="366">
        <f>IFERROR('2.3'!M49/'2.1'!M60,"")</f>
        <v>0.62677165354330711</v>
      </c>
      <c r="N62" s="366">
        <f>IFERROR('2.3'!N49/'2.1'!N60,"")</f>
        <v>0.48650825614176402</v>
      </c>
      <c r="O62" s="366">
        <f>IFERROR('2.3'!O49/'2.1'!O60,"")</f>
        <v>0.69454131378549566</v>
      </c>
      <c r="P62" s="366">
        <f>IFERROR('2.3'!P49/'2.1'!P60,"")</f>
        <v>0.75759269610583191</v>
      </c>
      <c r="Q62" s="366">
        <f>IFERROR('2.3'!Q49/'2.1'!Q60,"")</f>
        <v>0.72184789187008269</v>
      </c>
      <c r="R62" s="366">
        <f>IFERROR('2.3'!R49/'2.1'!R60,"")</f>
        <v>0.75367047308319735</v>
      </c>
      <c r="S62" s="366">
        <f>IFERROR('2.3'!S49/'2.1'!S60,"")</f>
        <v>0.72062084257206205</v>
      </c>
      <c r="T62" s="366">
        <f>IFERROR('2.3'!T49/'2.1'!T60,"")</f>
        <v>0.73966165413533835</v>
      </c>
      <c r="U62" s="367">
        <f>IFERROR('2.3'!U49/'2.1'!U60,"")</f>
        <v>0.68003451951875726</v>
      </c>
      <c r="V62" s="367">
        <f>IFERROR('2.3'!V49/'2.1'!V60,"")</f>
        <v>0.75865287392082137</v>
      </c>
      <c r="W62" s="367">
        <f>IFERROR('2.3'!W49/'2.1'!W60,"")</f>
        <v>0.71108244256051112</v>
      </c>
    </row>
    <row r="63" spans="2:23" hidden="1" outlineLevel="1" x14ac:dyDescent="0.25">
      <c r="B63" s="362">
        <v>40422</v>
      </c>
      <c r="C63" s="366" t="str">
        <f>IFERROR('2.3'!C50/'2.1'!C61,"")</f>
        <v/>
      </c>
      <c r="D63" s="366" t="str">
        <f>IFERROR('2.3'!D50/'2.1'!D61,"")</f>
        <v/>
      </c>
      <c r="E63" s="366" t="str">
        <f>IFERROR('2.3'!E50/'2.1'!E61,"")</f>
        <v/>
      </c>
      <c r="F63" s="366" t="str">
        <f>IFERROR('2.3'!F50/'2.1'!F61,"")</f>
        <v/>
      </c>
      <c r="G63" s="366" t="str">
        <f>IFERROR('2.3'!G50/'2.1'!G61,"")</f>
        <v/>
      </c>
      <c r="H63" s="366" t="str">
        <f>IFERROR('2.3'!H50/'2.1'!H61,"")</f>
        <v/>
      </c>
      <c r="I63" s="366">
        <f>IFERROR('2.3'!I50/'2.1'!I61,"")</f>
        <v>0.77849927849927847</v>
      </c>
      <c r="J63" s="366">
        <f>IFERROR('2.3'!J50/'2.1'!J61,"")</f>
        <v>0.88249118683901295</v>
      </c>
      <c r="K63" s="366">
        <f>IFERROR('2.3'!K50/'2.1'!K61,"")</f>
        <v>0.80292575213911122</v>
      </c>
      <c r="L63" s="366">
        <f>IFERROR('2.3'!L50/'2.1'!L61,"")</f>
        <v>0.46965517241379312</v>
      </c>
      <c r="M63" s="366">
        <f>IFERROR('2.3'!M50/'2.1'!M61,"")</f>
        <v>0.68993839835728954</v>
      </c>
      <c r="N63" s="366">
        <f>IFERROR('2.3'!N50/'2.1'!N61,"")</f>
        <v>0.52503871966959215</v>
      </c>
      <c r="O63" s="366">
        <f>IFERROR('2.3'!O50/'2.1'!O61,"")</f>
        <v>0.68314424635332249</v>
      </c>
      <c r="P63" s="366">
        <f>IFERROR('2.3'!P50/'2.1'!P61,"")</f>
        <v>0.70234336047864387</v>
      </c>
      <c r="Q63" s="366">
        <f>IFERROR('2.3'!Q50/'2.1'!Q61,"")</f>
        <v>0.69102695325827368</v>
      </c>
      <c r="R63" s="366">
        <f>IFERROR('2.3'!R50/'2.1'!R61,"")</f>
        <v>0.73653846153846159</v>
      </c>
      <c r="S63" s="366">
        <f>IFERROR('2.3'!S50/'2.1'!S61,"")</f>
        <v>0.69148936170212771</v>
      </c>
      <c r="T63" s="366">
        <f>IFERROR('2.3'!T50/'2.1'!T61,"")</f>
        <v>0.7176339285714286</v>
      </c>
      <c r="U63" s="367">
        <f>IFERROR('2.3'!U50/'2.1'!U61,"")</f>
        <v>0.68183856502242157</v>
      </c>
      <c r="V63" s="367">
        <f>IFERROR('2.3'!V50/'2.1'!V61,"")</f>
        <v>0.72086405380933904</v>
      </c>
      <c r="W63" s="367">
        <f>IFERROR('2.3'!W50/'2.1'!W61,"")</f>
        <v>0.69612997963147172</v>
      </c>
    </row>
    <row r="64" spans="2:23" hidden="1" outlineLevel="1" x14ac:dyDescent="0.25">
      <c r="B64" s="362">
        <v>40452</v>
      </c>
      <c r="C64" s="366" t="str">
        <f>IFERROR('2.3'!C51/'2.1'!C62,"")</f>
        <v/>
      </c>
      <c r="D64" s="366" t="str">
        <f>IFERROR('2.3'!D51/'2.1'!D62,"")</f>
        <v/>
      </c>
      <c r="E64" s="366" t="str">
        <f>IFERROR('2.3'!E51/'2.1'!E62,"")</f>
        <v/>
      </c>
      <c r="F64" s="366" t="str">
        <f>IFERROR('2.3'!F51/'2.1'!F62,"")</f>
        <v/>
      </c>
      <c r="G64" s="366" t="str">
        <f>IFERROR('2.3'!G51/'2.1'!G62,"")</f>
        <v/>
      </c>
      <c r="H64" s="366" t="str">
        <f>IFERROR('2.3'!H51/'2.1'!H62,"")</f>
        <v/>
      </c>
      <c r="I64" s="366">
        <f>IFERROR('2.3'!I51/'2.1'!I62,"")</f>
        <v>0.77579573277369707</v>
      </c>
      <c r="J64" s="366">
        <f>IFERROR('2.3'!J51/'2.1'!J62,"")</f>
        <v>0.90252293577981646</v>
      </c>
      <c r="K64" s="366">
        <f>IFERROR('2.3'!K51/'2.1'!K62,"")</f>
        <v>0.80541409809702491</v>
      </c>
      <c r="L64" s="366">
        <f>IFERROR('2.3'!L51/'2.1'!L62,"")</f>
        <v>0.44803548795944231</v>
      </c>
      <c r="M64" s="366">
        <f>IFERROR('2.3'!M51/'2.1'!M62,"")</f>
        <v>0.52601156069364163</v>
      </c>
      <c r="N64" s="366">
        <f>IFERROR('2.3'!N51/'2.1'!N62,"")</f>
        <v>0.46733428707677632</v>
      </c>
      <c r="O64" s="366">
        <f>IFERROR('2.3'!O51/'2.1'!O62,"")</f>
        <v>0.69345911949685535</v>
      </c>
      <c r="P64" s="366">
        <f>IFERROR('2.3'!P51/'2.1'!P62,"")</f>
        <v>0.71729957805907174</v>
      </c>
      <c r="Q64" s="366">
        <f>IFERROR('2.3'!Q51/'2.1'!Q62,"")</f>
        <v>0.70315648085963733</v>
      </c>
      <c r="R64" s="366">
        <f>IFERROR('2.3'!R51/'2.1'!R62,"")</f>
        <v>0.69344262295081971</v>
      </c>
      <c r="S64" s="366">
        <f>IFERROR('2.3'!S51/'2.1'!S62,"")</f>
        <v>0.71047227926078027</v>
      </c>
      <c r="T64" s="366">
        <f>IFERROR('2.3'!T51/'2.1'!T62,"")</f>
        <v>0.70100273473108476</v>
      </c>
      <c r="U64" s="367">
        <f>IFERROR('2.3'!U51/'2.1'!U62,"")</f>
        <v>0.68177271678079554</v>
      </c>
      <c r="V64" s="367">
        <f>IFERROR('2.3'!V51/'2.1'!V62,"")</f>
        <v>0.72533769954973393</v>
      </c>
      <c r="W64" s="367">
        <f>IFERROR('2.3'!W51/'2.1'!W62,"")</f>
        <v>0.69748105874249733</v>
      </c>
    </row>
    <row r="65" spans="2:23" hidden="1" outlineLevel="1" x14ac:dyDescent="0.25">
      <c r="B65" s="362">
        <v>40483</v>
      </c>
      <c r="C65" s="366" t="str">
        <f>IFERROR('2.3'!C52/'2.1'!C63,"")</f>
        <v/>
      </c>
      <c r="D65" s="366" t="str">
        <f>IFERROR('2.3'!D52/'2.1'!D63,"")</f>
        <v/>
      </c>
      <c r="E65" s="366" t="str">
        <f>IFERROR('2.3'!E52/'2.1'!E63,"")</f>
        <v/>
      </c>
      <c r="F65" s="366" t="str">
        <f>IFERROR('2.3'!F52/'2.1'!F63,"")</f>
        <v/>
      </c>
      <c r="G65" s="366" t="str">
        <f>IFERROR('2.3'!G52/'2.1'!G63,"")</f>
        <v/>
      </c>
      <c r="H65" s="366" t="str">
        <f>IFERROR('2.3'!H52/'2.1'!H63,"")</f>
        <v/>
      </c>
      <c r="I65" s="366">
        <f>IFERROR('2.3'!I52/'2.1'!I63,"")</f>
        <v>0.77413127413127414</v>
      </c>
      <c r="J65" s="366">
        <f>IFERROR('2.3'!J52/'2.1'!J63,"")</f>
        <v>0.88669950738916259</v>
      </c>
      <c r="K65" s="366">
        <f>IFERROR('2.3'!K52/'2.1'!K63,"")</f>
        <v>0.80099941211052317</v>
      </c>
      <c r="L65" s="366">
        <f>IFERROR('2.3'!L52/'2.1'!L63,"")</f>
        <v>0.39743589743589741</v>
      </c>
      <c r="M65" s="366">
        <f>IFERROR('2.3'!M52/'2.1'!M63,"")</f>
        <v>0.60279441117764476</v>
      </c>
      <c r="N65" s="366">
        <f>IFERROR('2.3'!N52/'2.1'!N63,"")</f>
        <v>0.44735565259582727</v>
      </c>
      <c r="O65" s="366">
        <f>IFERROR('2.3'!O52/'2.1'!O63,"")</f>
        <v>0.69447388342165028</v>
      </c>
      <c r="P65" s="366">
        <f>IFERROR('2.3'!P52/'2.1'!P63,"")</f>
        <v>0.71938057250117315</v>
      </c>
      <c r="Q65" s="366">
        <f>IFERROR('2.3'!Q52/'2.1'!Q63,"")</f>
        <v>0.70424220115947367</v>
      </c>
      <c r="R65" s="366">
        <f>IFERROR('2.3'!R52/'2.1'!R63,"")</f>
        <v>0.71314741035856577</v>
      </c>
      <c r="S65" s="366">
        <f>IFERROR('2.3'!S52/'2.1'!S63,"")</f>
        <v>0.7183908045977011</v>
      </c>
      <c r="T65" s="366">
        <f>IFERROR('2.3'!T52/'2.1'!T63,"")</f>
        <v>0.71529411764705886</v>
      </c>
      <c r="U65" s="367">
        <f>IFERROR('2.3'!U52/'2.1'!U63,"")</f>
        <v>0.67247046282313228</v>
      </c>
      <c r="V65" s="367">
        <f>IFERROR('2.3'!V52/'2.1'!V63,"")</f>
        <v>0.73239912206652036</v>
      </c>
      <c r="W65" s="367">
        <f>IFERROR('2.3'!W52/'2.1'!W63,"")</f>
        <v>0.69313154831199064</v>
      </c>
    </row>
    <row r="66" spans="2:23" hidden="1" outlineLevel="1" x14ac:dyDescent="0.25">
      <c r="B66" s="362">
        <v>40513</v>
      </c>
      <c r="C66" s="366" t="str">
        <f>IFERROR('2.3'!C53/'2.1'!C64,"")</f>
        <v/>
      </c>
      <c r="D66" s="366" t="str">
        <f>IFERROR('2.3'!D53/'2.1'!D64,"")</f>
        <v/>
      </c>
      <c r="E66" s="366" t="str">
        <f>IFERROR('2.3'!E53/'2.1'!E64,"")</f>
        <v/>
      </c>
      <c r="F66" s="366" t="str">
        <f>IFERROR('2.3'!F53/'2.1'!F64,"")</f>
        <v/>
      </c>
      <c r="G66" s="366" t="str">
        <f>IFERROR('2.3'!G53/'2.1'!G64,"")</f>
        <v/>
      </c>
      <c r="H66" s="366" t="str">
        <f>IFERROR('2.3'!H53/'2.1'!H64,"")</f>
        <v/>
      </c>
      <c r="I66" s="366">
        <f>IFERROR('2.3'!I53/'2.1'!I64,"")</f>
        <v>0.75244140625</v>
      </c>
      <c r="J66" s="366">
        <f>IFERROR('2.3'!J53/'2.1'!J64,"")</f>
        <v>0.86181277860326899</v>
      </c>
      <c r="K66" s="366">
        <f>IFERROR('2.3'!K53/'2.1'!K64,"")</f>
        <v>0.77949283351708931</v>
      </c>
      <c r="L66" s="366">
        <f>IFERROR('2.3'!L53/'2.1'!L64,"")</f>
        <v>0.44314868804664725</v>
      </c>
      <c r="M66" s="366">
        <f>IFERROR('2.3'!M53/'2.1'!M64,"")</f>
        <v>0.68073878627968343</v>
      </c>
      <c r="N66" s="366">
        <f>IFERROR('2.3'!N53/'2.1'!N64,"")</f>
        <v>0.50710227272727271</v>
      </c>
      <c r="O66" s="366">
        <f>IFERROR('2.3'!O53/'2.1'!O64,"")</f>
        <v>0.65879496799823434</v>
      </c>
      <c r="P66" s="366">
        <f>IFERROR('2.3'!P53/'2.1'!P64,"")</f>
        <v>0.70029004189494037</v>
      </c>
      <c r="Q66" s="366">
        <f>IFERROR('2.3'!Q53/'2.1'!Q64,"")</f>
        <v>0.67566151427822896</v>
      </c>
      <c r="R66" s="366">
        <f>IFERROR('2.3'!R53/'2.1'!R64,"")</f>
        <v>0.83401639344262291</v>
      </c>
      <c r="S66" s="366">
        <f>IFERROR('2.3'!S53/'2.1'!S64,"")</f>
        <v>0.85436893203883491</v>
      </c>
      <c r="T66" s="366">
        <f>IFERROR('2.3'!T53/'2.1'!T64,"")</f>
        <v>0.84333333333333338</v>
      </c>
      <c r="U66" s="367">
        <f>IFERROR('2.3'!U53/'2.1'!U64,"")</f>
        <v>0.66563735177865613</v>
      </c>
      <c r="V66" s="367">
        <f>IFERROR('2.3'!V53/'2.1'!V64,"")</f>
        <v>0.73636960805780605</v>
      </c>
      <c r="W66" s="367">
        <f>IFERROR('2.3'!W53/'2.1'!W64,"")</f>
        <v>0.69114743741609408</v>
      </c>
    </row>
    <row r="67" spans="2:23" collapsed="1" x14ac:dyDescent="0.25">
      <c r="B67" s="364" t="s">
        <v>701</v>
      </c>
      <c r="C67" s="367" t="str">
        <f>IFERROR('2.3'!C54/'2.1'!C65,"")</f>
        <v/>
      </c>
      <c r="D67" s="367" t="str">
        <f>IFERROR('2.3'!D54/'2.1'!D65,"")</f>
        <v/>
      </c>
      <c r="E67" s="367" t="str">
        <f>IFERROR('2.3'!E54/'2.1'!E65,"")</f>
        <v/>
      </c>
      <c r="F67" s="367" t="str">
        <f>IFERROR('2.3'!F54/'2.1'!F65,"")</f>
        <v/>
      </c>
      <c r="G67" s="367" t="str">
        <f>IFERROR('2.3'!G54/'2.1'!G65,"")</f>
        <v/>
      </c>
      <c r="H67" s="367" t="str">
        <f>IFERROR('2.3'!H54/'2.1'!H65,"")</f>
        <v/>
      </c>
      <c r="I67" s="367">
        <f>IFERROR('2.3'!I54/'2.1'!I65,"")</f>
        <v>0.87151277013752459</v>
      </c>
      <c r="J67" s="367">
        <f>IFERROR('2.3'!J54/'2.1'!J65,"")</f>
        <v>0.93176470588235294</v>
      </c>
      <c r="K67" s="367">
        <f>IFERROR('2.3'!K54/'2.1'!K65,"")</f>
        <v>0.88659793814432986</v>
      </c>
      <c r="L67" s="367">
        <f>IFERROR('2.3'!L54/'2.1'!L65,"")</f>
        <v>0.48098001289490649</v>
      </c>
      <c r="M67" s="367">
        <f>IFERROR('2.3'!M54/'2.1'!M65,"")</f>
        <v>0.67674858223062384</v>
      </c>
      <c r="N67" s="367">
        <f>IFERROR('2.3'!N54/'2.1'!N65,"")</f>
        <v>0.53051417587698224</v>
      </c>
      <c r="O67" s="367">
        <f>IFERROR('2.3'!O54/'2.1'!O65,"")</f>
        <v>0.81054590570719598</v>
      </c>
      <c r="P67" s="367">
        <f>IFERROR('2.3'!P54/'2.1'!P65,"")</f>
        <v>0.83400605449041376</v>
      </c>
      <c r="Q67" s="367">
        <f>IFERROR('2.3'!Q54/'2.1'!Q65,"")</f>
        <v>0.82050549764386693</v>
      </c>
      <c r="R67" s="367">
        <f>IFERROR('2.3'!R54/'2.1'!R65,"")</f>
        <v>0.82179930795847755</v>
      </c>
      <c r="S67" s="367">
        <f>IFERROR('2.3'!S54/'2.1'!S65,"")</f>
        <v>0.84172661870503596</v>
      </c>
      <c r="T67" s="367">
        <f>IFERROR('2.3'!T54/'2.1'!T65,"")</f>
        <v>0.83098591549295775</v>
      </c>
      <c r="U67" s="367">
        <f>IFERROR('2.3'!U54/'2.1'!U65,"")</f>
        <v>0.78317889115753103</v>
      </c>
      <c r="V67" s="367">
        <f>IFERROR('2.3'!V54/'2.1'!V65,"")</f>
        <v>0.8342805476621028</v>
      </c>
      <c r="W67" s="367">
        <f>IFERROR('2.3'!W54/'2.1'!W65,"")</f>
        <v>0.80250048837663601</v>
      </c>
    </row>
    <row r="68" spans="2:23" hidden="1" outlineLevel="1" x14ac:dyDescent="0.25">
      <c r="B68" s="362">
        <v>40544</v>
      </c>
      <c r="C68" s="366" t="str">
        <f>IFERROR('2.3'!C55/'2.1'!C66,"")</f>
        <v/>
      </c>
      <c r="D68" s="366" t="str">
        <f>IFERROR('2.3'!D55/'2.1'!D66,"")</f>
        <v/>
      </c>
      <c r="E68" s="366" t="str">
        <f>IFERROR('2.3'!E55/'2.1'!E66,"")</f>
        <v/>
      </c>
      <c r="F68" s="366" t="str">
        <f>IFERROR('2.3'!F55/'2.1'!F66,"")</f>
        <v/>
      </c>
      <c r="G68" s="366" t="str">
        <f>IFERROR('2.3'!G55/'2.1'!G66,"")</f>
        <v/>
      </c>
      <c r="H68" s="366" t="str">
        <f>IFERROR('2.3'!H55/'2.1'!H66,"")</f>
        <v/>
      </c>
      <c r="I68" s="366">
        <f>IFERROR('2.3'!I55/'2.1'!I66,"")</f>
        <v>0.70281124497991965</v>
      </c>
      <c r="J68" s="366">
        <f>IFERROR('2.3'!J55/'2.1'!J66,"")</f>
        <v>0.859375</v>
      </c>
      <c r="K68" s="366">
        <f>IFERROR('2.3'!K55/'2.1'!K66,"")</f>
        <v>0.74424099232132312</v>
      </c>
      <c r="L68" s="366">
        <f>IFERROR('2.3'!L55/'2.1'!L66,"")</f>
        <v>0.4345025053686471</v>
      </c>
      <c r="M68" s="366">
        <f>IFERROR('2.3'!M55/'2.1'!M66,"")</f>
        <v>0.689873417721519</v>
      </c>
      <c r="N68" s="366">
        <f>IFERROR('2.3'!N55/'2.1'!N66,"")</f>
        <v>0.49919828968466062</v>
      </c>
      <c r="O68" s="366">
        <f>IFERROR('2.3'!O55/'2.1'!O66,"")</f>
        <v>0.69808356896010049</v>
      </c>
      <c r="P68" s="366">
        <f>IFERROR('2.3'!P55/'2.1'!P66,"")</f>
        <v>0.73542116630669552</v>
      </c>
      <c r="Q68" s="366">
        <f>IFERROR('2.3'!Q55/'2.1'!Q66,"")</f>
        <v>0.71380502000727541</v>
      </c>
      <c r="R68" s="366">
        <f>IFERROR('2.3'!R55/'2.1'!R66,"")</f>
        <v>0.83539823008849556</v>
      </c>
      <c r="S68" s="366">
        <f>IFERROR('2.3'!S55/'2.1'!S66,"")</f>
        <v>0.89743589743589747</v>
      </c>
      <c r="T68" s="366">
        <f>IFERROR('2.3'!T55/'2.1'!T66,"")</f>
        <v>0.8621730382293763</v>
      </c>
      <c r="U68" s="367">
        <f>IFERROR('2.3'!U55/'2.1'!U66,"")</f>
        <v>0.67230541689776302</v>
      </c>
      <c r="V68" s="367">
        <f>IFERROR('2.3'!V55/'2.1'!V66,"")</f>
        <v>0.76014932337844143</v>
      </c>
      <c r="W68" s="367">
        <f>IFERROR('2.3'!W55/'2.1'!W66,"")</f>
        <v>0.70505015364991008</v>
      </c>
    </row>
    <row r="69" spans="2:23" hidden="1" outlineLevel="1" x14ac:dyDescent="0.25">
      <c r="B69" s="362">
        <v>40575</v>
      </c>
      <c r="C69" s="366" t="str">
        <f>IFERROR('2.3'!C56/'2.1'!C67,"")</f>
        <v/>
      </c>
      <c r="D69" s="366" t="str">
        <f>IFERROR('2.3'!D56/'2.1'!D67,"")</f>
        <v/>
      </c>
      <c r="E69" s="366" t="str">
        <f>IFERROR('2.3'!E56/'2.1'!E67,"")</f>
        <v/>
      </c>
      <c r="F69" s="366" t="str">
        <f>IFERROR('2.3'!F56/'2.1'!F67,"")</f>
        <v/>
      </c>
      <c r="G69" s="366" t="str">
        <f>IFERROR('2.3'!G56/'2.1'!G67,"")</f>
        <v/>
      </c>
      <c r="H69" s="366" t="str">
        <f>IFERROR('2.3'!H56/'2.1'!H67,"")</f>
        <v/>
      </c>
      <c r="I69" s="366">
        <f>IFERROR('2.3'!I56/'2.1'!I67,"")</f>
        <v>0.74942844078646553</v>
      </c>
      <c r="J69" s="366">
        <f>IFERROR('2.3'!J56/'2.1'!J67,"")</f>
        <v>0.86810228802153433</v>
      </c>
      <c r="K69" s="366">
        <f>IFERROR('2.3'!K56/'2.1'!K67,"")</f>
        <v>0.77952218430034126</v>
      </c>
      <c r="L69" s="366">
        <f>IFERROR('2.3'!L56/'2.1'!L67,"")</f>
        <v>0.39108061749571182</v>
      </c>
      <c r="M69" s="366">
        <f>IFERROR('2.3'!M56/'2.1'!M67,"")</f>
        <v>0.66974595842956119</v>
      </c>
      <c r="N69" s="366">
        <f>IFERROR('2.3'!N56/'2.1'!N67,"")</f>
        <v>0.46654158849280802</v>
      </c>
      <c r="O69" s="366">
        <f>IFERROR('2.3'!O56/'2.1'!O67,"")</f>
        <v>0.70397815912636508</v>
      </c>
      <c r="P69" s="366">
        <f>IFERROR('2.3'!P56/'2.1'!P67,"")</f>
        <v>0.71690977849810911</v>
      </c>
      <c r="Q69" s="366">
        <f>IFERROR('2.3'!Q56/'2.1'!Q67,"")</f>
        <v>0.70939977349943373</v>
      </c>
      <c r="R69" s="366">
        <f>IFERROR('2.3'!R56/'2.1'!R67,"")</f>
        <v>0.80982905982905984</v>
      </c>
      <c r="S69" s="366">
        <f>IFERROR('2.3'!S56/'2.1'!S67,"")</f>
        <v>0.91689750692520777</v>
      </c>
      <c r="T69" s="366">
        <f>IFERROR('2.3'!T56/'2.1'!T67,"")</f>
        <v>0.856453558504222</v>
      </c>
      <c r="U69" s="367">
        <f>IFERROR('2.3'!U56/'2.1'!U67,"")</f>
        <v>0.6798524974857526</v>
      </c>
      <c r="V69" s="367">
        <f>IFERROR('2.3'!V56/'2.1'!V67,"")</f>
        <v>0.74823439587707574</v>
      </c>
      <c r="W69" s="367">
        <f>IFERROR('2.3'!W56/'2.1'!W67,"")</f>
        <v>0.70510290386241892</v>
      </c>
    </row>
    <row r="70" spans="2:23" hidden="1" outlineLevel="1" x14ac:dyDescent="0.25">
      <c r="B70" s="362">
        <v>40603</v>
      </c>
      <c r="C70" s="366" t="str">
        <f>IFERROR('2.3'!C57/'2.1'!C68,"")</f>
        <v/>
      </c>
      <c r="D70" s="366" t="str">
        <f>IFERROR('2.3'!D57/'2.1'!D68,"")</f>
        <v/>
      </c>
      <c r="E70" s="366" t="str">
        <f>IFERROR('2.3'!E57/'2.1'!E68,"")</f>
        <v/>
      </c>
      <c r="F70" s="366" t="str">
        <f>IFERROR('2.3'!F57/'2.1'!F68,"")</f>
        <v/>
      </c>
      <c r="G70" s="366" t="str">
        <f>IFERROR('2.3'!G57/'2.1'!G68,"")</f>
        <v/>
      </c>
      <c r="H70" s="366" t="str">
        <f>IFERROR('2.3'!H57/'2.1'!H68,"")</f>
        <v/>
      </c>
      <c r="I70" s="366">
        <f>IFERROR('2.3'!I57/'2.1'!I68,"")</f>
        <v>0.75494853523357086</v>
      </c>
      <c r="J70" s="366">
        <f>IFERROR('2.3'!J57/'2.1'!J68,"")</f>
        <v>0.90500641848523744</v>
      </c>
      <c r="K70" s="366">
        <f>IFERROR('2.3'!K57/'2.1'!K68,"")</f>
        <v>0.79031770045385774</v>
      </c>
      <c r="L70" s="366">
        <f>IFERROR('2.3'!L57/'2.1'!L68,"")</f>
        <v>0.41482843137254904</v>
      </c>
      <c r="M70" s="366">
        <f>IFERROR('2.3'!M57/'2.1'!M68,"")</f>
        <v>0.6962962962962963</v>
      </c>
      <c r="N70" s="366">
        <f>IFERROR('2.3'!N57/'2.1'!N68,"")</f>
        <v>0.48480662983425415</v>
      </c>
      <c r="O70" s="366">
        <f>IFERROR('2.3'!O57/'2.1'!O68,"")</f>
        <v>0.71947082767978288</v>
      </c>
      <c r="P70" s="366">
        <f>IFERROR('2.3'!P57/'2.1'!P68,"")</f>
        <v>0.7229134266459305</v>
      </c>
      <c r="Q70" s="366">
        <f>IFERROR('2.3'!Q57/'2.1'!Q68,"")</f>
        <v>0.72083247898298131</v>
      </c>
      <c r="R70" s="366">
        <f>IFERROR('2.3'!R57/'2.1'!R68,"")</f>
        <v>0.81874999999999998</v>
      </c>
      <c r="S70" s="366">
        <f>IFERROR('2.3'!S57/'2.1'!S68,"")</f>
        <v>0.8764044943820225</v>
      </c>
      <c r="T70" s="366">
        <f>IFERROR('2.3'!T57/'2.1'!T68,"")</f>
        <v>0.84239631336405529</v>
      </c>
      <c r="U70" s="367">
        <f>IFERROR('2.3'!U57/'2.1'!U68,"")</f>
        <v>0.68730129044323918</v>
      </c>
      <c r="V70" s="367">
        <f>IFERROR('2.3'!V57/'2.1'!V68,"")</f>
        <v>0.75773745997865527</v>
      </c>
      <c r="W70" s="367">
        <f>IFERROR('2.3'!W57/'2.1'!W68,"")</f>
        <v>0.71157146359401813</v>
      </c>
    </row>
    <row r="71" spans="2:23" hidden="1" outlineLevel="1" x14ac:dyDescent="0.25">
      <c r="B71" s="362">
        <v>40634</v>
      </c>
      <c r="C71" s="366" t="str">
        <f>IFERROR('2.3'!C58/'2.1'!C69,"")</f>
        <v/>
      </c>
      <c r="D71" s="366" t="str">
        <f>IFERROR('2.3'!D58/'2.1'!D69,"")</f>
        <v/>
      </c>
      <c r="E71" s="366" t="str">
        <f>IFERROR('2.3'!E58/'2.1'!E69,"")</f>
        <v/>
      </c>
      <c r="F71" s="366" t="str">
        <f>IFERROR('2.3'!F58/'2.1'!F69,"")</f>
        <v/>
      </c>
      <c r="G71" s="366" t="str">
        <f>IFERROR('2.3'!G58/'2.1'!G69,"")</f>
        <v/>
      </c>
      <c r="H71" s="366" t="str">
        <f>IFERROR('2.3'!H58/'2.1'!H69,"")</f>
        <v/>
      </c>
      <c r="I71" s="366">
        <f>IFERROR('2.3'!I58/'2.1'!I69,"")</f>
        <v>0.74986286341195829</v>
      </c>
      <c r="J71" s="366">
        <f>IFERROR('2.3'!J58/'2.1'!J69,"")</f>
        <v>0.87874015748031498</v>
      </c>
      <c r="K71" s="366">
        <f>IFERROR('2.3'!K58/'2.1'!K69,"")</f>
        <v>0.78315703824247351</v>
      </c>
      <c r="L71" s="366">
        <f>IFERROR('2.3'!L58/'2.1'!L69,"")</f>
        <v>0.42442748091603055</v>
      </c>
      <c r="M71" s="366">
        <f>IFERROR('2.3'!M58/'2.1'!M69,"")</f>
        <v>0.70207852193995379</v>
      </c>
      <c r="N71" s="366">
        <f>IFERROR('2.3'!N58/'2.1'!N69,"")</f>
        <v>0.49340218014916809</v>
      </c>
      <c r="O71" s="366">
        <f>IFERROR('2.3'!O58/'2.1'!O69,"")</f>
        <v>0.71896316507503411</v>
      </c>
      <c r="P71" s="366">
        <f>IFERROR('2.3'!P58/'2.1'!P69,"")</f>
        <v>0.72549742078113488</v>
      </c>
      <c r="Q71" s="366">
        <f>IFERROR('2.3'!Q58/'2.1'!Q69,"")</f>
        <v>0.72145669291338588</v>
      </c>
      <c r="R71" s="366">
        <f>IFERROR('2.3'!R58/'2.1'!R69,"")</f>
        <v>0.83</v>
      </c>
      <c r="S71" s="366">
        <f>IFERROR('2.3'!S58/'2.1'!S69,"")</f>
        <v>0.89846153846153842</v>
      </c>
      <c r="T71" s="366">
        <f>IFERROR('2.3'!T58/'2.1'!T69,"")</f>
        <v>0.8606896551724138</v>
      </c>
      <c r="U71" s="367">
        <f>IFERROR('2.3'!U58/'2.1'!U69,"")</f>
        <v>0.68301601311310045</v>
      </c>
      <c r="V71" s="367">
        <f>IFERROR('2.3'!V58/'2.1'!V69,"")</f>
        <v>0.76040905770635503</v>
      </c>
      <c r="W71" s="367">
        <f>IFERROR('2.3'!W58/'2.1'!W69,"")</f>
        <v>0.70942016946336606</v>
      </c>
    </row>
    <row r="72" spans="2:23" hidden="1" outlineLevel="1" x14ac:dyDescent="0.25">
      <c r="B72" s="362">
        <v>40664</v>
      </c>
      <c r="C72" s="366" t="str">
        <f>IFERROR('2.3'!C59/'2.1'!C70,"")</f>
        <v/>
      </c>
      <c r="D72" s="366" t="str">
        <f>IFERROR('2.3'!D59/'2.1'!D70,"")</f>
        <v/>
      </c>
      <c r="E72" s="366" t="str">
        <f>IFERROR('2.3'!E59/'2.1'!E70,"")</f>
        <v/>
      </c>
      <c r="F72" s="366" t="str">
        <f>IFERROR('2.3'!F59/'2.1'!F70,"")</f>
        <v/>
      </c>
      <c r="G72" s="366" t="str">
        <f>IFERROR('2.3'!G59/'2.1'!G70,"")</f>
        <v/>
      </c>
      <c r="H72" s="366" t="str">
        <f>IFERROR('2.3'!H59/'2.1'!H70,"")</f>
        <v/>
      </c>
      <c r="I72" s="366">
        <f>IFERROR('2.3'!I59/'2.1'!I70,"")</f>
        <v>0.71802706241815806</v>
      </c>
      <c r="J72" s="366">
        <f>IFERROR('2.3'!J59/'2.1'!J70,"")</f>
        <v>0.89095744680851063</v>
      </c>
      <c r="K72" s="366">
        <f>IFERROR('2.3'!K59/'2.1'!K70,"")</f>
        <v>0.7607624055208676</v>
      </c>
      <c r="L72" s="366">
        <f>IFERROR('2.3'!L59/'2.1'!L70,"")</f>
        <v>0.42398884239888424</v>
      </c>
      <c r="M72" s="366">
        <f>IFERROR('2.3'!M59/'2.1'!M70,"")</f>
        <v>0.64600000000000002</v>
      </c>
      <c r="N72" s="366">
        <f>IFERROR('2.3'!N59/'2.1'!N70,"")</f>
        <v>0.48138572905894517</v>
      </c>
      <c r="O72" s="366">
        <f>IFERROR('2.3'!O59/'2.1'!O70,"")</f>
        <v>0.68921389396709321</v>
      </c>
      <c r="P72" s="366">
        <f>IFERROR('2.3'!P59/'2.1'!P70,"")</f>
        <v>0.71791940554444122</v>
      </c>
      <c r="Q72" s="366">
        <f>IFERROR('2.3'!Q59/'2.1'!Q70,"")</f>
        <v>0.70041253205485565</v>
      </c>
      <c r="R72" s="366">
        <f>IFERROR('2.3'!R59/'2.1'!R70,"")</f>
        <v>0.7657841140529531</v>
      </c>
      <c r="S72" s="366">
        <f>IFERROR('2.3'!S59/'2.1'!S70,"")</f>
        <v>0.85882352941176465</v>
      </c>
      <c r="T72" s="366">
        <f>IFERROR('2.3'!T59/'2.1'!T70,"")</f>
        <v>0.8038507821901324</v>
      </c>
      <c r="U72" s="367">
        <f>IFERROR('2.3'!U59/'2.1'!U70,"")</f>
        <v>0.66064422878381168</v>
      </c>
      <c r="V72" s="367">
        <f>IFERROR('2.3'!V59/'2.1'!V70,"")</f>
        <v>0.74582596739343943</v>
      </c>
      <c r="W72" s="367">
        <f>IFERROR('2.3'!W59/'2.1'!W70,"")</f>
        <v>0.68999120254449486</v>
      </c>
    </row>
    <row r="73" spans="2:23" hidden="1" outlineLevel="1" x14ac:dyDescent="0.25">
      <c r="B73" s="362">
        <v>40695</v>
      </c>
      <c r="C73" s="366" t="str">
        <f>IFERROR('2.3'!C60/'2.1'!C71,"")</f>
        <v/>
      </c>
      <c r="D73" s="366" t="str">
        <f>IFERROR('2.3'!D60/'2.1'!D71,"")</f>
        <v/>
      </c>
      <c r="E73" s="366" t="str">
        <f>IFERROR('2.3'!E60/'2.1'!E71,"")</f>
        <v/>
      </c>
      <c r="F73" s="366" t="str">
        <f>IFERROR('2.3'!F60/'2.1'!F71,"")</f>
        <v/>
      </c>
      <c r="G73" s="366" t="str">
        <f>IFERROR('2.3'!G60/'2.1'!G71,"")</f>
        <v/>
      </c>
      <c r="H73" s="366" t="str">
        <f>IFERROR('2.3'!H60/'2.1'!H71,"")</f>
        <v/>
      </c>
      <c r="I73" s="366">
        <f>IFERROR('2.3'!I60/'2.1'!I71,"")</f>
        <v>0.72415413533834583</v>
      </c>
      <c r="J73" s="366">
        <f>IFERROR('2.3'!J60/'2.1'!J71,"")</f>
        <v>0.86524822695035464</v>
      </c>
      <c r="K73" s="366">
        <f>IFERROR('2.3'!K60/'2.1'!K71,"")</f>
        <v>0.75926579597599719</v>
      </c>
      <c r="L73" s="366">
        <f>IFERROR('2.3'!L60/'2.1'!L71,"")</f>
        <v>0.4275184275184275</v>
      </c>
      <c r="M73" s="366">
        <f>IFERROR('2.3'!M60/'2.1'!M71,"")</f>
        <v>0.63436123348017626</v>
      </c>
      <c r="N73" s="366">
        <f>IFERROR('2.3'!N60/'2.1'!N71,"")</f>
        <v>0.4835820895522388</v>
      </c>
      <c r="O73" s="366">
        <f>IFERROR('2.3'!O60/'2.1'!O71,"")</f>
        <v>0.66330520683268157</v>
      </c>
      <c r="P73" s="366">
        <f>IFERROR('2.3'!P60/'2.1'!P71,"")</f>
        <v>0.71213517665130566</v>
      </c>
      <c r="Q73" s="366">
        <f>IFERROR('2.3'!Q60/'2.1'!Q71,"")</f>
        <v>0.68289376386492484</v>
      </c>
      <c r="R73" s="366">
        <f>IFERROR('2.3'!R60/'2.1'!R71,"")</f>
        <v>0.73051224944320714</v>
      </c>
      <c r="S73" s="366">
        <f>IFERROR('2.3'!S60/'2.1'!S71,"")</f>
        <v>0.85443037974683544</v>
      </c>
      <c r="T73" s="366">
        <f>IFERROR('2.3'!T60/'2.1'!T71,"")</f>
        <v>0.78169934640522876</v>
      </c>
      <c r="U73" s="367">
        <f>IFERROR('2.3'!U60/'2.1'!U71,"")</f>
        <v>0.64849254938200296</v>
      </c>
      <c r="V73" s="367">
        <f>IFERROR('2.3'!V60/'2.1'!V71,"")</f>
        <v>0.73699788583509518</v>
      </c>
      <c r="W73" s="367">
        <f>IFERROR('2.3'!W60/'2.1'!W71,"")</f>
        <v>0.67976395010084412</v>
      </c>
    </row>
    <row r="74" spans="2:23" hidden="1" outlineLevel="1" x14ac:dyDescent="0.25">
      <c r="B74" s="362">
        <v>40725</v>
      </c>
      <c r="C74" s="366" t="str">
        <f>IFERROR('2.3'!C61/'2.1'!C72,"")</f>
        <v/>
      </c>
      <c r="D74" s="366" t="str">
        <f>IFERROR('2.3'!D61/'2.1'!D72,"")</f>
        <v/>
      </c>
      <c r="E74" s="366" t="str">
        <f>IFERROR('2.3'!E61/'2.1'!E72,"")</f>
        <v/>
      </c>
      <c r="F74" s="366" t="str">
        <f>IFERROR('2.3'!F61/'2.1'!F72,"")</f>
        <v/>
      </c>
      <c r="G74" s="366" t="str">
        <f>IFERROR('2.3'!G61/'2.1'!G72,"")</f>
        <v/>
      </c>
      <c r="H74" s="366" t="str">
        <f>IFERROR('2.3'!H61/'2.1'!H72,"")</f>
        <v/>
      </c>
      <c r="I74" s="366">
        <f>IFERROR('2.3'!I61/'2.1'!I72,"")</f>
        <v>0.72339608144448708</v>
      </c>
      <c r="J74" s="366">
        <f>IFERROR('2.3'!J61/'2.1'!J72,"")</f>
        <v>0.88624338624338628</v>
      </c>
      <c r="K74" s="366">
        <f>IFERROR('2.3'!K61/'2.1'!K72,"")</f>
        <v>0.7600476332241739</v>
      </c>
      <c r="L74" s="366">
        <f>IFERROR('2.3'!L61/'2.1'!L72,"")</f>
        <v>0.41302681992337165</v>
      </c>
      <c r="M74" s="366">
        <f>IFERROR('2.3'!M61/'2.1'!M72,"")</f>
        <v>0.68410041841004188</v>
      </c>
      <c r="N74" s="366">
        <f>IFERROR('2.3'!N61/'2.1'!N72,"")</f>
        <v>0.48569826135726302</v>
      </c>
      <c r="O74" s="366">
        <f>IFERROR('2.3'!O61/'2.1'!O72,"")</f>
        <v>0.62777777777777777</v>
      </c>
      <c r="P74" s="366">
        <f>IFERROR('2.3'!P61/'2.1'!P72,"")</f>
        <v>0.71231484170781301</v>
      </c>
      <c r="Q74" s="366">
        <f>IFERROR('2.3'!Q61/'2.1'!Q72,"")</f>
        <v>0.66616114994065678</v>
      </c>
      <c r="R74" s="366">
        <f>IFERROR('2.3'!R61/'2.1'!R72,"")</f>
        <v>0.75268817204301075</v>
      </c>
      <c r="S74" s="366">
        <f>IFERROR('2.3'!S61/'2.1'!S72,"")</f>
        <v>0.83790523690773067</v>
      </c>
      <c r="T74" s="366">
        <f>IFERROR('2.3'!T61/'2.1'!T72,"")</f>
        <v>0.78832116788321172</v>
      </c>
      <c r="U74" s="367">
        <f>IFERROR('2.3'!U61/'2.1'!U72,"")</f>
        <v>0.63078612898164133</v>
      </c>
      <c r="V74" s="367">
        <f>IFERROR('2.3'!V61/'2.1'!V72,"")</f>
        <v>0.73207370026992136</v>
      </c>
      <c r="W74" s="367">
        <f>IFERROR('2.3'!W61/'2.1'!W72,"")</f>
        <v>0.67136878732308269</v>
      </c>
    </row>
    <row r="75" spans="2:23" hidden="1" outlineLevel="1" x14ac:dyDescent="0.25">
      <c r="B75" s="362">
        <v>40756</v>
      </c>
      <c r="C75" s="366" t="str">
        <f>IFERROR('2.3'!C62/'2.1'!C73,"")</f>
        <v/>
      </c>
      <c r="D75" s="366" t="str">
        <f>IFERROR('2.3'!D62/'2.1'!D73,"")</f>
        <v/>
      </c>
      <c r="E75" s="366" t="str">
        <f>IFERROR('2.3'!E62/'2.1'!E73,"")</f>
        <v/>
      </c>
      <c r="F75" s="366" t="str">
        <f>IFERROR('2.3'!F62/'2.1'!F73,"")</f>
        <v/>
      </c>
      <c r="G75" s="366" t="str">
        <f>IFERROR('2.3'!G62/'2.1'!G73,"")</f>
        <v/>
      </c>
      <c r="H75" s="366" t="str">
        <f>IFERROR('2.3'!H62/'2.1'!H73,"")</f>
        <v/>
      </c>
      <c r="I75" s="366">
        <f>IFERROR('2.3'!I62/'2.1'!I73,"")</f>
        <v>0.77841561423650973</v>
      </c>
      <c r="J75" s="366">
        <f>IFERROR('2.3'!J62/'2.1'!J73,"")</f>
        <v>0.88363171355498726</v>
      </c>
      <c r="K75" s="366">
        <f>IFERROR('2.3'!K62/'2.1'!K73,"")</f>
        <v>0.80265095729013258</v>
      </c>
      <c r="L75" s="366">
        <f>IFERROR('2.3'!L62/'2.1'!L73,"")</f>
        <v>0.43376230128690385</v>
      </c>
      <c r="M75" s="366">
        <f>IFERROR('2.3'!M62/'2.1'!M73,"")</f>
        <v>0.67088607594936711</v>
      </c>
      <c r="N75" s="366">
        <f>IFERROR('2.3'!N62/'2.1'!N73,"")</f>
        <v>0.49637883008356548</v>
      </c>
      <c r="O75" s="366">
        <f>IFERROR('2.3'!O62/'2.1'!O73,"")</f>
        <v>0.66959531416400431</v>
      </c>
      <c r="P75" s="366">
        <f>IFERROR('2.3'!P62/'2.1'!P73,"")</f>
        <v>0.71138493578618534</v>
      </c>
      <c r="Q75" s="366">
        <f>IFERROR('2.3'!Q62/'2.1'!Q73,"")</f>
        <v>0.68773542263070664</v>
      </c>
      <c r="R75" s="366">
        <f>IFERROR('2.3'!R62/'2.1'!R73,"")</f>
        <v>0.7571942446043165</v>
      </c>
      <c r="S75" s="366">
        <f>IFERROR('2.3'!S62/'2.1'!S73,"")</f>
        <v>0.83333333333333337</v>
      </c>
      <c r="T75" s="366">
        <f>IFERROR('2.3'!T62/'2.1'!T73,"")</f>
        <v>0.78681318681318679</v>
      </c>
      <c r="U75" s="367">
        <f>IFERROR('2.3'!U62/'2.1'!U73,"")</f>
        <v>0.67138810198300281</v>
      </c>
      <c r="V75" s="367">
        <f>IFERROR('2.3'!V62/'2.1'!V73,"")</f>
        <v>0.73290830168204013</v>
      </c>
      <c r="W75" s="367">
        <f>IFERROR('2.3'!W62/'2.1'!W73,"")</f>
        <v>0.69479715082068749</v>
      </c>
    </row>
    <row r="76" spans="2:23" hidden="1" outlineLevel="1" x14ac:dyDescent="0.25">
      <c r="B76" s="362">
        <v>40787</v>
      </c>
      <c r="C76" s="366" t="str">
        <f>IFERROR('2.3'!C63/'2.1'!C74,"")</f>
        <v/>
      </c>
      <c r="D76" s="366" t="str">
        <f>IFERROR('2.3'!D63/'2.1'!D74,"")</f>
        <v/>
      </c>
      <c r="E76" s="366" t="str">
        <f>IFERROR('2.3'!E63/'2.1'!E74,"")</f>
        <v/>
      </c>
      <c r="F76" s="366" t="str">
        <f>IFERROR('2.3'!F63/'2.1'!F74,"")</f>
        <v/>
      </c>
      <c r="G76" s="366" t="str">
        <f>IFERROR('2.3'!G63/'2.1'!G74,"")</f>
        <v/>
      </c>
      <c r="H76" s="366" t="str">
        <f>IFERROR('2.3'!H63/'2.1'!H74,"")</f>
        <v/>
      </c>
      <c r="I76" s="366">
        <f>IFERROR('2.3'!I63/'2.1'!I74,"")</f>
        <v>0.81354051054384013</v>
      </c>
      <c r="J76" s="366">
        <f>IFERROR('2.3'!J63/'2.1'!J74,"")</f>
        <v>0.90371229698375866</v>
      </c>
      <c r="K76" s="366">
        <f>IFERROR('2.3'!K63/'2.1'!K74,"")</f>
        <v>0.83534361851332395</v>
      </c>
      <c r="L76" s="366">
        <f>IFERROR('2.3'!L63/'2.1'!L74,"")</f>
        <v>0.43295354951796672</v>
      </c>
      <c r="M76" s="366">
        <f>IFERROR('2.3'!M63/'2.1'!M74,"")</f>
        <v>0.66818181818181821</v>
      </c>
      <c r="N76" s="366">
        <f>IFERROR('2.3'!N63/'2.1'!N74,"")</f>
        <v>0.49841872232764073</v>
      </c>
      <c r="O76" s="366">
        <f>IFERROR('2.3'!O63/'2.1'!O74,"")</f>
        <v>0.70976207137858638</v>
      </c>
      <c r="P76" s="366">
        <f>IFERROR('2.3'!P63/'2.1'!P74,"")</f>
        <v>0.7306245297215952</v>
      </c>
      <c r="Q76" s="366">
        <f>IFERROR('2.3'!Q63/'2.1'!Q74,"")</f>
        <v>0.71833453571060502</v>
      </c>
      <c r="R76" s="366">
        <f>IFERROR('2.3'!R63/'2.1'!R74,"")</f>
        <v>0.78708133971291872</v>
      </c>
      <c r="S76" s="366">
        <f>IFERROR('2.3'!S63/'2.1'!S74,"")</f>
        <v>0.86458333333333337</v>
      </c>
      <c r="T76" s="366">
        <f>IFERROR('2.3'!T63/'2.1'!T74,"")</f>
        <v>0.81869688385269124</v>
      </c>
      <c r="U76" s="367">
        <f>IFERROR('2.3'!U63/'2.1'!U74,"")</f>
        <v>0.70946081379033876</v>
      </c>
      <c r="V76" s="367">
        <f>IFERROR('2.3'!V63/'2.1'!V74,"")</f>
        <v>0.75936883629191321</v>
      </c>
      <c r="W76" s="367">
        <f>IFERROR('2.3'!W63/'2.1'!W74,"")</f>
        <v>0.72735454837672775</v>
      </c>
    </row>
    <row r="77" spans="2:23" hidden="1" outlineLevel="1" x14ac:dyDescent="0.25">
      <c r="B77" s="362">
        <v>40817</v>
      </c>
      <c r="C77" s="366" t="str">
        <f>IFERROR('2.3'!C64/'2.1'!C75,"")</f>
        <v/>
      </c>
      <c r="D77" s="366" t="str">
        <f>IFERROR('2.3'!D64/'2.1'!D75,"")</f>
        <v/>
      </c>
      <c r="E77" s="366" t="str">
        <f>IFERROR('2.3'!E64/'2.1'!E75,"")</f>
        <v/>
      </c>
      <c r="F77" s="366" t="str">
        <f>IFERROR('2.3'!F64/'2.1'!F75,"")</f>
        <v/>
      </c>
      <c r="G77" s="366" t="str">
        <f>IFERROR('2.3'!G64/'2.1'!G75,"")</f>
        <v/>
      </c>
      <c r="H77" s="366" t="str">
        <f>IFERROR('2.3'!H64/'2.1'!H75,"")</f>
        <v/>
      </c>
      <c r="I77" s="366">
        <f>IFERROR('2.3'!I64/'2.1'!I75,"")</f>
        <v>0.83048433048433046</v>
      </c>
      <c r="J77" s="366">
        <f>IFERROR('2.3'!J64/'2.1'!J75,"")</f>
        <v>0.93481481481481477</v>
      </c>
      <c r="K77" s="366">
        <f>IFERROR('2.3'!K64/'2.1'!K75,"")</f>
        <v>0.85580726357425385</v>
      </c>
      <c r="L77" s="366">
        <f>IFERROR('2.3'!L64/'2.1'!L75,"")</f>
        <v>0.46735395189003437</v>
      </c>
      <c r="M77" s="366">
        <f>IFERROR('2.3'!M64/'2.1'!M75,"")</f>
        <v>0.69267139479905437</v>
      </c>
      <c r="N77" s="366">
        <f>IFERROR('2.3'!N64/'2.1'!N75,"")</f>
        <v>0.52741020793950855</v>
      </c>
      <c r="O77" s="366">
        <f>IFERROR('2.3'!O64/'2.1'!O75,"")</f>
        <v>0.75725593667546176</v>
      </c>
      <c r="P77" s="366">
        <f>IFERROR('2.3'!P64/'2.1'!P75,"")</f>
        <v>0.79763246899661777</v>
      </c>
      <c r="Q77" s="366">
        <f>IFERROR('2.3'!Q64/'2.1'!Q75,"")</f>
        <v>0.77277158020145131</v>
      </c>
      <c r="R77" s="366">
        <f>IFERROR('2.3'!R64/'2.1'!R75,"")</f>
        <v>0.84381338742393508</v>
      </c>
      <c r="S77" s="366">
        <f>IFERROR('2.3'!S64/'2.1'!S75,"")</f>
        <v>0.91925465838509313</v>
      </c>
      <c r="T77" s="366">
        <f>IFERROR('2.3'!T64/'2.1'!T75,"")</f>
        <v>0.87361963190184044</v>
      </c>
      <c r="U77" s="367">
        <f>IFERROR('2.3'!U64/'2.1'!U75,"")</f>
        <v>0.74237933954276036</v>
      </c>
      <c r="V77" s="367">
        <f>IFERROR('2.3'!V64/'2.1'!V75,"")</f>
        <v>0.81521739130434778</v>
      </c>
      <c r="W77" s="367">
        <f>IFERROR('2.3'!W64/'2.1'!W75,"")</f>
        <v>0.76748057713651496</v>
      </c>
    </row>
    <row r="78" spans="2:23" hidden="1" outlineLevel="1" x14ac:dyDescent="0.25">
      <c r="B78" s="362">
        <v>40848</v>
      </c>
      <c r="C78" s="366" t="str">
        <f>IFERROR('2.3'!C65/'2.1'!C76,"")</f>
        <v/>
      </c>
      <c r="D78" s="366" t="str">
        <f>IFERROR('2.3'!D65/'2.1'!D76,"")</f>
        <v/>
      </c>
      <c r="E78" s="366" t="str">
        <f>IFERROR('2.3'!E65/'2.1'!E76,"")</f>
        <v/>
      </c>
      <c r="F78" s="366" t="str">
        <f>IFERROR('2.3'!F65/'2.1'!F76,"")</f>
        <v/>
      </c>
      <c r="G78" s="366" t="str">
        <f>IFERROR('2.3'!G65/'2.1'!G76,"")</f>
        <v/>
      </c>
      <c r="H78" s="366" t="str">
        <f>IFERROR('2.3'!H65/'2.1'!H76,"")</f>
        <v/>
      </c>
      <c r="I78" s="366">
        <f>IFERROR('2.3'!I65/'2.1'!I76,"")</f>
        <v>0.84846266471449483</v>
      </c>
      <c r="J78" s="366">
        <f>IFERROR('2.3'!J65/'2.1'!J76,"")</f>
        <v>0.93742889647326511</v>
      </c>
      <c r="K78" s="366">
        <f>IFERROR('2.3'!K65/'2.1'!K76,"")</f>
        <v>0.87011908058709497</v>
      </c>
      <c r="L78" s="366">
        <f>IFERROR('2.3'!L65/'2.1'!L76,"")</f>
        <v>0.46407624633431083</v>
      </c>
      <c r="M78" s="366">
        <f>IFERROR('2.3'!M65/'2.1'!M76,"")</f>
        <v>0.68160377358490565</v>
      </c>
      <c r="N78" s="366">
        <f>IFERROR('2.3'!N65/'2.1'!N76,"")</f>
        <v>0.51565995525727071</v>
      </c>
      <c r="O78" s="366">
        <f>IFERROR('2.3'!O65/'2.1'!O76,"")</f>
        <v>0.72944162436548221</v>
      </c>
      <c r="P78" s="366">
        <f>IFERROR('2.3'!P65/'2.1'!P76,"")</f>
        <v>0.78160723426036516</v>
      </c>
      <c r="Q78" s="366">
        <f>IFERROR('2.3'!Q65/'2.1'!Q76,"")</f>
        <v>0.75169201659267881</v>
      </c>
      <c r="R78" s="366">
        <f>IFERROR('2.3'!R65/'2.1'!R76,"")</f>
        <v>0.85185185185185186</v>
      </c>
      <c r="S78" s="366">
        <f>IFERROR('2.3'!S65/'2.1'!S76,"")</f>
        <v>0.94252873563218387</v>
      </c>
      <c r="T78" s="366">
        <f>IFERROR('2.3'!T65/'2.1'!T76,"")</f>
        <v>0.89121756487025949</v>
      </c>
      <c r="U78" s="367">
        <f>IFERROR('2.3'!U65/'2.1'!U76,"")</f>
        <v>0.73204177628956391</v>
      </c>
      <c r="V78" s="367">
        <f>IFERROR('2.3'!V65/'2.1'!V76,"")</f>
        <v>0.80326358731412029</v>
      </c>
      <c r="W78" s="367">
        <f>IFERROR('2.3'!W65/'2.1'!W76,"")</f>
        <v>0.75891172674014495</v>
      </c>
    </row>
    <row r="79" spans="2:23" hidden="1" outlineLevel="1" x14ac:dyDescent="0.25">
      <c r="B79" s="362">
        <v>40878</v>
      </c>
      <c r="C79" s="366" t="str">
        <f>IFERROR('2.3'!C66/'2.1'!C77,"")</f>
        <v/>
      </c>
      <c r="D79" s="366" t="str">
        <f>IFERROR('2.3'!D66/'2.1'!D77,"")</f>
        <v/>
      </c>
      <c r="E79" s="366" t="str">
        <f>IFERROR('2.3'!E66/'2.1'!E77,"")</f>
        <v/>
      </c>
      <c r="F79" s="366" t="str">
        <f>IFERROR('2.3'!F66/'2.1'!F77,"")</f>
        <v/>
      </c>
      <c r="G79" s="366" t="str">
        <f>IFERROR('2.3'!G66/'2.1'!G77,"")</f>
        <v/>
      </c>
      <c r="H79" s="366" t="str">
        <f>IFERROR('2.3'!H66/'2.1'!H77,"")</f>
        <v/>
      </c>
      <c r="I79" s="366">
        <f>IFERROR('2.3'!I66/'2.1'!I77,"")</f>
        <v>0.84099616858237547</v>
      </c>
      <c r="J79" s="366">
        <f>IFERROR('2.3'!J66/'2.1'!J77,"")</f>
        <v>0.94917787742899851</v>
      </c>
      <c r="K79" s="366">
        <f>IFERROR('2.3'!K66/'2.1'!K77,"")</f>
        <v>0.86724700761697493</v>
      </c>
      <c r="L79" s="366">
        <f>IFERROR('2.3'!L66/'2.1'!L77,"")</f>
        <v>0.43968871595330739</v>
      </c>
      <c r="M79" s="366">
        <f>IFERROR('2.3'!M66/'2.1'!M77,"")</f>
        <v>0.7172774869109948</v>
      </c>
      <c r="N79" s="366">
        <f>IFERROR('2.3'!N66/'2.1'!N77,"")</f>
        <v>0.51489361702127656</v>
      </c>
      <c r="O79" s="366">
        <f>IFERROR('2.3'!O66/'2.1'!O77,"")</f>
        <v>0.74273210378243204</v>
      </c>
      <c r="P79" s="366">
        <f>IFERROR('2.3'!P66/'2.1'!P77,"")</f>
        <v>0.78462502611238771</v>
      </c>
      <c r="Q79" s="366">
        <f>IFERROR('2.3'!Q66/'2.1'!Q77,"")</f>
        <v>0.76066160035762187</v>
      </c>
      <c r="R79" s="366">
        <f>IFERROR('2.3'!R66/'2.1'!R77,"")</f>
        <v>0.88277511961722488</v>
      </c>
      <c r="S79" s="366">
        <f>IFERROR('2.3'!S66/'2.1'!S77,"")</f>
        <v>0.91793313069908811</v>
      </c>
      <c r="T79" s="366">
        <f>IFERROR('2.3'!T66/'2.1'!T77,"")</f>
        <v>0.89825970548862111</v>
      </c>
      <c r="U79" s="367">
        <f>IFERROR('2.3'!U66/'2.1'!U77,"")</f>
        <v>0.7379178413209827</v>
      </c>
      <c r="V79" s="367">
        <f>IFERROR('2.3'!V66/'2.1'!V77,"")</f>
        <v>0.80541592346359658</v>
      </c>
      <c r="W79" s="367">
        <f>IFERROR('2.3'!W66/'2.1'!W77,"")</f>
        <v>0.76377414746257533</v>
      </c>
    </row>
    <row r="80" spans="2:23" collapsed="1" x14ac:dyDescent="0.25">
      <c r="B80" s="364" t="s">
        <v>702</v>
      </c>
      <c r="C80" s="367" t="str">
        <f>IFERROR('2.3'!C67/'2.1'!C78,"")</f>
        <v/>
      </c>
      <c r="D80" s="367" t="str">
        <f>IFERROR('2.3'!D67/'2.1'!D78,"")</f>
        <v/>
      </c>
      <c r="E80" s="367" t="str">
        <f>IFERROR('2.3'!E67/'2.1'!E78,"")</f>
        <v/>
      </c>
      <c r="F80" s="367" t="str">
        <f>IFERROR('2.3'!F67/'2.1'!F78,"")</f>
        <v/>
      </c>
      <c r="G80" s="367" t="str">
        <f>IFERROR('2.3'!G67/'2.1'!G78,"")</f>
        <v/>
      </c>
      <c r="H80" s="367" t="str">
        <f>IFERROR('2.3'!H67/'2.1'!H78,"")</f>
        <v/>
      </c>
      <c r="I80" s="367">
        <f>IFERROR('2.3'!I67/'2.1'!I78,"")</f>
        <v>0.77014418999151824</v>
      </c>
      <c r="J80" s="367">
        <f>IFERROR('2.3'!J67/'2.1'!J78,"")</f>
        <v>0.89618922470433637</v>
      </c>
      <c r="K80" s="367">
        <f>IFERROR('2.3'!K67/'2.1'!K78,"")</f>
        <v>0.8008977236293684</v>
      </c>
      <c r="L80" s="367">
        <f>IFERROR('2.3'!L67/'2.1'!L78,"")</f>
        <v>0.43023255813953487</v>
      </c>
      <c r="M80" s="367">
        <f>IFERROR('2.3'!M67/'2.1'!M78,"")</f>
        <v>0.67912087912087915</v>
      </c>
      <c r="N80" s="367">
        <f>IFERROR('2.3'!N67/'2.1'!N78,"")</f>
        <v>0.49512893982808021</v>
      </c>
      <c r="O80" s="367">
        <f>IFERROR('2.3'!O67/'2.1'!O78,"")</f>
        <v>0.70042400521852577</v>
      </c>
      <c r="P80" s="367">
        <f>IFERROR('2.3'!P67/'2.1'!P78,"")</f>
        <v>0.73799725651577508</v>
      </c>
      <c r="Q80" s="367">
        <f>IFERROR('2.3'!Q67/'2.1'!Q78,"")</f>
        <v>0.71606700932800305</v>
      </c>
      <c r="R80" s="367">
        <f>IFERROR('2.3'!R67/'2.1'!R78,"")</f>
        <v>0.80478087649402386</v>
      </c>
      <c r="S80" s="367">
        <f>IFERROR('2.3'!S67/'2.1'!S78,"")</f>
        <v>0.88674033149171272</v>
      </c>
      <c r="T80" s="367">
        <f>IFERROR('2.3'!T67/'2.1'!T78,"")</f>
        <v>0.83912037037037035</v>
      </c>
      <c r="U80" s="367">
        <f>IFERROR('2.3'!U67/'2.1'!U78,"")</f>
        <v>0.6876094145107956</v>
      </c>
      <c r="V80" s="367">
        <f>IFERROR('2.3'!V67/'2.1'!V78,"")</f>
        <v>0.76260080645161288</v>
      </c>
      <c r="W80" s="367">
        <f>IFERROR('2.3'!W67/'2.1'!W78,"")</f>
        <v>0.71510410250092393</v>
      </c>
    </row>
    <row r="81" spans="2:23" hidden="1" outlineLevel="1" x14ac:dyDescent="0.25">
      <c r="B81" s="362">
        <v>40909</v>
      </c>
      <c r="C81" s="366" t="str">
        <f>IFERROR('2.3'!C68/'2.1'!C79,"")</f>
        <v/>
      </c>
      <c r="D81" s="366" t="str">
        <f>IFERROR('2.3'!D68/'2.1'!D79,"")</f>
        <v/>
      </c>
      <c r="E81" s="366" t="str">
        <f>IFERROR('2.3'!E68/'2.1'!E79,"")</f>
        <v/>
      </c>
      <c r="F81" s="366" t="str">
        <f>IFERROR('2.3'!F68/'2.1'!F79,"")</f>
        <v/>
      </c>
      <c r="G81" s="366" t="str">
        <f>IFERROR('2.3'!G68/'2.1'!G79,"")</f>
        <v/>
      </c>
      <c r="H81" s="366" t="str">
        <f>IFERROR('2.3'!H68/'2.1'!H79,"")</f>
        <v/>
      </c>
      <c r="I81" s="366">
        <f>IFERROR('2.3'!I68/'2.1'!I79,"")</f>
        <v>0.84187472623740689</v>
      </c>
      <c r="J81" s="366">
        <f>IFERROR('2.3'!J68/'2.1'!J79,"")</f>
        <v>0.93955321944809467</v>
      </c>
      <c r="K81" s="366">
        <f>IFERROR('2.3'!K68/'2.1'!K79,"")</f>
        <v>0.86629434954007889</v>
      </c>
      <c r="L81" s="366">
        <f>IFERROR('2.3'!L68/'2.1'!L79,"")</f>
        <v>0.47927927927927927</v>
      </c>
      <c r="M81" s="366">
        <f>IFERROR('2.3'!M68/'2.1'!M79,"")</f>
        <v>0.68674698795180722</v>
      </c>
      <c r="N81" s="366">
        <f>IFERROR('2.3'!N68/'2.1'!N79,"")</f>
        <v>0.53573770491803274</v>
      </c>
      <c r="O81" s="366">
        <f>IFERROR('2.3'!O68/'2.1'!O79,"")</f>
        <v>0.75129918337045287</v>
      </c>
      <c r="P81" s="366">
        <f>IFERROR('2.3'!P68/'2.1'!P79,"")</f>
        <v>0.7996285596368139</v>
      </c>
      <c r="Q81" s="366">
        <f>IFERROR('2.3'!Q68/'2.1'!Q79,"")</f>
        <v>0.77152232104308782</v>
      </c>
      <c r="R81" s="366">
        <f>IFERROR('2.3'!R68/'2.1'!R79,"")</f>
        <v>0.84549356223175964</v>
      </c>
      <c r="S81" s="366">
        <f>IFERROR('2.3'!S68/'2.1'!S79,"")</f>
        <v>0.90740740740740744</v>
      </c>
      <c r="T81" s="366">
        <f>IFERROR('2.3'!T68/'2.1'!T79,"")</f>
        <v>0.87088607594936707</v>
      </c>
      <c r="U81" s="367">
        <f>IFERROR('2.3'!U68/'2.1'!U79,"")</f>
        <v>0.74646026052482539</v>
      </c>
      <c r="V81" s="367">
        <f>IFERROR('2.3'!V68/'2.1'!V79,"")</f>
        <v>0.81452883706271673</v>
      </c>
      <c r="W81" s="367">
        <f>IFERROR('2.3'!W68/'2.1'!W79,"")</f>
        <v>0.77195985832349467</v>
      </c>
    </row>
    <row r="82" spans="2:23" hidden="1" outlineLevel="1" x14ac:dyDescent="0.25">
      <c r="B82" s="362">
        <v>40940</v>
      </c>
      <c r="C82" s="366" t="str">
        <f>IFERROR('2.3'!C69/'2.1'!C80,"")</f>
        <v/>
      </c>
      <c r="D82" s="366" t="str">
        <f>IFERROR('2.3'!D69/'2.1'!D80,"")</f>
        <v/>
      </c>
      <c r="E82" s="366" t="str">
        <f>IFERROR('2.3'!E69/'2.1'!E80,"")</f>
        <v/>
      </c>
      <c r="F82" s="366" t="str">
        <f>IFERROR('2.3'!F69/'2.1'!F80,"")</f>
        <v/>
      </c>
      <c r="G82" s="366" t="str">
        <f>IFERROR('2.3'!G69/'2.1'!G80,"")</f>
        <v/>
      </c>
      <c r="H82" s="366" t="str">
        <f>IFERROR('2.3'!H69/'2.1'!H80,"")</f>
        <v/>
      </c>
      <c r="I82" s="366">
        <f>IFERROR('2.3'!I69/'2.1'!I80,"")</f>
        <v>0.83244111349036398</v>
      </c>
      <c r="J82" s="366">
        <f>IFERROR('2.3'!J69/'2.1'!J80,"")</f>
        <v>0.93729903536977488</v>
      </c>
      <c r="K82" s="366">
        <f>IFERROR('2.3'!K69/'2.1'!K80,"")</f>
        <v>0.85863453815261048</v>
      </c>
      <c r="L82" s="366">
        <f>IFERROR('2.3'!L69/'2.1'!L80,"")</f>
        <v>0.44712041884816756</v>
      </c>
      <c r="M82" s="366">
        <f>IFERROR('2.3'!M69/'2.1'!M80,"")</f>
        <v>0.67292225201072386</v>
      </c>
      <c r="N82" s="366">
        <f>IFERROR('2.3'!N69/'2.1'!N80,"")</f>
        <v>0.51054216867469882</v>
      </c>
      <c r="O82" s="366">
        <f>IFERROR('2.3'!O69/'2.1'!O80,"")</f>
        <v>0.80994099767566596</v>
      </c>
      <c r="P82" s="366">
        <f>IFERROR('2.3'!P69/'2.1'!P80,"")</f>
        <v>0.82113373692900382</v>
      </c>
      <c r="Q82" s="366">
        <f>IFERROR('2.3'!Q69/'2.1'!Q80,"")</f>
        <v>0.81434919258697303</v>
      </c>
      <c r="R82" s="366">
        <f>IFERROR('2.3'!R69/'2.1'!R80,"")</f>
        <v>0.84478935698447899</v>
      </c>
      <c r="S82" s="366">
        <f>IFERROR('2.3'!S69/'2.1'!S80,"")</f>
        <v>0.92814371257485029</v>
      </c>
      <c r="T82" s="366">
        <f>IFERROR('2.3'!T69/'2.1'!T80,"")</f>
        <v>0.88025477707006372</v>
      </c>
      <c r="U82" s="367">
        <f>IFERROR('2.3'!U69/'2.1'!U80,"")</f>
        <v>0.77737679034622753</v>
      </c>
      <c r="V82" s="367">
        <f>IFERROR('2.3'!V69/'2.1'!V80,"")</f>
        <v>0.8317549869030828</v>
      </c>
      <c r="W82" s="367">
        <f>IFERROR('2.3'!W69/'2.1'!W80,"")</f>
        <v>0.79689081706435283</v>
      </c>
    </row>
    <row r="83" spans="2:23" hidden="1" outlineLevel="1" x14ac:dyDescent="0.25">
      <c r="B83" s="362">
        <v>40969</v>
      </c>
      <c r="C83" s="366" t="str">
        <f>IFERROR('2.3'!C70/'2.1'!C81,"")</f>
        <v/>
      </c>
      <c r="D83" s="366" t="str">
        <f>IFERROR('2.3'!D70/'2.1'!D81,"")</f>
        <v/>
      </c>
      <c r="E83" s="366" t="str">
        <f>IFERROR('2.3'!E70/'2.1'!E81,"")</f>
        <v/>
      </c>
      <c r="F83" s="366" t="str">
        <f>IFERROR('2.3'!F70/'2.1'!F81,"")</f>
        <v/>
      </c>
      <c r="G83" s="366" t="str">
        <f>IFERROR('2.3'!G70/'2.1'!G81,"")</f>
        <v/>
      </c>
      <c r="H83" s="366" t="str">
        <f>IFERROR('2.3'!H70/'2.1'!H81,"")</f>
        <v/>
      </c>
      <c r="I83" s="366">
        <f>IFERROR('2.3'!I70/'2.1'!I81,"")</f>
        <v>0.8328651685393258</v>
      </c>
      <c r="J83" s="366">
        <f>IFERROR('2.3'!J70/'2.1'!J81,"")</f>
        <v>0.93519882179675995</v>
      </c>
      <c r="K83" s="366">
        <f>IFERROR('2.3'!K70/'2.1'!K81,"")</f>
        <v>0.85754884547069277</v>
      </c>
      <c r="L83" s="366">
        <f>IFERROR('2.3'!L70/'2.1'!L81,"")</f>
        <v>0.44957983193277312</v>
      </c>
      <c r="M83" s="366">
        <f>IFERROR('2.3'!M70/'2.1'!M81,"")</f>
        <v>0.68888888888888888</v>
      </c>
      <c r="N83" s="366">
        <f>IFERROR('2.3'!N70/'2.1'!N81,"")</f>
        <v>0.51034482758620692</v>
      </c>
      <c r="O83" s="366">
        <f>IFERROR('2.3'!O70/'2.1'!O81,"")</f>
        <v>0.80933062880324547</v>
      </c>
      <c r="P83" s="366">
        <f>IFERROR('2.3'!P70/'2.1'!P81,"")</f>
        <v>0.8462897526501767</v>
      </c>
      <c r="Q83" s="366">
        <f>IFERROR('2.3'!Q70/'2.1'!Q81,"")</f>
        <v>0.82415468718364038</v>
      </c>
      <c r="R83" s="366">
        <f>IFERROR('2.3'!R70/'2.1'!R81,"")</f>
        <v>0.82705099778270508</v>
      </c>
      <c r="S83" s="366">
        <f>IFERROR('2.3'!S70/'2.1'!S81,"")</f>
        <v>0.92668621700879761</v>
      </c>
      <c r="T83" s="366">
        <f>IFERROR('2.3'!T70/'2.1'!T81,"")</f>
        <v>0.86994949494949492</v>
      </c>
      <c r="U83" s="367">
        <f>IFERROR('2.3'!U70/'2.1'!U81,"")</f>
        <v>0.7711750747962447</v>
      </c>
      <c r="V83" s="367">
        <f>IFERROR('2.3'!V70/'2.1'!V81,"")</f>
        <v>0.8507518099127529</v>
      </c>
      <c r="W83" s="367">
        <f>IFERROR('2.3'!W70/'2.1'!W81,"")</f>
        <v>0.79960212201591507</v>
      </c>
    </row>
    <row r="84" spans="2:23" hidden="1" outlineLevel="1" x14ac:dyDescent="0.25">
      <c r="B84" s="362">
        <v>41000</v>
      </c>
      <c r="C84" s="366" t="str">
        <f>IFERROR('2.3'!C71/'2.1'!C82,"")</f>
        <v/>
      </c>
      <c r="D84" s="366" t="str">
        <f>IFERROR('2.3'!D71/'2.1'!D82,"")</f>
        <v/>
      </c>
      <c r="E84" s="366" t="str">
        <f>IFERROR('2.3'!E71/'2.1'!E82,"")</f>
        <v/>
      </c>
      <c r="F84" s="366" t="str">
        <f>IFERROR('2.3'!F71/'2.1'!F82,"")</f>
        <v/>
      </c>
      <c r="G84" s="366" t="str">
        <f>IFERROR('2.3'!G71/'2.1'!G82,"")</f>
        <v/>
      </c>
      <c r="H84" s="366" t="str">
        <f>IFERROR('2.3'!H71/'2.1'!H82,"")</f>
        <v/>
      </c>
      <c r="I84" s="366">
        <f>IFERROR('2.3'!I71/'2.1'!I82,"")</f>
        <v>0.83742156303479753</v>
      </c>
      <c r="J84" s="366">
        <f>IFERROR('2.3'!J71/'2.1'!J82,"")</f>
        <v>0.94516129032258067</v>
      </c>
      <c r="K84" s="366">
        <f>IFERROR('2.3'!K71/'2.1'!K82,"")</f>
        <v>0.86557100716392754</v>
      </c>
      <c r="L84" s="366">
        <f>IFERROR('2.3'!L71/'2.1'!L82,"")</f>
        <v>0.48767605633802819</v>
      </c>
      <c r="M84" s="366">
        <f>IFERROR('2.3'!M71/'2.1'!M82,"")</f>
        <v>0.67733990147783252</v>
      </c>
      <c r="N84" s="366">
        <f>IFERROR('2.3'!N71/'2.1'!N82,"")</f>
        <v>0.53761348897535666</v>
      </c>
      <c r="O84" s="366">
        <f>IFERROR('2.3'!O71/'2.1'!O82,"")</f>
        <v>0.80559006211180129</v>
      </c>
      <c r="P84" s="366">
        <f>IFERROR('2.3'!P71/'2.1'!P82,"")</f>
        <v>0.8210270434518383</v>
      </c>
      <c r="Q84" s="366">
        <f>IFERROR('2.3'!Q71/'2.1'!Q82,"")</f>
        <v>0.81184583179411407</v>
      </c>
      <c r="R84" s="366">
        <f>IFERROR('2.3'!R71/'2.1'!R82,"")</f>
        <v>0.83957219251336901</v>
      </c>
      <c r="S84" s="366">
        <f>IFERROR('2.3'!S71/'2.1'!S82,"")</f>
        <v>0.9119718309859155</v>
      </c>
      <c r="T84" s="366">
        <f>IFERROR('2.3'!T71/'2.1'!T82,"")</f>
        <v>0.87082066869300911</v>
      </c>
      <c r="U84" s="367">
        <f>IFERROR('2.3'!U71/'2.1'!U82,"")</f>
        <v>0.7694303719263561</v>
      </c>
      <c r="V84" s="367">
        <f>IFERROR('2.3'!V71/'2.1'!V82,"")</f>
        <v>0.83068898065637908</v>
      </c>
      <c r="W84" s="367">
        <f>IFERROR('2.3'!W71/'2.1'!W82,"")</f>
        <v>0.7916338427603592</v>
      </c>
    </row>
    <row r="85" spans="2:23" hidden="1" outlineLevel="1" x14ac:dyDescent="0.25">
      <c r="B85" s="362">
        <v>41030</v>
      </c>
      <c r="C85" s="366" t="str">
        <f>IFERROR('2.3'!C72/'2.1'!C83,"")</f>
        <v/>
      </c>
      <c r="D85" s="366" t="str">
        <f>IFERROR('2.3'!D72/'2.1'!D83,"")</f>
        <v/>
      </c>
      <c r="E85" s="366" t="str">
        <f>IFERROR('2.3'!E72/'2.1'!E83,"")</f>
        <v/>
      </c>
      <c r="F85" s="366" t="str">
        <f>IFERROR('2.3'!F72/'2.1'!F83,"")</f>
        <v/>
      </c>
      <c r="G85" s="366" t="str">
        <f>IFERROR('2.3'!G72/'2.1'!G83,"")</f>
        <v/>
      </c>
      <c r="H85" s="366" t="str">
        <f>IFERROR('2.3'!H72/'2.1'!H83,"")</f>
        <v/>
      </c>
      <c r="I85" s="366">
        <f>IFERROR('2.3'!I72/'2.1'!I83,"")</f>
        <v>0.8345656192236599</v>
      </c>
      <c r="J85" s="366">
        <f>IFERROR('2.3'!J72/'2.1'!J83,"")</f>
        <v>0.92640692640692646</v>
      </c>
      <c r="K85" s="366">
        <f>IFERROR('2.3'!K72/'2.1'!K83,"")</f>
        <v>0.85684284214210715</v>
      </c>
      <c r="L85" s="366">
        <f>IFERROR('2.3'!L72/'2.1'!L83,"")</f>
        <v>0.4790764790764791</v>
      </c>
      <c r="M85" s="366">
        <f>IFERROR('2.3'!M72/'2.1'!M83,"")</f>
        <v>0.70425138632162665</v>
      </c>
      <c r="N85" s="366">
        <f>IFERROR('2.3'!N72/'2.1'!N83,"")</f>
        <v>0.54229372080954852</v>
      </c>
      <c r="O85" s="366">
        <f>IFERROR('2.3'!O72/'2.1'!O83,"")</f>
        <v>0.74729827089337175</v>
      </c>
      <c r="P85" s="366">
        <f>IFERROR('2.3'!P72/'2.1'!P83,"")</f>
        <v>0.80603117812420133</v>
      </c>
      <c r="Q85" s="366">
        <f>IFERROR('2.3'!Q72/'2.1'!Q83,"")</f>
        <v>0.77157950343370307</v>
      </c>
      <c r="R85" s="366">
        <f>IFERROR('2.3'!R72/'2.1'!R83,"")</f>
        <v>0.8381962864721485</v>
      </c>
      <c r="S85" s="366">
        <f>IFERROR('2.3'!S72/'2.1'!S83,"")</f>
        <v>0.88356164383561642</v>
      </c>
      <c r="T85" s="366">
        <f>IFERROR('2.3'!T72/'2.1'!T83,"")</f>
        <v>0.85799701046337817</v>
      </c>
      <c r="U85" s="367">
        <f>IFERROR('2.3'!U72/'2.1'!U83,"")</f>
        <v>0.73161725920455745</v>
      </c>
      <c r="V85" s="367">
        <f>IFERROR('2.3'!V72/'2.1'!V83,"")</f>
        <v>0.81540724397867259</v>
      </c>
      <c r="W85" s="367">
        <f>IFERROR('2.3'!W72/'2.1'!W83,"")</f>
        <v>0.76216651025606652</v>
      </c>
    </row>
    <row r="86" spans="2:23" hidden="1" outlineLevel="1" x14ac:dyDescent="0.25">
      <c r="B86" s="362">
        <v>41061</v>
      </c>
      <c r="C86" s="366" t="str">
        <f>IFERROR('2.3'!C73/'2.1'!C84,"")</f>
        <v/>
      </c>
      <c r="D86" s="366" t="str">
        <f>IFERROR('2.3'!D73/'2.1'!D84,"")</f>
        <v/>
      </c>
      <c r="E86" s="366" t="str">
        <f>IFERROR('2.3'!E73/'2.1'!E84,"")</f>
        <v/>
      </c>
      <c r="F86" s="366" t="str">
        <f>IFERROR('2.3'!F73/'2.1'!F84,"")</f>
        <v/>
      </c>
      <c r="G86" s="366" t="str">
        <f>IFERROR('2.3'!G73/'2.1'!G84,"")</f>
        <v/>
      </c>
      <c r="H86" s="366" t="str">
        <f>IFERROR('2.3'!H73/'2.1'!H84,"")</f>
        <v/>
      </c>
      <c r="I86" s="366">
        <f>IFERROR('2.3'!I73/'2.1'!I84,"")</f>
        <v>0.83341849770056209</v>
      </c>
      <c r="J86" s="366">
        <f>IFERROR('2.3'!J73/'2.1'!J84,"")</f>
        <v>0.9170437405731523</v>
      </c>
      <c r="K86" s="366">
        <f>IFERROR('2.3'!K73/'2.1'!K84,"")</f>
        <v>0.85458015267175569</v>
      </c>
      <c r="L86" s="366">
        <f>IFERROR('2.3'!L73/'2.1'!L84,"")</f>
        <v>0.49880095923261392</v>
      </c>
      <c r="M86" s="366">
        <f>IFERROR('2.3'!M73/'2.1'!M84,"")</f>
        <v>0.72106261859582543</v>
      </c>
      <c r="N86" s="366">
        <f>IFERROR('2.3'!N73/'2.1'!N84,"")</f>
        <v>0.56467941507311581</v>
      </c>
      <c r="O86" s="366">
        <f>IFERROR('2.3'!O73/'2.1'!O84,"")</f>
        <v>0.75810324129651863</v>
      </c>
      <c r="P86" s="366">
        <f>IFERROR('2.3'!P73/'2.1'!P84,"")</f>
        <v>0.81033578174186782</v>
      </c>
      <c r="Q86" s="366">
        <f>IFERROR('2.3'!Q73/'2.1'!Q84,"")</f>
        <v>0.78070374574347334</v>
      </c>
      <c r="R86" s="366">
        <f>IFERROR('2.3'!R73/'2.1'!R84,"")</f>
        <v>0.7321428571428571</v>
      </c>
      <c r="S86" s="366">
        <f>IFERROR('2.3'!S73/'2.1'!S84,"")</f>
        <v>0.88715953307392992</v>
      </c>
      <c r="T86" s="366">
        <f>IFERROR('2.3'!T73/'2.1'!T84,"")</f>
        <v>0.79932546374367619</v>
      </c>
      <c r="U86" s="367">
        <f>IFERROR('2.3'!U73/'2.1'!U84,"")</f>
        <v>0.73636150784359633</v>
      </c>
      <c r="V86" s="367">
        <f>IFERROR('2.3'!V73/'2.1'!V84,"")</f>
        <v>0.81859669138619506</v>
      </c>
      <c r="W86" s="367">
        <f>IFERROR('2.3'!W73/'2.1'!W84,"")</f>
        <v>0.76769799289906526</v>
      </c>
    </row>
    <row r="87" spans="2:23" hidden="1" outlineLevel="1" x14ac:dyDescent="0.25">
      <c r="B87" s="362">
        <v>41091</v>
      </c>
      <c r="C87" s="366" t="str">
        <f>IFERROR('2.3'!C74/'2.1'!C85,"")</f>
        <v/>
      </c>
      <c r="D87" s="366" t="str">
        <f>IFERROR('2.3'!D74/'2.1'!D85,"")</f>
        <v/>
      </c>
      <c r="E87" s="366" t="str">
        <f>IFERROR('2.3'!E74/'2.1'!E85,"")</f>
        <v/>
      </c>
      <c r="F87" s="366" t="str">
        <f>IFERROR('2.3'!F74/'2.1'!F85,"")</f>
        <v/>
      </c>
      <c r="G87" s="366" t="str">
        <f>IFERROR('2.3'!G74/'2.1'!G85,"")</f>
        <v/>
      </c>
      <c r="H87" s="366" t="str">
        <f>IFERROR('2.3'!H74/'2.1'!H85,"")</f>
        <v/>
      </c>
      <c r="I87" s="366">
        <f>IFERROR('2.3'!I74/'2.1'!I85,"")</f>
        <v>0.86083853702051738</v>
      </c>
      <c r="J87" s="366">
        <f>IFERROR('2.3'!J74/'2.1'!J85,"")</f>
        <v>0.9261939218523878</v>
      </c>
      <c r="K87" s="366">
        <f>IFERROR('2.3'!K74/'2.1'!K85,"")</f>
        <v>0.87623593590180704</v>
      </c>
      <c r="L87" s="366">
        <f>IFERROR('2.3'!L74/'2.1'!L85,"")</f>
        <v>0.49124270225187655</v>
      </c>
      <c r="M87" s="366">
        <f>IFERROR('2.3'!M74/'2.1'!M85,"")</f>
        <v>0.72</v>
      </c>
      <c r="N87" s="366">
        <f>IFERROR('2.3'!N74/'2.1'!N85,"")</f>
        <v>0.55856386109476164</v>
      </c>
      <c r="O87" s="366">
        <f>IFERROR('2.3'!O74/'2.1'!O85,"")</f>
        <v>0.90663436451733137</v>
      </c>
      <c r="P87" s="366">
        <f>IFERROR('2.3'!P74/'2.1'!P85,"")</f>
        <v>0.92324668955370282</v>
      </c>
      <c r="Q87" s="366">
        <f>IFERROR('2.3'!Q74/'2.1'!Q85,"")</f>
        <v>0.91380770859805172</v>
      </c>
      <c r="R87" s="366">
        <f>IFERROR('2.3'!R74/'2.1'!R85,"")</f>
        <v>0.79325842696629212</v>
      </c>
      <c r="S87" s="366">
        <f>IFERROR('2.3'!S74/'2.1'!S85,"")</f>
        <v>0.91785714285714282</v>
      </c>
      <c r="T87" s="366">
        <f>IFERROR('2.3'!T74/'2.1'!T85,"")</f>
        <v>0.8413793103448276</v>
      </c>
      <c r="U87" s="367">
        <f>IFERROR('2.3'!U74/'2.1'!U85,"")</f>
        <v>0.83625162127107655</v>
      </c>
      <c r="V87" s="367">
        <f>IFERROR('2.3'!V74/'2.1'!V85,"")</f>
        <v>0.9050279329608939</v>
      </c>
      <c r="W87" s="367">
        <f>IFERROR('2.3'!W74/'2.1'!W85,"")</f>
        <v>0.86203634889534486</v>
      </c>
    </row>
    <row r="88" spans="2:23" hidden="1" outlineLevel="1" x14ac:dyDescent="0.25">
      <c r="B88" s="362">
        <v>41122</v>
      </c>
      <c r="C88" s="366" t="str">
        <f>IFERROR('2.3'!C75/'2.1'!C86,"")</f>
        <v/>
      </c>
      <c r="D88" s="366" t="str">
        <f>IFERROR('2.3'!D75/'2.1'!D86,"")</f>
        <v/>
      </c>
      <c r="E88" s="366" t="str">
        <f>IFERROR('2.3'!E75/'2.1'!E86,"")</f>
        <v/>
      </c>
      <c r="F88" s="366" t="str">
        <f>IFERROR('2.3'!F75/'2.1'!F86,"")</f>
        <v/>
      </c>
      <c r="G88" s="366" t="str">
        <f>IFERROR('2.3'!G75/'2.1'!G86,"")</f>
        <v/>
      </c>
      <c r="H88" s="366" t="str">
        <f>IFERROR('2.3'!H75/'2.1'!H86,"")</f>
        <v/>
      </c>
      <c r="I88" s="366">
        <f>IFERROR('2.3'!I75/'2.1'!I86,"")</f>
        <v>0.79380603096984514</v>
      </c>
      <c r="J88" s="366">
        <f>IFERROR('2.3'!J75/'2.1'!J86,"")</f>
        <v>0.91264667535853972</v>
      </c>
      <c r="K88" s="366">
        <f>IFERROR('2.3'!K75/'2.1'!K86,"")</f>
        <v>0.82210493635516924</v>
      </c>
      <c r="L88" s="366">
        <f>IFERROR('2.3'!L75/'2.1'!L86,"")</f>
        <v>0.47408963585434172</v>
      </c>
      <c r="M88" s="366">
        <f>IFERROR('2.3'!M75/'2.1'!M86,"")</f>
        <v>0.71985157699443414</v>
      </c>
      <c r="N88" s="366">
        <f>IFERROR('2.3'!N75/'2.1'!N86,"")</f>
        <v>0.54143365531265886</v>
      </c>
      <c r="O88" s="366">
        <f>IFERROR('2.3'!O75/'2.1'!O86,"")</f>
        <v>0.94741843522331326</v>
      </c>
      <c r="P88" s="366">
        <f>IFERROR('2.3'!P75/'2.1'!P86,"")</f>
        <v>0.95574764546510127</v>
      </c>
      <c r="Q88" s="366">
        <f>IFERROR('2.3'!Q75/'2.1'!Q86,"")</f>
        <v>0.95116711183370106</v>
      </c>
      <c r="R88" s="366">
        <f>IFERROR('2.3'!R75/'2.1'!R86,"")</f>
        <v>0.81050228310502281</v>
      </c>
      <c r="S88" s="366">
        <f>IFERROR('2.3'!S75/'2.1'!S86,"")</f>
        <v>0.8517350157728707</v>
      </c>
      <c r="T88" s="366">
        <f>IFERROR('2.3'!T75/'2.1'!T86,"")</f>
        <v>0.82781456953642385</v>
      </c>
      <c r="U88" s="367">
        <f>IFERROR('2.3'!U75/'2.1'!U86,"")</f>
        <v>0.86672467551301569</v>
      </c>
      <c r="V88" s="367">
        <f>IFERROR('2.3'!V75/'2.1'!V86,"")</f>
        <v>0.93513974823981227</v>
      </c>
      <c r="W88" s="367">
        <f>IFERROR('2.3'!W75/'2.1'!W86,"")</f>
        <v>0.89440966976041447</v>
      </c>
    </row>
    <row r="89" spans="2:23" hidden="1" outlineLevel="1" x14ac:dyDescent="0.25">
      <c r="B89" s="362">
        <v>41153</v>
      </c>
      <c r="C89" s="366" t="str">
        <f>IFERROR('2.3'!C76/'2.1'!C87,"")</f>
        <v/>
      </c>
      <c r="D89" s="366" t="str">
        <f>IFERROR('2.3'!D76/'2.1'!D87,"")</f>
        <v/>
      </c>
      <c r="E89" s="366" t="str">
        <f>IFERROR('2.3'!E76/'2.1'!E87,"")</f>
        <v/>
      </c>
      <c r="F89" s="366" t="str">
        <f>IFERROR('2.3'!F76/'2.1'!F87,"")</f>
        <v/>
      </c>
      <c r="G89" s="366" t="str">
        <f>IFERROR('2.3'!G76/'2.1'!G87,"")</f>
        <v/>
      </c>
      <c r="H89" s="366" t="str">
        <f>IFERROR('2.3'!H76/'2.1'!H87,"")</f>
        <v/>
      </c>
      <c r="I89" s="366">
        <f>IFERROR('2.3'!I76/'2.1'!I87,"")</f>
        <v>0.80255402750491156</v>
      </c>
      <c r="J89" s="366">
        <f>IFERROR('2.3'!J76/'2.1'!J87,"")</f>
        <v>0.91705069124423966</v>
      </c>
      <c r="K89" s="366">
        <f>IFERROR('2.3'!K76/'2.1'!K87,"")</f>
        <v>0.83029400818756982</v>
      </c>
      <c r="L89" s="366">
        <f>IFERROR('2.3'!L76/'2.1'!L87,"")</f>
        <v>0.43762993762993763</v>
      </c>
      <c r="M89" s="366">
        <f>IFERROR('2.3'!M76/'2.1'!M87,"")</f>
        <v>0.75213675213675213</v>
      </c>
      <c r="N89" s="366">
        <f>IFERROR('2.3'!N76/'2.1'!N87,"")</f>
        <v>0.52170601675552175</v>
      </c>
      <c r="O89" s="366">
        <f>IFERROR('2.3'!O76/'2.1'!O87,"")</f>
        <v>0.94598765432098764</v>
      </c>
      <c r="P89" s="366">
        <f>IFERROR('2.3'!P76/'2.1'!P87,"")</f>
        <v>0.93919169447534301</v>
      </c>
      <c r="Q89" s="366">
        <f>IFERROR('2.3'!Q76/'2.1'!Q87,"")</f>
        <v>0.94310985502695344</v>
      </c>
      <c r="R89" s="366">
        <f>IFERROR('2.3'!R76/'2.1'!R87,"")</f>
        <v>0.8202614379084967</v>
      </c>
      <c r="S89" s="366">
        <f>IFERROR('2.3'!S76/'2.1'!S87,"")</f>
        <v>0.86382978723404258</v>
      </c>
      <c r="T89" s="366">
        <f>IFERROR('2.3'!T76/'2.1'!T87,"")</f>
        <v>0.83918669131238444</v>
      </c>
      <c r="U89" s="367">
        <f>IFERROR('2.3'!U76/'2.1'!U87,"")</f>
        <v>0.88875698324022345</v>
      </c>
      <c r="V89" s="367">
        <f>IFERROR('2.3'!V76/'2.1'!V87,"")</f>
        <v>0.92870926243567753</v>
      </c>
      <c r="W89" s="367">
        <f>IFERROR('2.3'!W76/'2.1'!W87,"")</f>
        <v>0.90451623815967519</v>
      </c>
    </row>
    <row r="90" spans="2:23" hidden="1" outlineLevel="1" x14ac:dyDescent="0.25">
      <c r="B90" s="362">
        <v>41183</v>
      </c>
      <c r="C90" s="366" t="str">
        <f>IFERROR('2.3'!C77/'2.1'!C88,"")</f>
        <v/>
      </c>
      <c r="D90" s="366" t="str">
        <f>IFERROR('2.3'!D77/'2.1'!D88,"")</f>
        <v/>
      </c>
      <c r="E90" s="366" t="str">
        <f>IFERROR('2.3'!E77/'2.1'!E88,"")</f>
        <v/>
      </c>
      <c r="F90" s="366" t="str">
        <f>IFERROR('2.3'!F77/'2.1'!F88,"")</f>
        <v/>
      </c>
      <c r="G90" s="366" t="str">
        <f>IFERROR('2.3'!G77/'2.1'!G88,"")</f>
        <v/>
      </c>
      <c r="H90" s="366" t="str">
        <f>IFERROR('2.3'!H77/'2.1'!H88,"")</f>
        <v/>
      </c>
      <c r="I90" s="366">
        <f>IFERROR('2.3'!I77/'2.1'!I88,"")</f>
        <v>0.80140350877192978</v>
      </c>
      <c r="J90" s="366">
        <f>IFERROR('2.3'!J77/'2.1'!J88,"")</f>
        <v>0.89328537170263789</v>
      </c>
      <c r="K90" s="366">
        <f>IFERROR('2.3'!K77/'2.1'!K88,"")</f>
        <v>0.82220412595005432</v>
      </c>
      <c r="L90" s="366">
        <f>IFERROR('2.3'!L77/'2.1'!L88,"")</f>
        <v>0.42604387827317763</v>
      </c>
      <c r="M90" s="366">
        <f>IFERROR('2.3'!M77/'2.1'!M88,"")</f>
        <v>0.71372549019607845</v>
      </c>
      <c r="N90" s="366">
        <f>IFERROR('2.3'!N77/'2.1'!N88,"")</f>
        <v>0.5023400936037441</v>
      </c>
      <c r="O90" s="366">
        <f>IFERROR('2.3'!O77/'2.1'!O88,"")</f>
        <v>0.92437855645402811</v>
      </c>
      <c r="P90" s="366">
        <f>IFERROR('2.3'!P77/'2.1'!P88,"")</f>
        <v>0.92398009950248761</v>
      </c>
      <c r="Q90" s="366">
        <f>IFERROR('2.3'!Q77/'2.1'!Q88,"")</f>
        <v>0.92420746817055455</v>
      </c>
      <c r="R90" s="366">
        <f>IFERROR('2.3'!R77/'2.1'!R88,"")</f>
        <v>0.80281690140845074</v>
      </c>
      <c r="S90" s="366">
        <f>IFERROR('2.3'!S77/'2.1'!S88,"")</f>
        <v>0.87577639751552794</v>
      </c>
      <c r="T90" s="366">
        <f>IFERROR('2.3'!T77/'2.1'!T88,"")</f>
        <v>0.83422459893048129</v>
      </c>
      <c r="U90" s="367">
        <f>IFERROR('2.3'!U77/'2.1'!U88,"")</f>
        <v>0.82704319521421654</v>
      </c>
      <c r="V90" s="367">
        <f>IFERROR('2.3'!V77/'2.1'!V88,"")</f>
        <v>0.9018083993424002</v>
      </c>
      <c r="W90" s="367">
        <f>IFERROR('2.3'!W77/'2.1'!W88,"")</f>
        <v>0.85474581902757785</v>
      </c>
    </row>
    <row r="91" spans="2:23" hidden="1" outlineLevel="1" x14ac:dyDescent="0.25">
      <c r="B91" s="362">
        <v>41214</v>
      </c>
      <c r="C91" s="366" t="str">
        <f>IFERROR('2.3'!C78/'2.1'!C89,"")</f>
        <v/>
      </c>
      <c r="D91" s="366" t="str">
        <f>IFERROR('2.3'!D78/'2.1'!D89,"")</f>
        <v/>
      </c>
      <c r="E91" s="366" t="str">
        <f>IFERROR('2.3'!E78/'2.1'!E89,"")</f>
        <v/>
      </c>
      <c r="F91" s="366" t="str">
        <f>IFERROR('2.3'!F78/'2.1'!F89,"")</f>
        <v/>
      </c>
      <c r="G91" s="366" t="str">
        <f>IFERROR('2.3'!G78/'2.1'!G89,"")</f>
        <v/>
      </c>
      <c r="H91" s="366" t="str">
        <f>IFERROR('2.3'!H78/'2.1'!H89,"")</f>
        <v/>
      </c>
      <c r="I91" s="366">
        <f>IFERROR('2.3'!I78/'2.1'!I89,"")</f>
        <v>0.90587180636485876</v>
      </c>
      <c r="J91" s="366">
        <f>IFERROR('2.3'!J78/'2.1'!J89,"")</f>
        <v>0.95014245014245013</v>
      </c>
      <c r="K91" s="366">
        <f>IFERROR('2.3'!K78/'2.1'!K89,"")</f>
        <v>0.91646778042959431</v>
      </c>
      <c r="L91" s="366">
        <f>IFERROR('2.3'!L78/'2.1'!L89,"")</f>
        <v>0.44310344827586207</v>
      </c>
      <c r="M91" s="366">
        <f>IFERROR('2.3'!M78/'2.1'!M89,"")</f>
        <v>0.66101694915254239</v>
      </c>
      <c r="N91" s="366">
        <f>IFERROR('2.3'!N78/'2.1'!N89,"")</f>
        <v>0.50031786395422762</v>
      </c>
      <c r="O91" s="366">
        <f>IFERROR('2.3'!O78/'2.1'!O89,"")</f>
        <v>0.91983920548593046</v>
      </c>
      <c r="P91" s="366">
        <f>IFERROR('2.3'!P78/'2.1'!P89,"")</f>
        <v>0.94039735099337751</v>
      </c>
      <c r="Q91" s="366">
        <f>IFERROR('2.3'!Q78/'2.1'!Q89,"")</f>
        <v>0.93011706278822281</v>
      </c>
      <c r="R91" s="366">
        <f>IFERROR('2.3'!R78/'2.1'!R89,"")</f>
        <v>0.80845070422535215</v>
      </c>
      <c r="S91" s="366">
        <f>IFERROR('2.3'!S78/'2.1'!S89,"")</f>
        <v>0.87786259541984735</v>
      </c>
      <c r="T91" s="366">
        <f>IFERROR('2.3'!T78/'2.1'!T89,"")</f>
        <v>0.83792544570502436</v>
      </c>
      <c r="U91" s="367">
        <f>IFERROR('2.3'!U78/'2.1'!U89,"")</f>
        <v>0.84163009404388711</v>
      </c>
      <c r="V91" s="367">
        <f>IFERROR('2.3'!V78/'2.1'!V89,"")</f>
        <v>0.91810883140053523</v>
      </c>
      <c r="W91" s="367">
        <f>IFERROR('2.3'!W78/'2.1'!W89,"")</f>
        <v>0.8731958762886598</v>
      </c>
    </row>
    <row r="92" spans="2:23" hidden="1" outlineLevel="1" x14ac:dyDescent="0.25">
      <c r="B92" s="362">
        <v>41244</v>
      </c>
      <c r="C92" s="366" t="str">
        <f>IFERROR('2.3'!C79/'2.1'!C90,"")</f>
        <v/>
      </c>
      <c r="D92" s="366" t="str">
        <f>IFERROR('2.3'!D79/'2.1'!D90,"")</f>
        <v/>
      </c>
      <c r="E92" s="366" t="str">
        <f>IFERROR('2.3'!E79/'2.1'!E90,"")</f>
        <v/>
      </c>
      <c r="F92" s="366" t="str">
        <f>IFERROR('2.3'!F79/'2.1'!F90,"")</f>
        <v/>
      </c>
      <c r="G92" s="366" t="str">
        <f>IFERROR('2.3'!G79/'2.1'!G90,"")</f>
        <v/>
      </c>
      <c r="H92" s="366" t="str">
        <f>IFERROR('2.3'!H79/'2.1'!H90,"")</f>
        <v/>
      </c>
      <c r="I92" s="366">
        <f>IFERROR('2.3'!I79/'2.1'!I90,"")</f>
        <v>0.88854648176682072</v>
      </c>
      <c r="J92" s="366">
        <f>IFERROR('2.3'!J79/'2.1'!J90,"")</f>
        <v>0.92033898305084749</v>
      </c>
      <c r="K92" s="366">
        <f>IFERROR('2.3'!K79/'2.1'!K90,"")</f>
        <v>0.89594008671659442</v>
      </c>
      <c r="L92" s="366">
        <f>IFERROR('2.3'!L79/'2.1'!L90,"")</f>
        <v>0.45336008024072216</v>
      </c>
      <c r="M92" s="366">
        <f>IFERROR('2.3'!M79/'2.1'!M90,"")</f>
        <v>0.6768149882903981</v>
      </c>
      <c r="N92" s="366">
        <f>IFERROR('2.3'!N79/'2.1'!N90,"")</f>
        <v>0.5203651685393258</v>
      </c>
      <c r="O92" s="366">
        <f>IFERROR('2.3'!O79/'2.1'!O90,"")</f>
        <v>0.84280565566953147</v>
      </c>
      <c r="P92" s="366">
        <f>IFERROR('2.3'!P79/'2.1'!P90,"")</f>
        <v>0.87302013422818792</v>
      </c>
      <c r="Q92" s="366">
        <f>IFERROR('2.3'!Q79/'2.1'!Q90,"")</f>
        <v>0.85815602836879434</v>
      </c>
      <c r="R92" s="366">
        <f>IFERROR('2.3'!R79/'2.1'!R90,"")</f>
        <v>0.87539936102236426</v>
      </c>
      <c r="S92" s="366">
        <f>IFERROR('2.3'!S79/'2.1'!S90,"")</f>
        <v>0.92083333333333328</v>
      </c>
      <c r="T92" s="366">
        <f>IFERROR('2.3'!T79/'2.1'!T90,"")</f>
        <v>0.89511754068716098</v>
      </c>
      <c r="U92" s="367">
        <f>IFERROR('2.3'!U79/'2.1'!U90,"")</f>
        <v>0.80069930069930073</v>
      </c>
      <c r="V92" s="367">
        <f>IFERROR('2.3'!V79/'2.1'!V90,"")</f>
        <v>0.86411079887595343</v>
      </c>
      <c r="W92" s="367">
        <f>IFERROR('2.3'!W79/'2.1'!W90,"")</f>
        <v>0.82736788789464799</v>
      </c>
    </row>
    <row r="93" spans="2:23" collapsed="1" x14ac:dyDescent="0.25">
      <c r="B93" s="364" t="s">
        <v>703</v>
      </c>
      <c r="C93" s="367" t="str">
        <f>IFERROR('2.3'!C80/'2.1'!C91,"")</f>
        <v/>
      </c>
      <c r="D93" s="367" t="str">
        <f>IFERROR('2.3'!D80/'2.1'!D91,"")</f>
        <v/>
      </c>
      <c r="E93" s="367" t="str">
        <f>IFERROR('2.3'!E80/'2.1'!E91,"")</f>
        <v/>
      </c>
      <c r="F93" s="367" t="str">
        <f>IFERROR('2.3'!F80/'2.1'!F91,"")</f>
        <v/>
      </c>
      <c r="G93" s="367" t="str">
        <f>IFERROR('2.3'!G80/'2.1'!G91,"")</f>
        <v/>
      </c>
      <c r="H93" s="367" t="str">
        <f>IFERROR('2.3'!H80/'2.1'!H91,"")</f>
        <v/>
      </c>
      <c r="I93" s="367">
        <f>IFERROR('2.3'!I80/'2.1'!I91,"")</f>
        <v>0.83750000000000002</v>
      </c>
      <c r="J93" s="367">
        <f>IFERROR('2.3'!J80/'2.1'!J91,"")</f>
        <v>0.92597968069666181</v>
      </c>
      <c r="K93" s="367">
        <f>IFERROR('2.3'!K80/'2.1'!K91,"")</f>
        <v>0.85859649122807014</v>
      </c>
      <c r="L93" s="367">
        <f>IFERROR('2.3'!L80/'2.1'!L91,"")</f>
        <v>0.46446700507614214</v>
      </c>
      <c r="M93" s="367">
        <f>IFERROR('2.3'!M80/'2.1'!M91,"")</f>
        <v>0.70066518847006654</v>
      </c>
      <c r="N93" s="367">
        <f>IFERROR('2.3'!N80/'2.1'!N91,"")</f>
        <v>0.52969993876301291</v>
      </c>
      <c r="O93" s="367">
        <f>IFERROR('2.3'!O80/'2.1'!O91,"")</f>
        <v>0.85906584495621152</v>
      </c>
      <c r="P93" s="367">
        <f>IFERROR('2.3'!P80/'2.1'!P91,"")</f>
        <v>0.88373083475298131</v>
      </c>
      <c r="Q93" s="367">
        <f>IFERROR('2.3'!Q80/'2.1'!Q91,"")</f>
        <v>0.86972933161480392</v>
      </c>
      <c r="R93" s="367">
        <f>IFERROR('2.3'!R80/'2.1'!R91,"")</f>
        <v>0.82025316455696207</v>
      </c>
      <c r="S93" s="367">
        <f>IFERROR('2.3'!S80/'2.1'!S91,"")</f>
        <v>0.89690721649484539</v>
      </c>
      <c r="T93" s="367">
        <f>IFERROR('2.3'!T80/'2.1'!T91,"")</f>
        <v>0.85276967930029157</v>
      </c>
      <c r="U93" s="367">
        <f>IFERROR('2.3'!U80/'2.1'!U91,"")</f>
        <v>0.80581641926688885</v>
      </c>
      <c r="V93" s="367">
        <f>IFERROR('2.3'!V80/'2.1'!V91,"")</f>
        <v>0.87563244654806593</v>
      </c>
      <c r="W93" s="367">
        <f>IFERROR('2.3'!W80/'2.1'!W91,"")</f>
        <v>0.83243917654398003</v>
      </c>
    </row>
    <row r="94" spans="2:23" hidden="1" outlineLevel="1" x14ac:dyDescent="0.25">
      <c r="B94" s="362">
        <v>41275</v>
      </c>
      <c r="C94" s="366" t="str">
        <f>IFERROR('2.3'!C81/'2.1'!C92,"")</f>
        <v/>
      </c>
      <c r="D94" s="366" t="str">
        <f>IFERROR('2.3'!D81/'2.1'!D92,"")</f>
        <v/>
      </c>
      <c r="E94" s="366" t="str">
        <f>IFERROR('2.3'!E81/'2.1'!E92,"")</f>
        <v/>
      </c>
      <c r="F94" s="366" t="str">
        <f>IFERROR('2.3'!F81/'2.1'!F92,"")</f>
        <v/>
      </c>
      <c r="G94" s="366" t="str">
        <f>IFERROR('2.3'!G81/'2.1'!G92,"")</f>
        <v/>
      </c>
      <c r="H94" s="366" t="str">
        <f>IFERROR('2.3'!H81/'2.1'!H92,"")</f>
        <v/>
      </c>
      <c r="I94" s="366">
        <f>IFERROR('2.3'!I81/'2.1'!I92,"")</f>
        <v>0.90585129784425866</v>
      </c>
      <c r="J94" s="366">
        <f>IFERROR('2.3'!J81/'2.1'!J92,"")</f>
        <v>0.93783783783783781</v>
      </c>
      <c r="K94" s="366">
        <f>IFERROR('2.3'!K81/'2.1'!K92,"")</f>
        <v>0.91370726850315298</v>
      </c>
      <c r="L94" s="366">
        <f>IFERROR('2.3'!L81/'2.1'!L92,"")</f>
        <v>0.51154201292705448</v>
      </c>
      <c r="M94" s="366">
        <f>IFERROR('2.3'!M81/'2.1'!M92,"")</f>
        <v>0.69401330376940129</v>
      </c>
      <c r="N94" s="366">
        <f>IFERROR('2.3'!N81/'2.1'!N92,"")</f>
        <v>0.56518904823989569</v>
      </c>
      <c r="O94" s="366">
        <f>IFERROR('2.3'!O81/'2.1'!O92,"")</f>
        <v>0.83725396063370139</v>
      </c>
      <c r="P94" s="366">
        <f>IFERROR('2.3'!P81/'2.1'!P92,"")</f>
        <v>0.84439224897240162</v>
      </c>
      <c r="Q94" s="366">
        <f>IFERROR('2.3'!Q81/'2.1'!Q92,"")</f>
        <v>0.84046487057580554</v>
      </c>
      <c r="R94" s="366">
        <f>IFERROR('2.3'!R81/'2.1'!R92,"")</f>
        <v>0.84795321637426901</v>
      </c>
      <c r="S94" s="366">
        <f>IFERROR('2.3'!S81/'2.1'!S92,"")</f>
        <v>0.86567164179104472</v>
      </c>
      <c r="T94" s="366">
        <f>IFERROR('2.3'!T81/'2.1'!T92,"")</f>
        <v>0.8557377049180328</v>
      </c>
      <c r="U94" s="367">
        <f>IFERROR('2.3'!U81/'2.1'!U92,"")</f>
        <v>0.81269074262461849</v>
      </c>
      <c r="V94" s="367">
        <f>IFERROR('2.3'!V81/'2.1'!V92,"")</f>
        <v>0.84583761562178827</v>
      </c>
      <c r="W94" s="367">
        <f>IFERROR('2.3'!W81/'2.1'!W92,"")</f>
        <v>0.82535941550789538</v>
      </c>
    </row>
    <row r="95" spans="2:23" hidden="1" outlineLevel="1" x14ac:dyDescent="0.25">
      <c r="B95" s="362">
        <v>41306</v>
      </c>
      <c r="C95" s="366" t="str">
        <f>IFERROR('2.3'!C82/'2.1'!C93,"")</f>
        <v/>
      </c>
      <c r="D95" s="366" t="str">
        <f>IFERROR('2.3'!D82/'2.1'!D93,"")</f>
        <v/>
      </c>
      <c r="E95" s="366" t="str">
        <f>IFERROR('2.3'!E82/'2.1'!E93,"")</f>
        <v/>
      </c>
      <c r="F95" s="366" t="str">
        <f>IFERROR('2.3'!F82/'2.1'!F93,"")</f>
        <v/>
      </c>
      <c r="G95" s="366" t="str">
        <f>IFERROR('2.3'!G82/'2.1'!G93,"")</f>
        <v/>
      </c>
      <c r="H95" s="366" t="str">
        <f>IFERROR('2.3'!H82/'2.1'!H93,"")</f>
        <v/>
      </c>
      <c r="I95" s="366">
        <f>IFERROR('2.3'!I82/'2.1'!I93,"")</f>
        <v>0.89028776978417268</v>
      </c>
      <c r="J95" s="366">
        <f>IFERROR('2.3'!J82/'2.1'!J93,"")</f>
        <v>0.91296928327645055</v>
      </c>
      <c r="K95" s="366">
        <f>IFERROR('2.3'!K82/'2.1'!K93,"")</f>
        <v>0.89618456078083408</v>
      </c>
      <c r="L95" s="366">
        <f>IFERROR('2.3'!L82/'2.1'!L93,"")</f>
        <v>0.47762747138397504</v>
      </c>
      <c r="M95" s="366">
        <f>IFERROR('2.3'!M82/'2.1'!M93,"")</f>
        <v>0.67307692307692313</v>
      </c>
      <c r="N95" s="366">
        <f>IFERROR('2.3'!N82/'2.1'!N93,"")</f>
        <v>0.53132075471698115</v>
      </c>
      <c r="O95" s="366">
        <f>IFERROR('2.3'!O82/'2.1'!O93,"")</f>
        <v>0.85112832603570221</v>
      </c>
      <c r="P95" s="366">
        <f>IFERROR('2.3'!P82/'2.1'!P93,"")</f>
        <v>0.87833140208574745</v>
      </c>
      <c r="Q95" s="366">
        <f>IFERROR('2.3'!Q82/'2.1'!Q93,"")</f>
        <v>0.86379992803166605</v>
      </c>
      <c r="R95" s="366">
        <f>IFERROR('2.3'!R82/'2.1'!R93,"")</f>
        <v>0.84108527131782951</v>
      </c>
      <c r="S95" s="366">
        <f>IFERROR('2.3'!S82/'2.1'!S93,"")</f>
        <v>0.9247787610619469</v>
      </c>
      <c r="T95" s="366">
        <f>IFERROR('2.3'!T82/'2.1'!T93,"")</f>
        <v>0.8801652892561983</v>
      </c>
      <c r="U95" s="367">
        <f>IFERROR('2.3'!U82/'2.1'!U93,"")</f>
        <v>0.80054644808743169</v>
      </c>
      <c r="V95" s="367">
        <f>IFERROR('2.3'!V82/'2.1'!V93,"")</f>
        <v>0.8666666666666667</v>
      </c>
      <c r="W95" s="367">
        <f>IFERROR('2.3'!W82/'2.1'!W93,"")</f>
        <v>0.82642136991996673</v>
      </c>
    </row>
    <row r="96" spans="2:23" hidden="1" outlineLevel="1" x14ac:dyDescent="0.25">
      <c r="B96" s="362">
        <v>41334</v>
      </c>
      <c r="C96" s="366" t="str">
        <f>IFERROR('2.3'!C83/'2.1'!C94,"")</f>
        <v/>
      </c>
      <c r="D96" s="366" t="str">
        <f>IFERROR('2.3'!D83/'2.1'!D94,"")</f>
        <v/>
      </c>
      <c r="E96" s="366" t="str">
        <f>IFERROR('2.3'!E83/'2.1'!E94,"")</f>
        <v/>
      </c>
      <c r="F96" s="366" t="str">
        <f>IFERROR('2.3'!F83/'2.1'!F94,"")</f>
        <v/>
      </c>
      <c r="G96" s="366" t="str">
        <f>IFERROR('2.3'!G83/'2.1'!G94,"")</f>
        <v/>
      </c>
      <c r="H96" s="366" t="str">
        <f>IFERROR('2.3'!H83/'2.1'!H94,"")</f>
        <v/>
      </c>
      <c r="I96" s="366">
        <f>IFERROR('2.3'!I83/'2.1'!I94,"")</f>
        <v>0.92895586652314321</v>
      </c>
      <c r="J96" s="366">
        <f>IFERROR('2.3'!J83/'2.1'!J94,"")</f>
        <v>0.94054054054054059</v>
      </c>
      <c r="K96" s="366">
        <f>IFERROR('2.3'!K83/'2.1'!K94,"")</f>
        <v>0.93162038955656856</v>
      </c>
      <c r="L96" s="366">
        <f>IFERROR('2.3'!L83/'2.1'!L94,"")</f>
        <v>0.44405897658282739</v>
      </c>
      <c r="M96" s="366">
        <f>IFERROR('2.3'!M83/'2.1'!M94,"")</f>
        <v>0.69069767441860463</v>
      </c>
      <c r="N96" s="366">
        <f>IFERROR('2.3'!N83/'2.1'!N94,"")</f>
        <v>0.51105495893872399</v>
      </c>
      <c r="O96" s="366">
        <f>IFERROR('2.3'!O83/'2.1'!O94,"")</f>
        <v>0.88863413036357686</v>
      </c>
      <c r="P96" s="366">
        <f>IFERROR('2.3'!P83/'2.1'!P94,"")</f>
        <v>0.88298722044728439</v>
      </c>
      <c r="Q96" s="366">
        <f>IFERROR('2.3'!Q83/'2.1'!Q94,"")</f>
        <v>0.88608961669965813</v>
      </c>
      <c r="R96" s="366">
        <f>IFERROR('2.3'!R83/'2.1'!R94,"")</f>
        <v>0.80579710144927541</v>
      </c>
      <c r="S96" s="366">
        <f>IFERROR('2.3'!S83/'2.1'!S94,"")</f>
        <v>0.87356321839080464</v>
      </c>
      <c r="T96" s="366">
        <f>IFERROR('2.3'!T83/'2.1'!T94,"")</f>
        <v>0.83498349834983498</v>
      </c>
      <c r="U96" s="367">
        <f>IFERROR('2.3'!U83/'2.1'!U94,"")</f>
        <v>0.81588391324699638</v>
      </c>
      <c r="V96" s="367">
        <f>IFERROR('2.3'!V83/'2.1'!V94,"")</f>
        <v>0.86880000000000002</v>
      </c>
      <c r="W96" s="367">
        <f>IFERROR('2.3'!W83/'2.1'!W94,"")</f>
        <v>0.83541687173934442</v>
      </c>
    </row>
    <row r="97" spans="2:23" hidden="1" outlineLevel="1" x14ac:dyDescent="0.25">
      <c r="B97" s="362">
        <v>41365</v>
      </c>
      <c r="C97" s="366" t="str">
        <f>IFERROR('2.3'!C84/'2.1'!C95,"")</f>
        <v/>
      </c>
      <c r="D97" s="366" t="str">
        <f>IFERROR('2.3'!D84/'2.1'!D95,"")</f>
        <v/>
      </c>
      <c r="E97" s="366" t="str">
        <f>IFERROR('2.3'!E84/'2.1'!E95,"")</f>
        <v/>
      </c>
      <c r="F97" s="366" t="str">
        <f>IFERROR('2.3'!F84/'2.1'!F95,"")</f>
        <v/>
      </c>
      <c r="G97" s="366" t="str">
        <f>IFERROR('2.3'!G84/'2.1'!G95,"")</f>
        <v/>
      </c>
      <c r="H97" s="366" t="str">
        <f>IFERROR('2.3'!H84/'2.1'!H95,"")</f>
        <v/>
      </c>
      <c r="I97" s="366">
        <f>IFERROR('2.3'!I84/'2.1'!I95,"")</f>
        <v>0.92123845736013033</v>
      </c>
      <c r="J97" s="366">
        <f>IFERROR('2.3'!J84/'2.1'!J95,"")</f>
        <v>0.94233937397034595</v>
      </c>
      <c r="K97" s="366">
        <f>IFERROR('2.3'!K84/'2.1'!K95,"")</f>
        <v>0.92647058823529416</v>
      </c>
      <c r="L97" s="366">
        <f>IFERROR('2.3'!L84/'2.1'!L95,"")</f>
        <v>0.42947702060221871</v>
      </c>
      <c r="M97" s="366">
        <f>IFERROR('2.3'!M84/'2.1'!M95,"")</f>
        <v>0.65609756097560978</v>
      </c>
      <c r="N97" s="366">
        <f>IFERROR('2.3'!N84/'2.1'!N95,"")</f>
        <v>0.48504784688995217</v>
      </c>
      <c r="O97" s="366">
        <f>IFERROR('2.3'!O84/'2.1'!O95,"")</f>
        <v>0.90568561872909703</v>
      </c>
      <c r="P97" s="366">
        <f>IFERROR('2.3'!P84/'2.1'!P95,"")</f>
        <v>0.90796277145811788</v>
      </c>
      <c r="Q97" s="366">
        <f>IFERROR('2.3'!Q84/'2.1'!Q95,"")</f>
        <v>0.90680699371923268</v>
      </c>
      <c r="R97" s="366">
        <f>IFERROR('2.3'!R84/'2.1'!R95,"")</f>
        <v>0.81081081081081086</v>
      </c>
      <c r="S97" s="366">
        <f>IFERROR('2.3'!S84/'2.1'!S95,"")</f>
        <v>0.84251968503937003</v>
      </c>
      <c r="T97" s="366">
        <f>IFERROR('2.3'!T84/'2.1'!T95,"")</f>
        <v>0.82371794871794868</v>
      </c>
      <c r="U97" s="367">
        <f>IFERROR('2.3'!U84/'2.1'!U95,"")</f>
        <v>0.8116973541698902</v>
      </c>
      <c r="V97" s="367">
        <f>IFERROR('2.3'!V84/'2.1'!V95,"")</f>
        <v>0.88422818791946312</v>
      </c>
      <c r="W97" s="367">
        <f>IFERROR('2.3'!W84/'2.1'!W95,"")</f>
        <v>0.84015044663845795</v>
      </c>
    </row>
    <row r="98" spans="2:23" hidden="1" outlineLevel="1" x14ac:dyDescent="0.25">
      <c r="B98" s="362">
        <v>41395</v>
      </c>
      <c r="C98" s="366" t="str">
        <f>IFERROR('2.3'!C85/'2.1'!C96,"")</f>
        <v/>
      </c>
      <c r="D98" s="366" t="str">
        <f>IFERROR('2.3'!D85/'2.1'!D96,"")</f>
        <v/>
      </c>
      <c r="E98" s="366" t="str">
        <f>IFERROR('2.3'!E85/'2.1'!E96,"")</f>
        <v/>
      </c>
      <c r="F98" s="366" t="str">
        <f>IFERROR('2.3'!F85/'2.1'!F96,"")</f>
        <v/>
      </c>
      <c r="G98" s="366" t="str">
        <f>IFERROR('2.3'!G85/'2.1'!G96,"")</f>
        <v/>
      </c>
      <c r="H98" s="366" t="str">
        <f>IFERROR('2.3'!H85/'2.1'!H96,"")</f>
        <v/>
      </c>
      <c r="I98" s="366">
        <f>IFERROR('2.3'!I85/'2.1'!I96,"")</f>
        <v>0.94044811320754718</v>
      </c>
      <c r="J98" s="366">
        <f>IFERROR('2.3'!J85/'2.1'!J96,"")</f>
        <v>0.93220338983050843</v>
      </c>
      <c r="K98" s="366">
        <f>IFERROR('2.3'!K85/'2.1'!K96,"")</f>
        <v>0.93832020997375332</v>
      </c>
      <c r="L98" s="366">
        <f>IFERROR('2.3'!L85/'2.1'!L96,"")</f>
        <v>0.45244956772334294</v>
      </c>
      <c r="M98" s="366">
        <f>IFERROR('2.3'!M85/'2.1'!M96,"")</f>
        <v>0.73670212765957444</v>
      </c>
      <c r="N98" s="366">
        <f>IFERROR('2.3'!N85/'2.1'!N96,"")</f>
        <v>0.52787579393083983</v>
      </c>
      <c r="O98" s="366">
        <f>IFERROR('2.3'!O85/'2.1'!O96,"")</f>
        <v>0.91120658789831721</v>
      </c>
      <c r="P98" s="366">
        <f>IFERROR('2.3'!P85/'2.1'!P96,"")</f>
        <v>0.88902291917973464</v>
      </c>
      <c r="Q98" s="366">
        <f>IFERROR('2.3'!Q85/'2.1'!Q96,"")</f>
        <v>0.89916516614830577</v>
      </c>
      <c r="R98" s="366">
        <f>IFERROR('2.3'!R85/'2.1'!R96,"")</f>
        <v>0.79289940828402372</v>
      </c>
      <c r="S98" s="366">
        <f>IFERROR('2.3'!S85/'2.1'!S96,"")</f>
        <v>0.85984848484848486</v>
      </c>
      <c r="T98" s="366">
        <f>IFERROR('2.3'!T85/'2.1'!T96,"")</f>
        <v>0.82225913621262459</v>
      </c>
      <c r="U98" s="367">
        <f>IFERROR('2.3'!U85/'2.1'!U96,"")</f>
        <v>0.83145875937286984</v>
      </c>
      <c r="V98" s="367">
        <f>IFERROR('2.3'!V85/'2.1'!V96,"")</f>
        <v>0.88033435987681474</v>
      </c>
      <c r="W98" s="367">
        <f>IFERROR('2.3'!W85/'2.1'!W96,"")</f>
        <v>0.85279431534472827</v>
      </c>
    </row>
    <row r="99" spans="2:23" hidden="1" outlineLevel="1" x14ac:dyDescent="0.25">
      <c r="B99" s="362">
        <v>41426</v>
      </c>
      <c r="C99" s="366" t="str">
        <f>IFERROR('2.3'!C86/'2.1'!C97,"")</f>
        <v/>
      </c>
      <c r="D99" s="366" t="str">
        <f>IFERROR('2.3'!D86/'2.1'!D97,"")</f>
        <v/>
      </c>
      <c r="E99" s="366" t="str">
        <f>IFERROR('2.3'!E86/'2.1'!E97,"")</f>
        <v/>
      </c>
      <c r="F99" s="366" t="str">
        <f>IFERROR('2.3'!F86/'2.1'!F97,"")</f>
        <v/>
      </c>
      <c r="G99" s="366" t="str">
        <f>IFERROR('2.3'!G86/'2.1'!G97,"")</f>
        <v/>
      </c>
      <c r="H99" s="366" t="str">
        <f>IFERROR('2.3'!H86/'2.1'!H97,"")</f>
        <v/>
      </c>
      <c r="I99" s="366">
        <f>IFERROR('2.3'!I86/'2.1'!I97,"")</f>
        <v>0.84762424904423816</v>
      </c>
      <c r="J99" s="366">
        <f>IFERROR('2.3'!J86/'2.1'!J97,"")</f>
        <v>0.87630662020905925</v>
      </c>
      <c r="K99" s="366">
        <f>IFERROR('2.3'!K86/'2.1'!K97,"")</f>
        <v>0.85446985446985446</v>
      </c>
      <c r="L99" s="366">
        <f>IFERROR('2.3'!L86/'2.1'!L97,"")</f>
        <v>0.45479962721342032</v>
      </c>
      <c r="M99" s="366">
        <f>IFERROR('2.3'!M86/'2.1'!M97,"")</f>
        <v>0.67616580310880825</v>
      </c>
      <c r="N99" s="366">
        <f>IFERROR('2.3'!N86/'2.1'!N97,"")</f>
        <v>0.51336531871144619</v>
      </c>
      <c r="O99" s="366">
        <f>IFERROR('2.3'!O86/'2.1'!O97,"")</f>
        <v>0.79081797607500803</v>
      </c>
      <c r="P99" s="366">
        <f>IFERROR('2.3'!P86/'2.1'!P97,"")</f>
        <v>0.82301740812379109</v>
      </c>
      <c r="Q99" s="366">
        <f>IFERROR('2.3'!Q86/'2.1'!Q97,"")</f>
        <v>0.80694108151735267</v>
      </c>
      <c r="R99" s="366">
        <f>IFERROR('2.3'!R86/'2.1'!R97,"")</f>
        <v>0.75141242937853103</v>
      </c>
      <c r="S99" s="366">
        <f>IFERROR('2.3'!S86/'2.1'!S97,"")</f>
        <v>0.83396226415094343</v>
      </c>
      <c r="T99" s="366">
        <f>IFERROR('2.3'!T86/'2.1'!T97,"")</f>
        <v>0.78675282714054928</v>
      </c>
      <c r="U99" s="367">
        <f>IFERROR('2.3'!U86/'2.1'!U97,"")</f>
        <v>0.74822862541332069</v>
      </c>
      <c r="V99" s="367">
        <f>IFERROR('2.3'!V86/'2.1'!V97,"")</f>
        <v>0.81765657499422228</v>
      </c>
      <c r="W99" s="367">
        <f>IFERROR('2.3'!W86/'2.1'!W97,"")</f>
        <v>0.77636261472185808</v>
      </c>
    </row>
    <row r="100" spans="2:23" hidden="1" outlineLevel="1" x14ac:dyDescent="0.25">
      <c r="B100" s="362">
        <v>41456</v>
      </c>
      <c r="C100" s="366" t="str">
        <f>IFERROR('2.3'!C87/'2.1'!C98,"")</f>
        <v/>
      </c>
      <c r="D100" s="366" t="str">
        <f>IFERROR('2.3'!D87/'2.1'!D98,"")</f>
        <v/>
      </c>
      <c r="E100" s="366" t="str">
        <f>IFERROR('2.3'!E87/'2.1'!E98,"")</f>
        <v/>
      </c>
      <c r="F100" s="366" t="str">
        <f>IFERROR('2.3'!F87/'2.1'!F98,"")</f>
        <v/>
      </c>
      <c r="G100" s="366" t="str">
        <f>IFERROR('2.3'!G87/'2.1'!G98,"")</f>
        <v/>
      </c>
      <c r="H100" s="366" t="str">
        <f>IFERROR('2.3'!H87/'2.1'!H98,"")</f>
        <v/>
      </c>
      <c r="I100" s="366">
        <f>IFERROR('2.3'!I87/'2.1'!I98,"")</f>
        <v>0.95879786718371307</v>
      </c>
      <c r="J100" s="366">
        <f>IFERROR('2.3'!J87/'2.1'!J98,"")</f>
        <v>0.93819334389857367</v>
      </c>
      <c r="K100" s="366">
        <f>IFERROR('2.3'!K87/'2.1'!K98,"")</f>
        <v>0.9539717891610987</v>
      </c>
      <c r="L100" s="366">
        <f>IFERROR('2.3'!L87/'2.1'!L98,"")</f>
        <v>0.46227316141356256</v>
      </c>
      <c r="M100" s="366">
        <f>IFERROR('2.3'!M87/'2.1'!M98,"")</f>
        <v>0.71279373368146215</v>
      </c>
      <c r="N100" s="366">
        <f>IFERROR('2.3'!N87/'2.1'!N98,"")</f>
        <v>0.5293706293706294</v>
      </c>
      <c r="O100" s="366">
        <f>IFERROR('2.3'!O87/'2.1'!O98,"")</f>
        <v>0.9267796610169492</v>
      </c>
      <c r="P100" s="366">
        <f>IFERROR('2.3'!P87/'2.1'!P98,"")</f>
        <v>0.91717028083896202</v>
      </c>
      <c r="Q100" s="366">
        <f>IFERROR('2.3'!Q87/'2.1'!Q98,"")</f>
        <v>0.92208918965816411</v>
      </c>
      <c r="R100" s="366">
        <f>IFERROR('2.3'!R87/'2.1'!R98,"")</f>
        <v>0.83720930232558144</v>
      </c>
      <c r="S100" s="366">
        <f>IFERROR('2.3'!S87/'2.1'!S98,"")</f>
        <v>0.84758364312267653</v>
      </c>
      <c r="T100" s="366">
        <f>IFERROR('2.3'!T87/'2.1'!T98,"")</f>
        <v>0.84176182707993474</v>
      </c>
      <c r="U100" s="367">
        <f>IFERROR('2.3'!U87/'2.1'!U98,"")</f>
        <v>0.85633978763272955</v>
      </c>
      <c r="V100" s="367">
        <f>IFERROR('2.3'!V87/'2.1'!V98,"")</f>
        <v>0.896728515625</v>
      </c>
      <c r="W100" s="367">
        <f>IFERROR('2.3'!W87/'2.1'!W98,"")</f>
        <v>0.87209523809523815</v>
      </c>
    </row>
    <row r="101" spans="2:23" hidden="1" outlineLevel="1" x14ac:dyDescent="0.25">
      <c r="B101" s="362">
        <v>41487</v>
      </c>
      <c r="C101" s="366" t="str">
        <f>IFERROR('2.3'!C88/'2.1'!C99,"")</f>
        <v/>
      </c>
      <c r="D101" s="366" t="str">
        <f>IFERROR('2.3'!D88/'2.1'!D99,"")</f>
        <v/>
      </c>
      <c r="E101" s="366" t="str">
        <f>IFERROR('2.3'!E88/'2.1'!E99,"")</f>
        <v/>
      </c>
      <c r="F101" s="366" t="str">
        <f>IFERROR('2.3'!F88/'2.1'!F99,"")</f>
        <v/>
      </c>
      <c r="G101" s="366" t="str">
        <f>IFERROR('2.3'!G88/'2.1'!G99,"")</f>
        <v/>
      </c>
      <c r="H101" s="366" t="str">
        <f>IFERROR('2.3'!H88/'2.1'!H99,"")</f>
        <v/>
      </c>
      <c r="I101" s="366">
        <f>IFERROR('2.3'!I88/'2.1'!I99,"")</f>
        <v>0.93575920934411505</v>
      </c>
      <c r="J101" s="366">
        <f>IFERROR('2.3'!J88/'2.1'!J99,"")</f>
        <v>0.94046008119079838</v>
      </c>
      <c r="K101" s="366">
        <f>IFERROR('2.3'!K88/'2.1'!K99,"")</f>
        <v>0.93693086003372683</v>
      </c>
      <c r="L101" s="366">
        <f>IFERROR('2.3'!L88/'2.1'!L99,"")</f>
        <v>0.45276292335115864</v>
      </c>
      <c r="M101" s="366">
        <f>IFERROR('2.3'!M88/'2.1'!M99,"")</f>
        <v>0.68144044321329644</v>
      </c>
      <c r="N101" s="366">
        <f>IFERROR('2.3'!N88/'2.1'!N99,"")</f>
        <v>0.50842886041807145</v>
      </c>
      <c r="O101" s="366">
        <f>IFERROR('2.3'!O88/'2.1'!O99,"")</f>
        <v>0.80194123819517316</v>
      </c>
      <c r="P101" s="366">
        <f>IFERROR('2.3'!P88/'2.1'!P99,"")</f>
        <v>0.82056825200741201</v>
      </c>
      <c r="Q101" s="366">
        <f>IFERROR('2.3'!Q88/'2.1'!Q99,"")</f>
        <v>0.81049645390070924</v>
      </c>
      <c r="R101" s="366">
        <f>IFERROR('2.3'!R88/'2.1'!R99,"")</f>
        <v>0.77049180327868849</v>
      </c>
      <c r="S101" s="366">
        <f>IFERROR('2.3'!S88/'2.1'!S99,"")</f>
        <v>0.86119873817034698</v>
      </c>
      <c r="T101" s="366">
        <f>IFERROR('2.3'!T88/'2.1'!T99,"")</f>
        <v>0.80913978494623651</v>
      </c>
      <c r="U101" s="367">
        <f>IFERROR('2.3'!U88/'2.1'!U99,"")</f>
        <v>0.78779491235007248</v>
      </c>
      <c r="V101" s="367">
        <f>IFERROR('2.3'!V88/'2.1'!V99,"")</f>
        <v>0.83157894736842108</v>
      </c>
      <c r="W101" s="367">
        <f>IFERROR('2.3'!W88/'2.1'!W99,"")</f>
        <v>0.80444371834667538</v>
      </c>
    </row>
    <row r="102" spans="2:23" hidden="1" outlineLevel="1" x14ac:dyDescent="0.25">
      <c r="B102" s="362">
        <v>41518</v>
      </c>
      <c r="C102" s="366" t="str">
        <f>IFERROR('2.3'!C89/'2.1'!C100,"")</f>
        <v/>
      </c>
      <c r="D102" s="366" t="str">
        <f>IFERROR('2.3'!D89/'2.1'!D100,"")</f>
        <v/>
      </c>
      <c r="E102" s="366" t="str">
        <f>IFERROR('2.3'!E89/'2.1'!E100,"")</f>
        <v/>
      </c>
      <c r="F102" s="366" t="str">
        <f>IFERROR('2.3'!F89/'2.1'!F100,"")</f>
        <v/>
      </c>
      <c r="G102" s="366" t="str">
        <f>IFERROR('2.3'!G89/'2.1'!G100,"")</f>
        <v/>
      </c>
      <c r="H102" s="366" t="str">
        <f>IFERROR('2.3'!H89/'2.1'!H100,"")</f>
        <v/>
      </c>
      <c r="I102" s="366">
        <f>IFERROR('2.3'!I89/'2.1'!I100,"")</f>
        <v>0.87039502885042164</v>
      </c>
      <c r="J102" s="366">
        <f>IFERROR('2.3'!J89/'2.1'!J100,"")</f>
        <v>0.88304093567251463</v>
      </c>
      <c r="K102" s="366">
        <f>IFERROR('2.3'!K89/'2.1'!K100,"")</f>
        <v>0.8733401430030644</v>
      </c>
      <c r="L102" s="366">
        <f>IFERROR('2.3'!L89/'2.1'!L100,"")</f>
        <v>0.49043869516310462</v>
      </c>
      <c r="M102" s="366">
        <f>IFERROR('2.3'!M89/'2.1'!M100,"")</f>
        <v>0.71381578947368418</v>
      </c>
      <c r="N102" s="366">
        <f>IFERROR('2.3'!N89/'2.1'!N100,"")</f>
        <v>0.5473595976529757</v>
      </c>
      <c r="O102" s="366">
        <f>IFERROR('2.3'!O89/'2.1'!O100,"")</f>
        <v>0.80207715133531154</v>
      </c>
      <c r="P102" s="366">
        <f>IFERROR('2.3'!P89/'2.1'!P100,"")</f>
        <v>0.8418041063614945</v>
      </c>
      <c r="Q102" s="366">
        <f>IFERROR('2.3'!Q89/'2.1'!Q100,"")</f>
        <v>0.82069074278504972</v>
      </c>
      <c r="R102" s="366">
        <f>IFERROR('2.3'!R89/'2.1'!R100,"")</f>
        <v>0.69480519480519476</v>
      </c>
      <c r="S102" s="366">
        <f>IFERROR('2.3'!S89/'2.1'!S100,"")</f>
        <v>0.88888888888888884</v>
      </c>
      <c r="T102" s="366">
        <f>IFERROR('2.3'!T89/'2.1'!T100,"")</f>
        <v>0.78214285714285714</v>
      </c>
      <c r="U102" s="367">
        <f>IFERROR('2.3'!U89/'2.1'!U100,"")</f>
        <v>0.77917888563049853</v>
      </c>
      <c r="V102" s="367">
        <f>IFERROR('2.3'!V89/'2.1'!V100,"")</f>
        <v>0.84208026597007835</v>
      </c>
      <c r="W102" s="367">
        <f>IFERROR('2.3'!W89/'2.1'!W100,"")</f>
        <v>0.80319100716163538</v>
      </c>
    </row>
    <row r="103" spans="2:23" hidden="1" outlineLevel="1" x14ac:dyDescent="0.25">
      <c r="B103" s="362">
        <v>41548</v>
      </c>
      <c r="C103" s="366" t="str">
        <f>IFERROR('2.3'!C90/'2.1'!C101,"")</f>
        <v/>
      </c>
      <c r="D103" s="366" t="str">
        <f>IFERROR('2.3'!D90/'2.1'!D101,"")</f>
        <v/>
      </c>
      <c r="E103" s="366" t="str">
        <f>IFERROR('2.3'!E90/'2.1'!E101,"")</f>
        <v/>
      </c>
      <c r="F103" s="366" t="str">
        <f>IFERROR('2.3'!F90/'2.1'!F101,"")</f>
        <v/>
      </c>
      <c r="G103" s="366" t="str">
        <f>IFERROR('2.3'!G90/'2.1'!G101,"")</f>
        <v/>
      </c>
      <c r="H103" s="366" t="str">
        <f>IFERROR('2.3'!H90/'2.1'!H101,"")</f>
        <v/>
      </c>
      <c r="I103" s="366">
        <f>IFERROR('2.3'!I90/'2.1'!I101,"")</f>
        <v>0.83969465648854957</v>
      </c>
      <c r="J103" s="366">
        <f>IFERROR('2.3'!J90/'2.1'!J101,"")</f>
        <v>0.87016574585635365</v>
      </c>
      <c r="K103" s="366">
        <f>IFERROR('2.3'!K90/'2.1'!K101,"")</f>
        <v>0.8462918660287081</v>
      </c>
      <c r="L103" s="366">
        <f>IFERROR('2.3'!L90/'2.1'!L101,"")</f>
        <v>0.45681381957773515</v>
      </c>
      <c r="M103" s="366">
        <f>IFERROR('2.3'!M90/'2.1'!M101,"")</f>
        <v>0.72681704260651625</v>
      </c>
      <c r="N103" s="366">
        <f>IFERROR('2.3'!N90/'2.1'!N101,"")</f>
        <v>0.53157529493407352</v>
      </c>
      <c r="O103" s="366">
        <f>IFERROR('2.3'!O90/'2.1'!O101,"")</f>
        <v>0.81873865698729587</v>
      </c>
      <c r="P103" s="366">
        <f>IFERROR('2.3'!P90/'2.1'!P101,"")</f>
        <v>0.85683472634133184</v>
      </c>
      <c r="Q103" s="366">
        <f>IFERROR('2.3'!Q90/'2.1'!Q101,"")</f>
        <v>0.83614635949242333</v>
      </c>
      <c r="R103" s="366">
        <f>IFERROR('2.3'!R90/'2.1'!R101,"")</f>
        <v>0.73493975903614461</v>
      </c>
      <c r="S103" s="366">
        <f>IFERROR('2.3'!S90/'2.1'!S101,"")</f>
        <v>0.8571428571428571</v>
      </c>
      <c r="T103" s="366">
        <f>IFERROR('2.3'!T90/'2.1'!T101,"")</f>
        <v>0.78561354019746121</v>
      </c>
      <c r="U103" s="367">
        <f>IFERROR('2.3'!U90/'2.1'!U101,"")</f>
        <v>0.77666470241602825</v>
      </c>
      <c r="V103" s="367">
        <f>IFERROR('2.3'!V90/'2.1'!V101,"")</f>
        <v>0.84861490440889586</v>
      </c>
      <c r="W103" s="367">
        <f>IFERROR('2.3'!W90/'2.1'!W101,"")</f>
        <v>0.80376166336051724</v>
      </c>
    </row>
    <row r="104" spans="2:23" hidden="1" outlineLevel="1" x14ac:dyDescent="0.25">
      <c r="B104" s="362">
        <v>41579</v>
      </c>
      <c r="C104" s="366" t="str">
        <f>IFERROR('2.3'!C91/'2.1'!C102,"")</f>
        <v/>
      </c>
      <c r="D104" s="366" t="str">
        <f>IFERROR('2.3'!D91/'2.1'!D102,"")</f>
        <v/>
      </c>
      <c r="E104" s="366" t="str">
        <f>IFERROR('2.3'!E91/'2.1'!E102,"")</f>
        <v/>
      </c>
      <c r="F104" s="366" t="str">
        <f>IFERROR('2.3'!F91/'2.1'!F102,"")</f>
        <v/>
      </c>
      <c r="G104" s="366" t="str">
        <f>IFERROR('2.3'!G91/'2.1'!G102,"")</f>
        <v/>
      </c>
      <c r="H104" s="366" t="str">
        <f>IFERROR('2.3'!H91/'2.1'!H102,"")</f>
        <v/>
      </c>
      <c r="I104" s="366">
        <f>IFERROR('2.3'!I91/'2.1'!I102,"")</f>
        <v>0.88721804511278191</v>
      </c>
      <c r="J104" s="366">
        <f>IFERROR('2.3'!J91/'2.1'!J102,"")</f>
        <v>0.88095238095238093</v>
      </c>
      <c r="K104" s="366">
        <f>IFERROR('2.3'!K91/'2.1'!K102,"")</f>
        <v>0.88589685075308078</v>
      </c>
      <c r="L104" s="366">
        <f>IFERROR('2.3'!L91/'2.1'!L102,"")</f>
        <v>0.51876019575856447</v>
      </c>
      <c r="M104" s="366">
        <f>IFERROR('2.3'!M91/'2.1'!M102,"")</f>
        <v>0.70930232558139539</v>
      </c>
      <c r="N104" s="366">
        <f>IFERROR('2.3'!N91/'2.1'!N102,"")</f>
        <v>0.57520091848450061</v>
      </c>
      <c r="O104" s="366">
        <f>IFERROR('2.3'!O91/'2.1'!O102,"")</f>
        <v>0.82749817651349378</v>
      </c>
      <c r="P104" s="366">
        <f>IFERROR('2.3'!P91/'2.1'!P102,"")</f>
        <v>0.8311092577147623</v>
      </c>
      <c r="Q104" s="366">
        <f>IFERROR('2.3'!Q91/'2.1'!Q102,"")</f>
        <v>0.82918287937743196</v>
      </c>
      <c r="R104" s="366">
        <f>IFERROR('2.3'!R91/'2.1'!R102,"")</f>
        <v>0.84642857142857142</v>
      </c>
      <c r="S104" s="366">
        <f>IFERROR('2.3'!S91/'2.1'!S102,"")</f>
        <v>0.94174757281553401</v>
      </c>
      <c r="T104" s="366">
        <f>IFERROR('2.3'!T91/'2.1'!T102,"")</f>
        <v>0.88683127572016462</v>
      </c>
      <c r="U104" s="367">
        <f>IFERROR('2.3'!U91/'2.1'!U102,"")</f>
        <v>0.81245339299030572</v>
      </c>
      <c r="V104" s="367">
        <f>IFERROR('2.3'!V91/'2.1'!V102,"")</f>
        <v>0.835439229843562</v>
      </c>
      <c r="W104" s="367">
        <f>IFERROR('2.3'!W91/'2.1'!W102,"")</f>
        <v>0.82124769797421726</v>
      </c>
    </row>
    <row r="105" spans="2:23" hidden="1" outlineLevel="1" x14ac:dyDescent="0.25">
      <c r="B105" s="362">
        <v>41609</v>
      </c>
      <c r="C105" s="366" t="str">
        <f>IFERROR('2.3'!C92/'2.1'!C103,"")</f>
        <v/>
      </c>
      <c r="D105" s="366" t="str">
        <f>IFERROR('2.3'!D92/'2.1'!D103,"")</f>
        <v/>
      </c>
      <c r="E105" s="366" t="str">
        <f>IFERROR('2.3'!E92/'2.1'!E103,"")</f>
        <v/>
      </c>
      <c r="F105" s="366" t="str">
        <f>IFERROR('2.3'!F92/'2.1'!F103,"")</f>
        <v/>
      </c>
      <c r="G105" s="366" t="str">
        <f>IFERROR('2.3'!G92/'2.1'!G103,"")</f>
        <v/>
      </c>
      <c r="H105" s="366" t="str">
        <f>IFERROR('2.3'!H92/'2.1'!H103,"")</f>
        <v/>
      </c>
      <c r="I105" s="366">
        <f>IFERROR('2.3'!I92/'2.1'!I103,"")</f>
        <v>0.86290322580645162</v>
      </c>
      <c r="J105" s="366">
        <f>IFERROR('2.3'!J92/'2.1'!J103,"")</f>
        <v>0.87131050767414409</v>
      </c>
      <c r="K105" s="366">
        <f>IFERROR('2.3'!K92/'2.1'!K103,"")</f>
        <v>0.86476589066178389</v>
      </c>
      <c r="L105" s="366">
        <f>IFERROR('2.3'!L92/'2.1'!L103,"")</f>
        <v>0.48378615249780893</v>
      </c>
      <c r="M105" s="366">
        <f>IFERROR('2.3'!M92/'2.1'!M103,"")</f>
        <v>0.71014492753623193</v>
      </c>
      <c r="N105" s="366">
        <f>IFERROR('2.3'!N92/'2.1'!N103,"")</f>
        <v>0.55110837438423643</v>
      </c>
      <c r="O105" s="366">
        <f>IFERROR('2.3'!O92/'2.1'!O103,"")</f>
        <v>0.82653799758745472</v>
      </c>
      <c r="P105" s="366">
        <f>IFERROR('2.3'!P92/'2.1'!P103,"")</f>
        <v>0.8259280089988752</v>
      </c>
      <c r="Q105" s="366">
        <f>IFERROR('2.3'!Q92/'2.1'!Q103,"")</f>
        <v>0.8262563303467082</v>
      </c>
      <c r="R105" s="366">
        <f>IFERROR('2.3'!R92/'2.1'!R103,"")</f>
        <v>0.81894150417827294</v>
      </c>
      <c r="S105" s="366">
        <f>IFERROR('2.3'!S92/'2.1'!S103,"")</f>
        <v>0.93189964157706096</v>
      </c>
      <c r="T105" s="366">
        <f>IFERROR('2.3'!T92/'2.1'!T103,"")</f>
        <v>0.86833855799373039</v>
      </c>
      <c r="U105" s="367">
        <f>IFERROR('2.3'!U92/'2.1'!U103,"")</f>
        <v>0.79341143718826124</v>
      </c>
      <c r="V105" s="367">
        <f>IFERROR('2.3'!V92/'2.1'!V103,"")</f>
        <v>0.82826718296224588</v>
      </c>
      <c r="W105" s="367">
        <f>IFERROR('2.3'!W92/'2.1'!W103,"")</f>
        <v>0.80647033222109388</v>
      </c>
    </row>
    <row r="106" spans="2:23" collapsed="1" x14ac:dyDescent="0.25">
      <c r="B106" s="364" t="s">
        <v>704</v>
      </c>
      <c r="C106" s="367" t="str">
        <f>IFERROR('2.3'!C93/'2.1'!C104,"")</f>
        <v/>
      </c>
      <c r="D106" s="367" t="str">
        <f>IFERROR('2.3'!D93/'2.1'!D104,"")</f>
        <v/>
      </c>
      <c r="E106" s="367" t="str">
        <f>IFERROR('2.3'!E93/'2.1'!E104,"")</f>
        <v/>
      </c>
      <c r="F106" s="367" t="str">
        <f>IFERROR('2.3'!F93/'2.1'!F104,"")</f>
        <v/>
      </c>
      <c r="G106" s="367" t="str">
        <f>IFERROR('2.3'!G93/'2.1'!G104,"")</f>
        <v/>
      </c>
      <c r="H106" s="367" t="str">
        <f>IFERROR('2.3'!H93/'2.1'!H104,"")</f>
        <v/>
      </c>
      <c r="I106" s="367">
        <f>IFERROR('2.3'!I93/'2.1'!I104,"")</f>
        <v>0.89645254074784275</v>
      </c>
      <c r="J106" s="367">
        <f>IFERROR('2.3'!J93/'2.1'!J104,"")</f>
        <v>0.91007751937984493</v>
      </c>
      <c r="K106" s="367">
        <f>IFERROR('2.3'!K93/'2.1'!K104,"")</f>
        <v>0.89967045038447457</v>
      </c>
      <c r="L106" s="367">
        <f>IFERROR('2.3'!L93/'2.1'!L104,"")</f>
        <v>0.46621621621621623</v>
      </c>
      <c r="M106" s="367">
        <f>IFERROR('2.3'!M93/'2.1'!M104,"")</f>
        <v>0.69791666666666663</v>
      </c>
      <c r="N106" s="367">
        <f>IFERROR('2.3'!N93/'2.1'!N104,"")</f>
        <v>0.52924594785059897</v>
      </c>
      <c r="O106" s="367">
        <f>IFERROR('2.3'!O93/'2.1'!O104,"")</f>
        <v>0.84528749259039715</v>
      </c>
      <c r="P106" s="367">
        <f>IFERROR('2.3'!P93/'2.1'!P104,"")</f>
        <v>0.85864562787639709</v>
      </c>
      <c r="Q106" s="367">
        <f>IFERROR('2.3'!Q93/'2.1'!Q104,"")</f>
        <v>0.85162094763092266</v>
      </c>
      <c r="R106" s="367">
        <f>IFERROR('2.3'!R93/'2.1'!R104,"")</f>
        <v>0.79420289855072468</v>
      </c>
      <c r="S106" s="367">
        <f>IFERROR('2.3'!S93/'2.1'!S104,"")</f>
        <v>0.87452471482889738</v>
      </c>
      <c r="T106" s="367">
        <f>IFERROR('2.3'!T93/'2.1'!T104,"")</f>
        <v>0.82894736842105265</v>
      </c>
      <c r="U106" s="367">
        <f>IFERROR('2.3'!U93/'2.1'!U104,"")</f>
        <v>0.80090630024850173</v>
      </c>
      <c r="V106" s="367">
        <f>IFERROR('2.3'!V93/'2.1'!V104,"")</f>
        <v>0.85302261190586059</v>
      </c>
      <c r="W106" s="367">
        <f>IFERROR('2.3'!W93/'2.1'!W104,"")</f>
        <v>0.82111856823266216</v>
      </c>
    </row>
    <row r="107" spans="2:23" hidden="1" outlineLevel="1" x14ac:dyDescent="0.25">
      <c r="B107" s="362">
        <v>41640</v>
      </c>
      <c r="C107" s="366" t="str">
        <f>IFERROR('2.3'!C94/'2.1'!C105,"")</f>
        <v/>
      </c>
      <c r="D107" s="366" t="str">
        <f>IFERROR('2.3'!D94/'2.1'!D105,"")</f>
        <v/>
      </c>
      <c r="E107" s="366" t="str">
        <f>IFERROR('2.3'!E94/'2.1'!E105,"")</f>
        <v/>
      </c>
      <c r="F107" s="366" t="str">
        <f>IFERROR('2.3'!F94/'2.1'!F105,"")</f>
        <v/>
      </c>
      <c r="G107" s="366" t="str">
        <f>IFERROR('2.3'!G94/'2.1'!G105,"")</f>
        <v/>
      </c>
      <c r="H107" s="366" t="str">
        <f>IFERROR('2.3'!H94/'2.1'!H105,"")</f>
        <v/>
      </c>
      <c r="I107" s="366">
        <f>IFERROR('2.3'!I94/'2.1'!I105,"")</f>
        <v>0.83565891472868215</v>
      </c>
      <c r="J107" s="366">
        <f>IFERROR('2.3'!J94/'2.1'!J105,"")</f>
        <v>0.88451776649746194</v>
      </c>
      <c r="K107" s="366">
        <f>IFERROR('2.3'!K94/'2.1'!K105,"")</f>
        <v>0.8470902612826603</v>
      </c>
      <c r="L107" s="366">
        <f>IFERROR('2.3'!L94/'2.1'!L105,"")</f>
        <v>0.49065880039331367</v>
      </c>
      <c r="M107" s="366">
        <f>IFERROR('2.3'!M94/'2.1'!M105,"")</f>
        <v>0.74450549450549453</v>
      </c>
      <c r="N107" s="366">
        <f>IFERROR('2.3'!N94/'2.1'!N105,"")</f>
        <v>0.55756698044895003</v>
      </c>
      <c r="O107" s="366">
        <f>IFERROR('2.3'!O94/'2.1'!O105,"")</f>
        <v>0.7951078379800105</v>
      </c>
      <c r="P107" s="366">
        <f>IFERROR('2.3'!P94/'2.1'!P105,"")</f>
        <v>0.82321268321866592</v>
      </c>
      <c r="Q107" s="366">
        <f>IFERROR('2.3'!Q94/'2.1'!Q105,"")</f>
        <v>0.80825752274317708</v>
      </c>
      <c r="R107" s="366">
        <f>IFERROR('2.3'!R94/'2.1'!R105,"")</f>
        <v>0.86702127659574468</v>
      </c>
      <c r="S107" s="366">
        <f>IFERROR('2.3'!S94/'2.1'!S105,"")</f>
        <v>0.93090909090909091</v>
      </c>
      <c r="T107" s="366">
        <f>IFERROR('2.3'!T94/'2.1'!T105,"")</f>
        <v>0.89400921658986177</v>
      </c>
      <c r="U107" s="367">
        <f>IFERROR('2.3'!U94/'2.1'!U105,"")</f>
        <v>0.77221864951768493</v>
      </c>
      <c r="V107" s="367">
        <f>IFERROR('2.3'!V94/'2.1'!V105,"")</f>
        <v>0.83354297693920332</v>
      </c>
      <c r="W107" s="367">
        <f>IFERROR('2.3'!W94/'2.1'!W105,"")</f>
        <v>0.79553607014746908</v>
      </c>
    </row>
    <row r="108" spans="2:23" hidden="1" outlineLevel="1" x14ac:dyDescent="0.25">
      <c r="B108" s="362">
        <v>41671</v>
      </c>
      <c r="C108" s="366" t="str">
        <f>IFERROR('2.3'!C95/'2.1'!C106,"")</f>
        <v/>
      </c>
      <c r="D108" s="366" t="str">
        <f>IFERROR('2.3'!D95/'2.1'!D106,"")</f>
        <v/>
      </c>
      <c r="E108" s="366" t="str">
        <f>IFERROR('2.3'!E95/'2.1'!E106,"")</f>
        <v/>
      </c>
      <c r="F108" s="366" t="str">
        <f>IFERROR('2.3'!F95/'2.1'!F106,"")</f>
        <v/>
      </c>
      <c r="G108" s="366" t="str">
        <f>IFERROR('2.3'!G95/'2.1'!G106,"")</f>
        <v/>
      </c>
      <c r="H108" s="366" t="str">
        <f>IFERROR('2.3'!H95/'2.1'!H106,"")</f>
        <v/>
      </c>
      <c r="I108" s="366">
        <f>IFERROR('2.3'!I95/'2.1'!I106,"")</f>
        <v>0.77470867501078977</v>
      </c>
      <c r="J108" s="366">
        <f>IFERROR('2.3'!J95/'2.1'!J106,"")</f>
        <v>0.84977908689248893</v>
      </c>
      <c r="K108" s="366">
        <f>IFERROR('2.3'!K95/'2.1'!K106,"")</f>
        <v>0.79172229639519354</v>
      </c>
      <c r="L108" s="366">
        <f>IFERROR('2.3'!L95/'2.1'!L106,"")</f>
        <v>0.52858809801633611</v>
      </c>
      <c r="M108" s="366">
        <f>IFERROR('2.3'!M95/'2.1'!M106,"")</f>
        <v>0.7168674698795181</v>
      </c>
      <c r="N108" s="366">
        <f>IFERROR('2.3'!N95/'2.1'!N106,"")</f>
        <v>0.58116063919259886</v>
      </c>
      <c r="O108" s="366">
        <f>IFERROR('2.3'!O95/'2.1'!O106,"")</f>
        <v>0.77742549143944195</v>
      </c>
      <c r="P108" s="366">
        <f>IFERROR('2.3'!P95/'2.1'!P106,"")</f>
        <v>0.80854821617802897</v>
      </c>
      <c r="Q108" s="366">
        <f>IFERROR('2.3'!Q95/'2.1'!Q106,"")</f>
        <v>0.79214703425229738</v>
      </c>
      <c r="R108" s="366">
        <f>IFERROR('2.3'!R95/'2.1'!R106,"")</f>
        <v>0.8481481481481481</v>
      </c>
      <c r="S108" s="366">
        <f>IFERROR('2.3'!S95/'2.1'!S106,"")</f>
        <v>0.90566037735849059</v>
      </c>
      <c r="T108" s="366">
        <f>IFERROR('2.3'!T95/'2.1'!T106,"")</f>
        <v>0.87344398340248963</v>
      </c>
      <c r="U108" s="367">
        <f>IFERROR('2.3'!U95/'2.1'!U106,"")</f>
        <v>0.74704455895725974</v>
      </c>
      <c r="V108" s="367">
        <f>IFERROR('2.3'!V95/'2.1'!V106,"")</f>
        <v>0.81302417365564872</v>
      </c>
      <c r="W108" s="367">
        <f>IFERROR('2.3'!W95/'2.1'!W106,"")</f>
        <v>0.77215546376267363</v>
      </c>
    </row>
    <row r="109" spans="2:23" hidden="1" outlineLevel="1" x14ac:dyDescent="0.25">
      <c r="B109" s="362">
        <v>41699</v>
      </c>
      <c r="C109" s="366" t="str">
        <f>IFERROR('2.3'!C96/'2.1'!C107,"")</f>
        <v/>
      </c>
      <c r="D109" s="366" t="str">
        <f>IFERROR('2.3'!D96/'2.1'!D107,"")</f>
        <v/>
      </c>
      <c r="E109" s="366" t="str">
        <f>IFERROR('2.3'!E96/'2.1'!E107,"")</f>
        <v/>
      </c>
      <c r="F109" s="366" t="str">
        <f>IFERROR('2.3'!F96/'2.1'!F107,"")</f>
        <v/>
      </c>
      <c r="G109" s="366" t="str">
        <f>IFERROR('2.3'!G96/'2.1'!G107,"")</f>
        <v/>
      </c>
      <c r="H109" s="366" t="str">
        <f>IFERROR('2.3'!H96/'2.1'!H107,"")</f>
        <v/>
      </c>
      <c r="I109" s="366">
        <f>IFERROR('2.3'!I96/'2.1'!I107,"")</f>
        <v>0.77550324121460257</v>
      </c>
      <c r="J109" s="366">
        <f>IFERROR('2.3'!J96/'2.1'!J107,"")</f>
        <v>0.85467980295566504</v>
      </c>
      <c r="K109" s="366">
        <f>IFERROR('2.3'!K96/'2.1'!K107,"")</f>
        <v>0.79267966871493456</v>
      </c>
      <c r="L109" s="366">
        <f>IFERROR('2.3'!L96/'2.1'!L107,"")</f>
        <v>0.50436300174520066</v>
      </c>
      <c r="M109" s="366">
        <f>IFERROR('2.3'!M96/'2.1'!M107,"")</f>
        <v>0.71875</v>
      </c>
      <c r="N109" s="366">
        <f>IFERROR('2.3'!N96/'2.1'!N107,"")</f>
        <v>0.56461731493099121</v>
      </c>
      <c r="O109" s="366">
        <f>IFERROR('2.3'!O96/'2.1'!O107,"")</f>
        <v>0.7499307671005262</v>
      </c>
      <c r="P109" s="366">
        <f>IFERROR('2.3'!P96/'2.1'!P107,"")</f>
        <v>0.80837408312958436</v>
      </c>
      <c r="Q109" s="366">
        <f>IFERROR('2.3'!Q96/'2.1'!Q107,"")</f>
        <v>0.77771320645067554</v>
      </c>
      <c r="R109" s="366">
        <f>IFERROR('2.3'!R96/'2.1'!R107,"")</f>
        <v>0.81047381546134667</v>
      </c>
      <c r="S109" s="366">
        <f>IFERROR('2.3'!S96/'2.1'!S107,"")</f>
        <v>0.9083665338645418</v>
      </c>
      <c r="T109" s="366">
        <f>IFERROR('2.3'!T96/'2.1'!T107,"")</f>
        <v>0.84815950920245398</v>
      </c>
      <c r="U109" s="367">
        <f>IFERROR('2.3'!U96/'2.1'!U107,"")</f>
        <v>0.72740759055507476</v>
      </c>
      <c r="V109" s="367">
        <f>IFERROR('2.3'!V96/'2.1'!V107,"")</f>
        <v>0.81308802007108505</v>
      </c>
      <c r="W109" s="367">
        <f>IFERROR('2.3'!W96/'2.1'!W107,"")</f>
        <v>0.75924487259167184</v>
      </c>
    </row>
    <row r="110" spans="2:23" hidden="1" outlineLevel="1" x14ac:dyDescent="0.25">
      <c r="B110" s="362">
        <v>41730</v>
      </c>
      <c r="C110" s="366" t="str">
        <f>IFERROR('2.3'!C97/'2.1'!C108,"")</f>
        <v/>
      </c>
      <c r="D110" s="366" t="str">
        <f>IFERROR('2.3'!D97/'2.1'!D108,"")</f>
        <v/>
      </c>
      <c r="E110" s="366" t="str">
        <f>IFERROR('2.3'!E97/'2.1'!E108,"")</f>
        <v/>
      </c>
      <c r="F110" s="366" t="str">
        <f>IFERROR('2.3'!F97/'2.1'!F108,"")</f>
        <v/>
      </c>
      <c r="G110" s="366" t="str">
        <f>IFERROR('2.3'!G97/'2.1'!G108,"")</f>
        <v/>
      </c>
      <c r="H110" s="366" t="str">
        <f>IFERROR('2.3'!H97/'2.1'!H108,"")</f>
        <v/>
      </c>
      <c r="I110" s="366">
        <f>IFERROR('2.3'!I97/'2.1'!I108,"")</f>
        <v>0.75409181636726552</v>
      </c>
      <c r="J110" s="366">
        <f>IFERROR('2.3'!J97/'2.1'!J108,"")</f>
        <v>0.85931034482758617</v>
      </c>
      <c r="K110" s="366">
        <f>IFERROR('2.3'!K97/'2.1'!K108,"")</f>
        <v>0.77770897832817343</v>
      </c>
      <c r="L110" s="366">
        <f>IFERROR('2.3'!L97/'2.1'!L108,"")</f>
        <v>0.49716981132075472</v>
      </c>
      <c r="M110" s="366">
        <f>IFERROR('2.3'!M97/'2.1'!M108,"")</f>
        <v>0.69870129870129871</v>
      </c>
      <c r="N110" s="366">
        <f>IFERROR('2.3'!N97/'2.1'!N108,"")</f>
        <v>0.55086505190311419</v>
      </c>
      <c r="O110" s="366">
        <f>IFERROR('2.3'!O97/'2.1'!O108,"")</f>
        <v>0.74238805970149258</v>
      </c>
      <c r="P110" s="366">
        <f>IFERROR('2.3'!P97/'2.1'!P108,"")</f>
        <v>0.78952411370169273</v>
      </c>
      <c r="Q110" s="366">
        <f>IFERROR('2.3'!Q97/'2.1'!Q108,"")</f>
        <v>0.76515969757753433</v>
      </c>
      <c r="R110" s="366">
        <f>IFERROR('2.3'!R97/'2.1'!R108,"")</f>
        <v>0.8529411764705882</v>
      </c>
      <c r="S110" s="366">
        <f>IFERROR('2.3'!S97/'2.1'!S108,"")</f>
        <v>0.91814946619217086</v>
      </c>
      <c r="T110" s="366">
        <f>IFERROR('2.3'!T97/'2.1'!T108,"")</f>
        <v>0.88091603053435119</v>
      </c>
      <c r="U110" s="367">
        <f>IFERROR('2.3'!U97/'2.1'!U108,"")</f>
        <v>0.71642200576210724</v>
      </c>
      <c r="V110" s="367">
        <f>IFERROR('2.3'!V97/'2.1'!V108,"")</f>
        <v>0.80097302078726229</v>
      </c>
      <c r="W110" s="367">
        <f>IFERROR('2.3'!W97/'2.1'!W108,"")</f>
        <v>0.7487934975869952</v>
      </c>
    </row>
    <row r="111" spans="2:23" hidden="1" outlineLevel="1" x14ac:dyDescent="0.25">
      <c r="B111" s="362">
        <v>41760</v>
      </c>
      <c r="C111" s="366" t="str">
        <f>IFERROR('2.3'!C98/'2.1'!C109,"")</f>
        <v/>
      </c>
      <c r="D111" s="366" t="str">
        <f>IFERROR('2.3'!D98/'2.1'!D109,"")</f>
        <v/>
      </c>
      <c r="E111" s="366" t="str">
        <f>IFERROR('2.3'!E98/'2.1'!E109,"")</f>
        <v/>
      </c>
      <c r="F111" s="366" t="str">
        <f>IFERROR('2.3'!F98/'2.1'!F109,"")</f>
        <v/>
      </c>
      <c r="G111" s="366" t="str">
        <f>IFERROR('2.3'!G98/'2.1'!G109,"")</f>
        <v/>
      </c>
      <c r="H111" s="366" t="str">
        <f>IFERROR('2.3'!H98/'2.1'!H109,"")</f>
        <v/>
      </c>
      <c r="I111" s="366">
        <f>IFERROR('2.3'!I98/'2.1'!I109,"")</f>
        <v>0.79562542720437457</v>
      </c>
      <c r="J111" s="366">
        <f>IFERROR('2.3'!J98/'2.1'!J109,"")</f>
        <v>0.8481481481481481</v>
      </c>
      <c r="K111" s="366">
        <f>IFERROR('2.3'!K98/'2.1'!K109,"")</f>
        <v>0.8070128479657388</v>
      </c>
      <c r="L111" s="366">
        <f>IFERROR('2.3'!L98/'2.1'!L109,"")</f>
        <v>0.48479262672811058</v>
      </c>
      <c r="M111" s="366">
        <f>IFERROR('2.3'!M98/'2.1'!M109,"")</f>
        <v>0.75257731958762886</v>
      </c>
      <c r="N111" s="366">
        <f>IFERROR('2.3'!N98/'2.1'!N109,"")</f>
        <v>0.55532926001357774</v>
      </c>
      <c r="O111" s="366">
        <f>IFERROR('2.3'!O98/'2.1'!O109,"")</f>
        <v>0.738472798243474</v>
      </c>
      <c r="P111" s="366">
        <f>IFERROR('2.3'!P98/'2.1'!P109,"")</f>
        <v>0.77891979040709391</v>
      </c>
      <c r="Q111" s="366">
        <f>IFERROR('2.3'!Q98/'2.1'!Q109,"")</f>
        <v>0.7606224478534378</v>
      </c>
      <c r="R111" s="366">
        <f>IFERROR('2.3'!R98/'2.1'!R109,"")</f>
        <v>0.80441640378548895</v>
      </c>
      <c r="S111" s="366">
        <f>IFERROR('2.3'!S98/'2.1'!S109,"")</f>
        <v>0.93442622950819676</v>
      </c>
      <c r="T111" s="366">
        <f>IFERROR('2.3'!T98/'2.1'!T109,"")</f>
        <v>0.86096256684491979</v>
      </c>
      <c r="U111" s="367">
        <f>IFERROR('2.3'!U98/'2.1'!U109,"")</f>
        <v>0.72813575412365017</v>
      </c>
      <c r="V111" s="367">
        <f>IFERROR('2.3'!V98/'2.1'!V109,"")</f>
        <v>0.79200499687695192</v>
      </c>
      <c r="W111" s="367">
        <f>IFERROR('2.3'!W98/'2.1'!W109,"")</f>
        <v>0.75571438203762387</v>
      </c>
    </row>
    <row r="112" spans="2:23" hidden="1" outlineLevel="1" x14ac:dyDescent="0.25">
      <c r="B112" s="362">
        <v>41791</v>
      </c>
      <c r="C112" s="366" t="str">
        <f>IFERROR('2.3'!C99/'2.1'!C110,"")</f>
        <v/>
      </c>
      <c r="D112" s="366" t="str">
        <f>IFERROR('2.3'!D99/'2.1'!D110,"")</f>
        <v/>
      </c>
      <c r="E112" s="366" t="str">
        <f>IFERROR('2.3'!E99/'2.1'!E110,"")</f>
        <v/>
      </c>
      <c r="F112" s="366" t="str">
        <f>IFERROR('2.3'!F99/'2.1'!F110,"")</f>
        <v/>
      </c>
      <c r="G112" s="366" t="str">
        <f>IFERROR('2.3'!G99/'2.1'!G110,"")</f>
        <v/>
      </c>
      <c r="H112" s="366" t="str">
        <f>IFERROR('2.3'!H99/'2.1'!H110,"")</f>
        <v/>
      </c>
      <c r="I112" s="366">
        <f>IFERROR('2.3'!I99/'2.1'!I110,"")</f>
        <v>0.81096800997091811</v>
      </c>
      <c r="J112" s="366">
        <f>IFERROR('2.3'!J99/'2.1'!J110,"")</f>
        <v>0.84836065573770492</v>
      </c>
      <c r="K112" s="366">
        <f>IFERROR('2.3'!K99/'2.1'!K110,"")</f>
        <v>0.81968779866199426</v>
      </c>
      <c r="L112" s="366">
        <f>IFERROR('2.3'!L99/'2.1'!L110,"")</f>
        <v>0.49495967741935482</v>
      </c>
      <c r="M112" s="366">
        <f>IFERROR('2.3'!M99/'2.1'!M110,"")</f>
        <v>0.73860911270983209</v>
      </c>
      <c r="N112" s="366">
        <f>IFERROR('2.3'!N99/'2.1'!N110,"")</f>
        <v>0.56706884315117101</v>
      </c>
      <c r="O112" s="366">
        <f>IFERROR('2.3'!O99/'2.1'!O110,"")</f>
        <v>0.77191072400653238</v>
      </c>
      <c r="P112" s="366">
        <f>IFERROR('2.3'!P99/'2.1'!P110,"")</f>
        <v>0.79868938401048495</v>
      </c>
      <c r="Q112" s="366">
        <f>IFERROR('2.3'!Q99/'2.1'!Q110,"")</f>
        <v>0.78555214314327682</v>
      </c>
      <c r="R112" s="366">
        <f>IFERROR('2.3'!R99/'2.1'!R110,"")</f>
        <v>0.7769784172661871</v>
      </c>
      <c r="S112" s="366">
        <f>IFERROR('2.3'!S99/'2.1'!S110,"")</f>
        <v>0.86363636363636365</v>
      </c>
      <c r="T112" s="366">
        <f>IFERROR('2.3'!T99/'2.1'!T110,"")</f>
        <v>0.81526104417670686</v>
      </c>
      <c r="U112" s="367">
        <f>IFERROR('2.3'!U99/'2.1'!U110,"")</f>
        <v>0.7475173445789689</v>
      </c>
      <c r="V112" s="367">
        <f>IFERROR('2.3'!V99/'2.1'!V110,"")</f>
        <v>0.80362654320987659</v>
      </c>
      <c r="W112" s="367">
        <f>IFERROR('2.3'!W99/'2.1'!W110,"")</f>
        <v>0.7707219784603111</v>
      </c>
    </row>
    <row r="113" spans="2:23" hidden="1" outlineLevel="1" x14ac:dyDescent="0.25">
      <c r="B113" s="362">
        <v>41821</v>
      </c>
      <c r="C113" s="366" t="str">
        <f>IFERROR('2.3'!C100/'2.1'!C111,"")</f>
        <v/>
      </c>
      <c r="D113" s="366" t="str">
        <f>IFERROR('2.3'!D100/'2.1'!D111,"")</f>
        <v/>
      </c>
      <c r="E113" s="366" t="str">
        <f>IFERROR('2.3'!E100/'2.1'!E111,"")</f>
        <v/>
      </c>
      <c r="F113" s="366" t="str">
        <f>IFERROR('2.3'!F100/'2.1'!F111,"")</f>
        <v/>
      </c>
      <c r="G113" s="366" t="str">
        <f>IFERROR('2.3'!G100/'2.1'!G111,"")</f>
        <v/>
      </c>
      <c r="H113" s="366" t="str">
        <f>IFERROR('2.3'!H100/'2.1'!H111,"")</f>
        <v/>
      </c>
      <c r="I113" s="366">
        <f>IFERROR('2.3'!I100/'2.1'!I111,"")</f>
        <v>0.79490291262135926</v>
      </c>
      <c r="J113" s="366">
        <f>IFERROR('2.3'!J100/'2.1'!J111,"")</f>
        <v>0.86894586894586889</v>
      </c>
      <c r="K113" s="366">
        <f>IFERROR('2.3'!K100/'2.1'!K111,"")</f>
        <v>0.81127914303717708</v>
      </c>
      <c r="L113" s="366">
        <f>IFERROR('2.3'!L100/'2.1'!L111,"")</f>
        <v>0.50133096716947645</v>
      </c>
      <c r="M113" s="366">
        <f>IFERROR('2.3'!M100/'2.1'!M111,"")</f>
        <v>0.76279069767441865</v>
      </c>
      <c r="N113" s="366">
        <f>IFERROR('2.3'!N100/'2.1'!N111,"")</f>
        <v>0.57353885677585104</v>
      </c>
      <c r="O113" s="366">
        <f>IFERROR('2.3'!O100/'2.1'!O111,"")</f>
        <v>0.79060469765117436</v>
      </c>
      <c r="P113" s="366">
        <f>IFERROR('2.3'!P100/'2.1'!P111,"")</f>
        <v>0.79590660132603053</v>
      </c>
      <c r="Q113" s="366">
        <f>IFERROR('2.3'!Q100/'2.1'!Q111,"")</f>
        <v>0.79306652389238386</v>
      </c>
      <c r="R113" s="366">
        <f>IFERROR('2.3'!R100/'2.1'!R111,"")</f>
        <v>0.80916030534351147</v>
      </c>
      <c r="S113" s="366">
        <f>IFERROR('2.3'!S100/'2.1'!S111,"")</f>
        <v>0.90952380952380951</v>
      </c>
      <c r="T113" s="366">
        <f>IFERROR('2.3'!T100/'2.1'!T111,"")</f>
        <v>0.85381355932203384</v>
      </c>
      <c r="U113" s="367">
        <f>IFERROR('2.3'!U100/'2.1'!U111,"")</f>
        <v>0.75111280681673664</v>
      </c>
      <c r="V113" s="367">
        <f>IFERROR('2.3'!V100/'2.1'!V111,"")</f>
        <v>0.80856370816877987</v>
      </c>
      <c r="W113" s="367">
        <f>IFERROR('2.3'!W100/'2.1'!W111,"")</f>
        <v>0.77292094050812687</v>
      </c>
    </row>
    <row r="114" spans="2:23" hidden="1" outlineLevel="1" x14ac:dyDescent="0.25">
      <c r="B114" s="362">
        <v>41852</v>
      </c>
      <c r="C114" s="366" t="str">
        <f>IFERROR('2.3'!C101/'2.1'!C112,"")</f>
        <v/>
      </c>
      <c r="D114" s="366" t="str">
        <f>IFERROR('2.3'!D101/'2.1'!D112,"")</f>
        <v/>
      </c>
      <c r="E114" s="366" t="str">
        <f>IFERROR('2.3'!E101/'2.1'!E112,"")</f>
        <v/>
      </c>
      <c r="F114" s="366" t="str">
        <f>IFERROR('2.3'!F101/'2.1'!F112,"")</f>
        <v/>
      </c>
      <c r="G114" s="366" t="str">
        <f>IFERROR('2.3'!G101/'2.1'!G112,"")</f>
        <v/>
      </c>
      <c r="H114" s="366" t="str">
        <f>IFERROR('2.3'!H101/'2.1'!H112,"")</f>
        <v/>
      </c>
      <c r="I114" s="366">
        <f>IFERROR('2.3'!I101/'2.1'!I112,"")</f>
        <v>0.80312386487468213</v>
      </c>
      <c r="J114" s="366">
        <f>IFERROR('2.3'!J101/'2.1'!J112,"")</f>
        <v>0.85563380281690138</v>
      </c>
      <c r="K114" s="366">
        <f>IFERROR('2.3'!K101/'2.1'!K112,"")</f>
        <v>0.81553398058252424</v>
      </c>
      <c r="L114" s="366">
        <f>IFERROR('2.3'!L101/'2.1'!L112,"")</f>
        <v>0.48231233822260572</v>
      </c>
      <c r="M114" s="366">
        <f>IFERROR('2.3'!M101/'2.1'!M112,"")</f>
        <v>0.7478813559322034</v>
      </c>
      <c r="N114" s="366">
        <f>IFERROR('2.3'!N101/'2.1'!N112,"")</f>
        <v>0.55916615573267936</v>
      </c>
      <c r="O114" s="366">
        <f>IFERROR('2.3'!O101/'2.1'!O112,"")</f>
        <v>0.78250755989765064</v>
      </c>
      <c r="P114" s="366">
        <f>IFERROR('2.3'!P101/'2.1'!P112,"")</f>
        <v>0.78422900351066704</v>
      </c>
      <c r="Q114" s="366">
        <f>IFERROR('2.3'!Q101/'2.1'!Q112,"")</f>
        <v>0.78330417395651086</v>
      </c>
      <c r="R114" s="366">
        <f>IFERROR('2.3'!R101/'2.1'!R112,"")</f>
        <v>0.81132075471698117</v>
      </c>
      <c r="S114" s="366">
        <f>IFERROR('2.3'!S101/'2.1'!S112,"")</f>
        <v>0.93506493506493504</v>
      </c>
      <c r="T114" s="366">
        <f>IFERROR('2.3'!T101/'2.1'!T112,"")</f>
        <v>0.86895161290322576</v>
      </c>
      <c r="U114" s="367">
        <f>IFERROR('2.3'!U101/'2.1'!U112,"")</f>
        <v>0.74905615856536101</v>
      </c>
      <c r="V114" s="367">
        <f>IFERROR('2.3'!V101/'2.1'!V112,"")</f>
        <v>0.79916317991631802</v>
      </c>
      <c r="W114" s="367">
        <f>IFERROR('2.3'!W101/'2.1'!W112,"")</f>
        <v>0.76823940585408479</v>
      </c>
    </row>
    <row r="115" spans="2:23" hidden="1" outlineLevel="1" x14ac:dyDescent="0.25">
      <c r="B115" s="362">
        <v>41883</v>
      </c>
      <c r="C115" s="366" t="str">
        <f>IFERROR('2.3'!C102/'2.1'!C113,"")</f>
        <v/>
      </c>
      <c r="D115" s="366" t="str">
        <f>IFERROR('2.3'!D102/'2.1'!D113,"")</f>
        <v/>
      </c>
      <c r="E115" s="366" t="str">
        <f>IFERROR('2.3'!E102/'2.1'!E113,"")</f>
        <v/>
      </c>
      <c r="F115" s="366" t="str">
        <f>IFERROR('2.3'!F102/'2.1'!F113,"")</f>
        <v/>
      </c>
      <c r="G115" s="366" t="str">
        <f>IFERROR('2.3'!G102/'2.1'!G113,"")</f>
        <v/>
      </c>
      <c r="H115" s="366" t="str">
        <f>IFERROR('2.3'!H102/'2.1'!H113,"")</f>
        <v/>
      </c>
      <c r="I115" s="366">
        <f>IFERROR('2.3'!I102/'2.1'!I113,"")</f>
        <v>0.85737908226539894</v>
      </c>
      <c r="J115" s="366">
        <f>IFERROR('2.3'!J102/'2.1'!J113,"")</f>
        <v>0.88621151271753684</v>
      </c>
      <c r="K115" s="366">
        <f>IFERROR('2.3'!K102/'2.1'!K113,"")</f>
        <v>0.86418193303853441</v>
      </c>
      <c r="L115" s="366">
        <f>IFERROR('2.3'!L102/'2.1'!L113,"")</f>
        <v>0.48731501057082455</v>
      </c>
      <c r="M115" s="366">
        <f>IFERROR('2.3'!M102/'2.1'!M113,"")</f>
        <v>0.75442477876106195</v>
      </c>
      <c r="N115" s="366">
        <f>IFERROR('2.3'!N102/'2.1'!N113,"")</f>
        <v>0.57367668097281832</v>
      </c>
      <c r="O115" s="366">
        <f>IFERROR('2.3'!O102/'2.1'!O113,"")</f>
        <v>0.80488400488400491</v>
      </c>
      <c r="P115" s="366">
        <f>IFERROR('2.3'!P102/'2.1'!P113,"")</f>
        <v>0.82081762829805738</v>
      </c>
      <c r="Q115" s="366">
        <f>IFERROR('2.3'!Q102/'2.1'!Q113,"")</f>
        <v>0.8121686108165429</v>
      </c>
      <c r="R115" s="366">
        <f>IFERROR('2.3'!R102/'2.1'!R113,"")</f>
        <v>0.88349514563106801</v>
      </c>
      <c r="S115" s="366">
        <f>IFERROR('2.3'!S102/'2.1'!S113,"")</f>
        <v>0.93048128342245995</v>
      </c>
      <c r="T115" s="366">
        <f>IFERROR('2.3'!T102/'2.1'!T113,"")</f>
        <v>0.90585241730279897</v>
      </c>
      <c r="U115" s="367">
        <f>IFERROR('2.3'!U102/'2.1'!U113,"")</f>
        <v>0.78437255413514217</v>
      </c>
      <c r="V115" s="367">
        <f>IFERROR('2.3'!V102/'2.1'!V113,"")</f>
        <v>0.82895553257497412</v>
      </c>
      <c r="W115" s="367">
        <f>IFERROR('2.3'!W102/'2.1'!W113,"")</f>
        <v>0.80161587073034157</v>
      </c>
    </row>
    <row r="116" spans="2:23" hidden="1" outlineLevel="1" x14ac:dyDescent="0.25">
      <c r="B116" s="362">
        <v>41913</v>
      </c>
      <c r="C116" s="366" t="str">
        <f>IFERROR('2.3'!C103/'2.1'!C114,"")</f>
        <v/>
      </c>
      <c r="D116" s="366" t="str">
        <f>IFERROR('2.3'!D103/'2.1'!D114,"")</f>
        <v/>
      </c>
      <c r="E116" s="366" t="str">
        <f>IFERROR('2.3'!E103/'2.1'!E114,"")</f>
        <v/>
      </c>
      <c r="F116" s="366" t="str">
        <f>IFERROR('2.3'!F103/'2.1'!F114,"")</f>
        <v/>
      </c>
      <c r="G116" s="366" t="str">
        <f>IFERROR('2.3'!G103/'2.1'!G114,"")</f>
        <v/>
      </c>
      <c r="H116" s="366" t="str">
        <f>IFERROR('2.3'!H103/'2.1'!H114,"")</f>
        <v/>
      </c>
      <c r="I116" s="366">
        <f>IFERROR('2.3'!I103/'2.1'!I114,"")</f>
        <v>0.83221225710014946</v>
      </c>
      <c r="J116" s="366">
        <f>IFERROR('2.3'!J103/'2.1'!J114,"")</f>
        <v>0.88485607008760947</v>
      </c>
      <c r="K116" s="366">
        <f>IFERROR('2.3'!K103/'2.1'!K114,"")</f>
        <v>0.84431654676258994</v>
      </c>
      <c r="L116" s="366">
        <f>IFERROR('2.3'!L103/'2.1'!L114,"")</f>
        <v>0.5136026380873866</v>
      </c>
      <c r="M116" s="366">
        <f>IFERROR('2.3'!M103/'2.1'!M114,"")</f>
        <v>0.74358974358974361</v>
      </c>
      <c r="N116" s="366">
        <f>IFERROR('2.3'!N103/'2.1'!N114,"")</f>
        <v>0.57763236168947052</v>
      </c>
      <c r="O116" s="366">
        <f>IFERROR('2.3'!O103/'2.1'!O114,"")</f>
        <v>0.76981833195706029</v>
      </c>
      <c r="P116" s="366">
        <f>IFERROR('2.3'!P103/'2.1'!P114,"")</f>
        <v>0.81674487527784634</v>
      </c>
      <c r="Q116" s="366">
        <f>IFERROR('2.3'!Q103/'2.1'!Q114,"")</f>
        <v>0.79118407736421903</v>
      </c>
      <c r="R116" s="366">
        <f>IFERROR('2.3'!R103/'2.1'!R114,"")</f>
        <v>0.83127572016460904</v>
      </c>
      <c r="S116" s="366">
        <f>IFERROR('2.3'!S103/'2.1'!S114,"")</f>
        <v>0.92972972972972978</v>
      </c>
      <c r="T116" s="366">
        <f>IFERROR('2.3'!T103/'2.1'!T114,"")</f>
        <v>0.87383177570093462</v>
      </c>
      <c r="U116" s="367">
        <f>IFERROR('2.3'!U103/'2.1'!U114,"")</f>
        <v>0.75545900178253123</v>
      </c>
      <c r="V116" s="367">
        <f>IFERROR('2.3'!V103/'2.1'!V114,"")</f>
        <v>0.82421377931285222</v>
      </c>
      <c r="W116" s="367">
        <f>IFERROR('2.3'!W103/'2.1'!W114,"")</f>
        <v>0.78158458244111351</v>
      </c>
    </row>
    <row r="117" spans="2:23" hidden="1" outlineLevel="1" x14ac:dyDescent="0.25">
      <c r="B117" s="362">
        <v>41944</v>
      </c>
      <c r="C117" s="366" t="str">
        <f>IFERROR('2.3'!C104/'2.1'!C115,"")</f>
        <v/>
      </c>
      <c r="D117" s="366" t="str">
        <f>IFERROR('2.3'!D104/'2.1'!D115,"")</f>
        <v/>
      </c>
      <c r="E117" s="366" t="str">
        <f>IFERROR('2.3'!E104/'2.1'!E115,"")</f>
        <v/>
      </c>
      <c r="F117" s="366" t="str">
        <f>IFERROR('2.3'!F104/'2.1'!F115,"")</f>
        <v/>
      </c>
      <c r="G117" s="366" t="str">
        <f>IFERROR('2.3'!G104/'2.1'!G115,"")</f>
        <v/>
      </c>
      <c r="H117" s="366" t="str">
        <f>IFERROR('2.3'!H104/'2.1'!H115,"")</f>
        <v/>
      </c>
      <c r="I117" s="366">
        <f>IFERROR('2.3'!I104/'2.1'!I115,"")</f>
        <v>0.86229365768896615</v>
      </c>
      <c r="J117" s="366">
        <f>IFERROR('2.3'!J104/'2.1'!J115,"")</f>
        <v>0.88128491620111726</v>
      </c>
      <c r="K117" s="366">
        <f>IFERROR('2.3'!K104/'2.1'!K115,"")</f>
        <v>0.86679920477137173</v>
      </c>
      <c r="L117" s="366">
        <f>IFERROR('2.3'!L104/'2.1'!L115,"")</f>
        <v>0.49287749287749288</v>
      </c>
      <c r="M117" s="366">
        <f>IFERROR('2.3'!M104/'2.1'!M115,"")</f>
        <v>0.72747747747747749</v>
      </c>
      <c r="N117" s="366">
        <f>IFERROR('2.3'!N104/'2.1'!N115,"")</f>
        <v>0.5624582498329993</v>
      </c>
      <c r="O117" s="366">
        <f>IFERROR('2.3'!O104/'2.1'!O115,"")</f>
        <v>0.79334916864608074</v>
      </c>
      <c r="P117" s="366">
        <f>IFERROR('2.3'!P104/'2.1'!P115,"")</f>
        <v>0.83197093551316981</v>
      </c>
      <c r="Q117" s="366">
        <f>IFERROR('2.3'!Q104/'2.1'!Q115,"")</f>
        <v>0.81032876347664051</v>
      </c>
      <c r="R117" s="366">
        <f>IFERROR('2.3'!R104/'2.1'!R115,"")</f>
        <v>0.87068965517241381</v>
      </c>
      <c r="S117" s="366">
        <f>IFERROR('2.3'!S104/'2.1'!S115,"")</f>
        <v>0.88953488372093026</v>
      </c>
      <c r="T117" s="366">
        <f>IFERROR('2.3'!T104/'2.1'!T115,"")</f>
        <v>0.87871287128712872</v>
      </c>
      <c r="U117" s="367">
        <f>IFERROR('2.3'!U104/'2.1'!U115,"")</f>
        <v>0.77542644606900091</v>
      </c>
      <c r="V117" s="367">
        <f>IFERROR('2.3'!V104/'2.1'!V115,"")</f>
        <v>0.83171521035598706</v>
      </c>
      <c r="W117" s="367">
        <f>IFERROR('2.3'!W104/'2.1'!W115,"")</f>
        <v>0.79641248391248387</v>
      </c>
    </row>
    <row r="118" spans="2:23" hidden="1" outlineLevel="1" x14ac:dyDescent="0.25">
      <c r="B118" s="362">
        <v>41974</v>
      </c>
      <c r="C118" s="366" t="str">
        <f>IFERROR('2.3'!C105/'2.1'!C116,"")</f>
        <v/>
      </c>
      <c r="D118" s="366" t="str">
        <f>IFERROR('2.3'!D105/'2.1'!D116,"")</f>
        <v/>
      </c>
      <c r="E118" s="366" t="str">
        <f>IFERROR('2.3'!E105/'2.1'!E116,"")</f>
        <v/>
      </c>
      <c r="F118" s="366" t="str">
        <f>IFERROR('2.3'!F105/'2.1'!F116,"")</f>
        <v/>
      </c>
      <c r="G118" s="366" t="str">
        <f>IFERROR('2.3'!G105/'2.1'!G116,"")</f>
        <v/>
      </c>
      <c r="H118" s="366" t="str">
        <f>IFERROR('2.3'!H105/'2.1'!H116,"")</f>
        <v/>
      </c>
      <c r="I118" s="366">
        <f>IFERROR('2.3'!I105/'2.1'!I116,"")</f>
        <v>0.89797837329572172</v>
      </c>
      <c r="J118" s="366">
        <f>IFERROR('2.3'!J105/'2.1'!J116,"")</f>
        <v>0.91558441558441561</v>
      </c>
      <c r="K118" s="366">
        <f>IFERROR('2.3'!K105/'2.1'!K116,"")</f>
        <v>0.90193219103171707</v>
      </c>
      <c r="L118" s="366">
        <f>IFERROR('2.3'!L105/'2.1'!L116,"")</f>
        <v>0.52826086956521734</v>
      </c>
      <c r="M118" s="366">
        <f>IFERROR('2.3'!M105/'2.1'!M116,"")</f>
        <v>0.77386934673366836</v>
      </c>
      <c r="N118" s="366">
        <f>IFERROR('2.3'!N105/'2.1'!N116,"")</f>
        <v>0.60242792109256449</v>
      </c>
      <c r="O118" s="366">
        <f>IFERROR('2.3'!O105/'2.1'!O116,"")</f>
        <v>0.80676328502415462</v>
      </c>
      <c r="P118" s="366">
        <f>IFERROR('2.3'!P105/'2.1'!P116,"")</f>
        <v>0.8463485177151121</v>
      </c>
      <c r="Q118" s="366">
        <f>IFERROR('2.3'!Q105/'2.1'!Q116,"")</f>
        <v>0.8247778874629812</v>
      </c>
      <c r="R118" s="366">
        <f>IFERROR('2.3'!R105/'2.1'!R116,"")</f>
        <v>0.890625</v>
      </c>
      <c r="S118" s="366">
        <f>IFERROR('2.3'!S105/'2.1'!S116,"")</f>
        <v>0.92941176470588238</v>
      </c>
      <c r="T118" s="366">
        <f>IFERROR('2.3'!T105/'2.1'!T116,"")</f>
        <v>0.90883977900552482</v>
      </c>
      <c r="U118" s="367">
        <f>IFERROR('2.3'!U105/'2.1'!U116,"")</f>
        <v>0.79972523278888719</v>
      </c>
      <c r="V118" s="367">
        <f>IFERROR('2.3'!V105/'2.1'!V116,"")</f>
        <v>0.85341772151898732</v>
      </c>
      <c r="W118" s="367">
        <f>IFERROR('2.3'!W105/'2.1'!W116,"")</f>
        <v>0.81992191219883825</v>
      </c>
    </row>
    <row r="119" spans="2:23" collapsed="1" x14ac:dyDescent="0.25">
      <c r="B119" s="364" t="s">
        <v>705</v>
      </c>
      <c r="C119" s="367" t="str">
        <f>IFERROR('2.3'!C106/'2.1'!C117,"")</f>
        <v/>
      </c>
      <c r="D119" s="367" t="str">
        <f>IFERROR('2.3'!D106/'2.1'!D117,"")</f>
        <v/>
      </c>
      <c r="E119" s="367" t="str">
        <f>IFERROR('2.3'!E106/'2.1'!E117,"")</f>
        <v/>
      </c>
      <c r="F119" s="367" t="str">
        <f>IFERROR('2.3'!F106/'2.1'!F117,"")</f>
        <v/>
      </c>
      <c r="G119" s="367" t="str">
        <f>IFERROR('2.3'!G106/'2.1'!G117,"")</f>
        <v/>
      </c>
      <c r="H119" s="367" t="str">
        <f>IFERROR('2.3'!H106/'2.1'!H117,"")</f>
        <v/>
      </c>
      <c r="I119" s="367">
        <f>IFERROR('2.3'!I106/'2.1'!I117,"")</f>
        <v>0.81420118343195269</v>
      </c>
      <c r="J119" s="367">
        <f>IFERROR('2.3'!J106/'2.1'!J117,"")</f>
        <v>0.86898395721925137</v>
      </c>
      <c r="K119" s="367">
        <f>IFERROR('2.3'!K106/'2.1'!K117,"")</f>
        <v>0.82668291197075849</v>
      </c>
      <c r="L119" s="367">
        <f>IFERROR('2.3'!L106/'2.1'!L117,"")</f>
        <v>0.5</v>
      </c>
      <c r="M119" s="367">
        <f>IFERROR('2.3'!M106/'2.1'!M117,"")</f>
        <v>0.73860911270983209</v>
      </c>
      <c r="N119" s="367">
        <f>IFERROR('2.3'!N106/'2.1'!N117,"")</f>
        <v>0.56830601092896171</v>
      </c>
      <c r="O119" s="367">
        <f>IFERROR('2.3'!O106/'2.1'!O117,"")</f>
        <v>0.77706019116507363</v>
      </c>
      <c r="P119" s="367">
        <f>IFERROR('2.3'!P106/'2.1'!P117,"")</f>
        <v>0.80672748004561001</v>
      </c>
      <c r="Q119" s="367">
        <f>IFERROR('2.3'!Q106/'2.1'!Q117,"")</f>
        <v>0.79116411437864209</v>
      </c>
      <c r="R119" s="367">
        <f>IFERROR('2.3'!R106/'2.1'!R117,"")</f>
        <v>0.83508771929824566</v>
      </c>
      <c r="S119" s="367">
        <f>IFERROR('2.3'!S106/'2.1'!S117,"")</f>
        <v>0.91363636363636369</v>
      </c>
      <c r="T119" s="367">
        <f>IFERROR('2.3'!T106/'2.1'!T117,"")</f>
        <v>0.8693069306930693</v>
      </c>
      <c r="U119" s="367">
        <f>IFERROR('2.3'!U106/'2.1'!U117,"")</f>
        <v>0.7539415869733781</v>
      </c>
      <c r="V119" s="367">
        <f>IFERROR('2.3'!V106/'2.1'!V117,"")</f>
        <v>0.81561733442354867</v>
      </c>
      <c r="W119" s="367">
        <f>IFERROR('2.3'!W106/'2.1'!W117,"")</f>
        <v>0.77783056215360258</v>
      </c>
    </row>
    <row r="120" spans="2:23" hidden="1" outlineLevel="1" x14ac:dyDescent="0.25">
      <c r="B120" s="362">
        <v>42005</v>
      </c>
      <c r="C120" s="366" t="str">
        <f>IFERROR('2.3'!C107/'2.1'!C118,"")</f>
        <v/>
      </c>
      <c r="D120" s="366" t="str">
        <f>IFERROR('2.3'!D107/'2.1'!D118,"")</f>
        <v/>
      </c>
      <c r="E120" s="366" t="str">
        <f>IFERROR('2.3'!E107/'2.1'!E118,"")</f>
        <v/>
      </c>
      <c r="F120" s="366" t="str">
        <f>IFERROR('2.3'!F107/'2.1'!F118,"")</f>
        <v/>
      </c>
      <c r="G120" s="366" t="str">
        <f>IFERROR('2.3'!G107/'2.1'!G118,"")</f>
        <v/>
      </c>
      <c r="H120" s="366" t="str">
        <f>IFERROR('2.3'!H107/'2.1'!H118,"")</f>
        <v/>
      </c>
      <c r="I120" s="366">
        <f>IFERROR('2.3'!I107/'2.1'!I118,"")</f>
        <v>0.83140569395017794</v>
      </c>
      <c r="J120" s="366">
        <f>IFERROR('2.3'!J107/'2.1'!J118,"")</f>
        <v>0.86626139817629177</v>
      </c>
      <c r="K120" s="366">
        <f>IFERROR('2.3'!K107/'2.1'!K118,"")</f>
        <v>0.83929800412938749</v>
      </c>
      <c r="L120" s="366">
        <f>IFERROR('2.3'!L107/'2.1'!L118,"")</f>
        <v>0.56393129770992367</v>
      </c>
      <c r="M120" s="366">
        <f>IFERROR('2.3'!M107/'2.1'!M118,"")</f>
        <v>0.81352459016393441</v>
      </c>
      <c r="N120" s="366">
        <f>IFERROR('2.3'!N107/'2.1'!N118,"")</f>
        <v>0.64322916666666663</v>
      </c>
      <c r="O120" s="366">
        <f>IFERROR('2.3'!O107/'2.1'!O118,"")</f>
        <v>0.75533617929562435</v>
      </c>
      <c r="P120" s="366">
        <f>IFERROR('2.3'!P107/'2.1'!P118,"")</f>
        <v>0.78470547709266281</v>
      </c>
      <c r="Q120" s="366">
        <f>IFERROR('2.3'!Q107/'2.1'!Q118,"")</f>
        <v>0.7681551646368967</v>
      </c>
      <c r="R120" s="366">
        <f>IFERROR('2.3'!R107/'2.1'!R118,"")</f>
        <v>0.74576271186440679</v>
      </c>
      <c r="S120" s="366">
        <f>IFERROR('2.3'!S107/'2.1'!S118,"")</f>
        <v>0.85858585858585856</v>
      </c>
      <c r="T120" s="366">
        <f>IFERROR('2.3'!T107/'2.1'!T118,"")</f>
        <v>0.79723502304147464</v>
      </c>
      <c r="U120" s="367">
        <f>IFERROR('2.3'!U107/'2.1'!U118,"")</f>
        <v>0.75104719352136273</v>
      </c>
      <c r="V120" s="367">
        <f>IFERROR('2.3'!V107/'2.1'!V118,"")</f>
        <v>0.80279652844744454</v>
      </c>
      <c r="W120" s="367">
        <f>IFERROR('2.3'!W107/'2.1'!W118,"")</f>
        <v>0.77002652519893899</v>
      </c>
    </row>
    <row r="121" spans="2:23" hidden="1" outlineLevel="1" x14ac:dyDescent="0.25">
      <c r="B121" s="362">
        <v>42036</v>
      </c>
      <c r="C121" s="366" t="str">
        <f>IFERROR('2.3'!C108/'2.1'!C119,"")</f>
        <v/>
      </c>
      <c r="D121" s="366" t="str">
        <f>IFERROR('2.3'!D108/'2.1'!D119,"")</f>
        <v/>
      </c>
      <c r="E121" s="366" t="str">
        <f>IFERROR('2.3'!E108/'2.1'!E119,"")</f>
        <v/>
      </c>
      <c r="F121" s="366" t="str">
        <f>IFERROR('2.3'!F108/'2.1'!F119,"")</f>
        <v/>
      </c>
      <c r="G121" s="366" t="str">
        <f>IFERROR('2.3'!G108/'2.1'!G119,"")</f>
        <v/>
      </c>
      <c r="H121" s="366" t="str">
        <f>IFERROR('2.3'!H108/'2.1'!H119,"")</f>
        <v/>
      </c>
      <c r="I121" s="366">
        <f>IFERROR('2.3'!I108/'2.1'!I119,"")</f>
        <v>0.85963114754098358</v>
      </c>
      <c r="J121" s="366">
        <f>IFERROR('2.3'!J108/'2.1'!J119,"")</f>
        <v>0.87175043327556323</v>
      </c>
      <c r="K121" s="366">
        <f>IFERROR('2.3'!K108/'2.1'!K119,"")</f>
        <v>0.86239620403321471</v>
      </c>
      <c r="L121" s="366">
        <f>IFERROR('2.3'!L108/'2.1'!L119,"")</f>
        <v>0.54573484069886946</v>
      </c>
      <c r="M121" s="366">
        <f>IFERROR('2.3'!M108/'2.1'!M119,"")</f>
        <v>0.77701149425287352</v>
      </c>
      <c r="N121" s="366">
        <f>IFERROR('2.3'!N108/'2.1'!N119,"")</f>
        <v>0.6171875</v>
      </c>
      <c r="O121" s="366">
        <f>IFERROR('2.3'!O108/'2.1'!O119,"")</f>
        <v>0.79686593151479979</v>
      </c>
      <c r="P121" s="366">
        <f>IFERROR('2.3'!P108/'2.1'!P119,"")</f>
        <v>0.82010582010582012</v>
      </c>
      <c r="Q121" s="366">
        <f>IFERROR('2.3'!Q108/'2.1'!Q119,"")</f>
        <v>0.80735551663747807</v>
      </c>
      <c r="R121" s="366">
        <f>IFERROR('2.3'!R108/'2.1'!R119,"")</f>
        <v>0.75824175824175821</v>
      </c>
      <c r="S121" s="366">
        <f>IFERROR('2.3'!S108/'2.1'!S119,"")</f>
        <v>0.89411764705882357</v>
      </c>
      <c r="T121" s="366">
        <f>IFERROR('2.3'!T108/'2.1'!T119,"")</f>
        <v>0.82386363636363635</v>
      </c>
      <c r="U121" s="367">
        <f>IFERROR('2.3'!U108/'2.1'!U119,"")</f>
        <v>0.77746827607551838</v>
      </c>
      <c r="V121" s="367">
        <f>IFERROR('2.3'!V108/'2.1'!V119,"")</f>
        <v>0.8245167853509664</v>
      </c>
      <c r="W121" s="367">
        <f>IFERROR('2.3'!W108/'2.1'!W119,"")</f>
        <v>0.79526649990379061</v>
      </c>
    </row>
    <row r="122" spans="2:23" hidden="1" outlineLevel="1" x14ac:dyDescent="0.25">
      <c r="B122" s="362">
        <v>42064</v>
      </c>
      <c r="C122" s="366" t="str">
        <f>IFERROR('2.3'!C109/'2.1'!C120,"")</f>
        <v/>
      </c>
      <c r="D122" s="366" t="str">
        <f>IFERROR('2.3'!D109/'2.1'!D120,"")</f>
        <v/>
      </c>
      <c r="E122" s="366" t="str">
        <f>IFERROR('2.3'!E109/'2.1'!E120,"")</f>
        <v/>
      </c>
      <c r="F122" s="366" t="str">
        <f>IFERROR('2.3'!F109/'2.1'!F120,"")</f>
        <v/>
      </c>
      <c r="G122" s="366" t="str">
        <f>IFERROR('2.3'!G109/'2.1'!G120,"")</f>
        <v/>
      </c>
      <c r="H122" s="366" t="str">
        <f>IFERROR('2.3'!H109/'2.1'!H120,"")</f>
        <v/>
      </c>
      <c r="I122" s="366">
        <f>IFERROR('2.3'!I109/'2.1'!I120,"")</f>
        <v>0.84253393665158371</v>
      </c>
      <c r="J122" s="366">
        <f>IFERROR('2.3'!J109/'2.1'!J120,"")</f>
        <v>0.86535552193645993</v>
      </c>
      <c r="K122" s="366">
        <f>IFERROR('2.3'!K109/'2.1'!K120,"")</f>
        <v>0.84778822709857193</v>
      </c>
      <c r="L122" s="366">
        <f>IFERROR('2.3'!L109/'2.1'!L120,"")</f>
        <v>0.54903536977491962</v>
      </c>
      <c r="M122" s="366">
        <f>IFERROR('2.3'!M109/'2.1'!M120,"")</f>
        <v>0.80148423005565861</v>
      </c>
      <c r="N122" s="366">
        <f>IFERROR('2.3'!N109/'2.1'!N120,"")</f>
        <v>0.62535053280987096</v>
      </c>
      <c r="O122" s="366">
        <f>IFERROR('2.3'!O109/'2.1'!O120,"")</f>
        <v>0.77154452136548102</v>
      </c>
      <c r="P122" s="366">
        <f>IFERROR('2.3'!P109/'2.1'!P120,"")</f>
        <v>0.81221461187214616</v>
      </c>
      <c r="Q122" s="366">
        <f>IFERROR('2.3'!Q109/'2.1'!Q120,"")</f>
        <v>0.79006889379955803</v>
      </c>
      <c r="R122" s="366">
        <f>IFERROR('2.3'!R109/'2.1'!R120,"")</f>
        <v>0.79130434782608694</v>
      </c>
      <c r="S122" s="366">
        <f>IFERROR('2.3'!S109/'2.1'!S120,"")</f>
        <v>0.84745762711864403</v>
      </c>
      <c r="T122" s="366">
        <f>IFERROR('2.3'!T109/'2.1'!T120,"")</f>
        <v>0.81974248927038629</v>
      </c>
      <c r="U122" s="367">
        <f>IFERROR('2.3'!U109/'2.1'!U120,"")</f>
        <v>0.75638051044083532</v>
      </c>
      <c r="V122" s="367">
        <f>IFERROR('2.3'!V109/'2.1'!V120,"")</f>
        <v>0.81916217337204478</v>
      </c>
      <c r="W122" s="367">
        <f>IFERROR('2.3'!W109/'2.1'!W120,"")</f>
        <v>0.7804451510333863</v>
      </c>
    </row>
    <row r="123" spans="2:23" hidden="1" outlineLevel="1" x14ac:dyDescent="0.25">
      <c r="B123" s="362">
        <v>42095</v>
      </c>
      <c r="C123" s="366" t="str">
        <f>IFERROR('2.3'!C110/'2.1'!C121,"")</f>
        <v/>
      </c>
      <c r="D123" s="366" t="str">
        <f>IFERROR('2.3'!D110/'2.1'!D121,"")</f>
        <v/>
      </c>
      <c r="E123" s="366" t="str">
        <f>IFERROR('2.3'!E110/'2.1'!E121,"")</f>
        <v/>
      </c>
      <c r="F123" s="366" t="str">
        <f>IFERROR('2.3'!F110/'2.1'!F121,"")</f>
        <v/>
      </c>
      <c r="G123" s="366" t="str">
        <f>IFERROR('2.3'!G110/'2.1'!G121,"")</f>
        <v/>
      </c>
      <c r="H123" s="366" t="str">
        <f>IFERROR('2.3'!H110/'2.1'!H121,"")</f>
        <v/>
      </c>
      <c r="I123" s="366">
        <f>IFERROR('2.3'!I110/'2.1'!I121,"")</f>
        <v>0.8378812199036918</v>
      </c>
      <c r="J123" s="366">
        <f>IFERROR('2.3'!J110/'2.1'!J121,"")</f>
        <v>0.89455184534270649</v>
      </c>
      <c r="K123" s="366">
        <f>IFERROR('2.3'!K110/'2.1'!K121,"")</f>
        <v>0.85110746513535684</v>
      </c>
      <c r="L123" s="366">
        <f>IFERROR('2.3'!L110/'2.1'!L121,"")</f>
        <v>0.5476419634263715</v>
      </c>
      <c r="M123" s="366">
        <f>IFERROR('2.3'!M110/'2.1'!M121,"")</f>
        <v>0.79958246346555328</v>
      </c>
      <c r="N123" s="366">
        <f>IFERROR('2.3'!N110/'2.1'!N121,"")</f>
        <v>0.62714097496706189</v>
      </c>
      <c r="O123" s="366">
        <f>IFERROR('2.3'!O110/'2.1'!O121,"")</f>
        <v>0.77452054794520553</v>
      </c>
      <c r="P123" s="366">
        <f>IFERROR('2.3'!P110/'2.1'!P121,"")</f>
        <v>0.81568088033012376</v>
      </c>
      <c r="Q123" s="366">
        <f>IFERROR('2.3'!Q110/'2.1'!Q121,"")</f>
        <v>0.79277218664226901</v>
      </c>
      <c r="R123" s="366">
        <f>IFERROR('2.3'!R110/'2.1'!R121,"")</f>
        <v>0.75257731958762886</v>
      </c>
      <c r="S123" s="366">
        <f>IFERROR('2.3'!S110/'2.1'!S121,"")</f>
        <v>0.87096774193548387</v>
      </c>
      <c r="T123" s="366">
        <f>IFERROR('2.3'!T110/'2.1'!T121,"")</f>
        <v>0.81052631578947365</v>
      </c>
      <c r="U123" s="367">
        <f>IFERROR('2.3'!U110/'2.1'!U121,"")</f>
        <v>0.75657400450788881</v>
      </c>
      <c r="V123" s="367">
        <f>IFERROR('2.3'!V110/'2.1'!V121,"")</f>
        <v>0.82612990861941216</v>
      </c>
      <c r="W123" s="367">
        <f>IFERROR('2.3'!W110/'2.1'!W121,"")</f>
        <v>0.78288490284005974</v>
      </c>
    </row>
    <row r="124" spans="2:23" hidden="1" outlineLevel="1" x14ac:dyDescent="0.25">
      <c r="B124" s="362">
        <v>42125</v>
      </c>
      <c r="C124" s="366" t="str">
        <f>IFERROR('2.3'!C111/'2.1'!C122,"")</f>
        <v/>
      </c>
      <c r="D124" s="366" t="str">
        <f>IFERROR('2.3'!D111/'2.1'!D122,"")</f>
        <v/>
      </c>
      <c r="E124" s="366" t="str">
        <f>IFERROR('2.3'!E111/'2.1'!E122,"")</f>
        <v/>
      </c>
      <c r="F124" s="366" t="str">
        <f>IFERROR('2.3'!F111/'2.1'!F122,"")</f>
        <v/>
      </c>
      <c r="G124" s="366" t="str">
        <f>IFERROR('2.3'!G111/'2.1'!G122,"")</f>
        <v/>
      </c>
      <c r="H124" s="366" t="str">
        <f>IFERROR('2.3'!H111/'2.1'!H122,"")</f>
        <v/>
      </c>
      <c r="I124" s="366">
        <f>IFERROR('2.3'!I111/'2.1'!I122,"")</f>
        <v>0.86078199052132698</v>
      </c>
      <c r="J124" s="366">
        <f>IFERROR('2.3'!J111/'2.1'!J122,"")</f>
        <v>0.8908507223113965</v>
      </c>
      <c r="K124" s="366">
        <f>IFERROR('2.3'!K111/'2.1'!K122,"")</f>
        <v>0.86888792730419728</v>
      </c>
      <c r="L124" s="366">
        <f>IFERROR('2.3'!L111/'2.1'!L122,"")</f>
        <v>0.57471264367816088</v>
      </c>
      <c r="M124" s="366">
        <f>IFERROR('2.3'!M111/'2.1'!M122,"")</f>
        <v>0.79591836734693877</v>
      </c>
      <c r="N124" s="366">
        <f>IFERROR('2.3'!N111/'2.1'!N122,"")</f>
        <v>0.63899184581171242</v>
      </c>
      <c r="O124" s="366">
        <f>IFERROR('2.3'!O111/'2.1'!O122,"")</f>
        <v>0.81411192214111927</v>
      </c>
      <c r="P124" s="366">
        <f>IFERROR('2.3'!P111/'2.1'!P122,"")</f>
        <v>0.85908393600701294</v>
      </c>
      <c r="Q124" s="366">
        <f>IFERROR('2.3'!Q111/'2.1'!Q122,"")</f>
        <v>0.83777239709443097</v>
      </c>
      <c r="R124" s="366">
        <f>IFERROR('2.3'!R111/'2.1'!R122,"")</f>
        <v>0.91129032258064513</v>
      </c>
      <c r="S124" s="366">
        <f>IFERROR('2.3'!S111/'2.1'!S122,"")</f>
        <v>0.9107142857142857</v>
      </c>
      <c r="T124" s="366">
        <f>IFERROR('2.3'!T111/'2.1'!T122,"")</f>
        <v>0.91101694915254239</v>
      </c>
      <c r="U124" s="367">
        <f>IFERROR('2.3'!U111/'2.1'!U122,"")</f>
        <v>0.7940107573775258</v>
      </c>
      <c r="V124" s="367">
        <f>IFERROR('2.3'!V111/'2.1'!V122,"")</f>
        <v>0.85922671353251323</v>
      </c>
      <c r="W124" s="367">
        <f>IFERROR('2.3'!W111/'2.1'!W122,"")</f>
        <v>0.82353409181319115</v>
      </c>
    </row>
    <row r="125" spans="2:23" hidden="1" outlineLevel="1" x14ac:dyDescent="0.25">
      <c r="B125" s="362">
        <v>42156</v>
      </c>
      <c r="C125" s="366" t="str">
        <f>IFERROR('2.3'!C112/'2.1'!C123,"")</f>
        <v/>
      </c>
      <c r="D125" s="366" t="str">
        <f>IFERROR('2.3'!D112/'2.1'!D123,"")</f>
        <v/>
      </c>
      <c r="E125" s="366" t="str">
        <f>IFERROR('2.3'!E112/'2.1'!E123,"")</f>
        <v/>
      </c>
      <c r="F125" s="366" t="str">
        <f>IFERROR('2.3'!F112/'2.1'!F123,"")</f>
        <v/>
      </c>
      <c r="G125" s="366" t="str">
        <f>IFERROR('2.3'!G112/'2.1'!G123,"")</f>
        <v/>
      </c>
      <c r="H125" s="366" t="str">
        <f>IFERROR('2.3'!H112/'2.1'!H123,"")</f>
        <v/>
      </c>
      <c r="I125" s="366">
        <f>IFERROR('2.3'!I112/'2.1'!I123,"")</f>
        <v>0.83479212253829327</v>
      </c>
      <c r="J125" s="366">
        <f>IFERROR('2.3'!J112/'2.1'!J123,"")</f>
        <v>0.84514003294892914</v>
      </c>
      <c r="K125" s="366">
        <f>IFERROR('2.3'!K112/'2.1'!K123,"")</f>
        <v>0.83737166324435319</v>
      </c>
      <c r="L125" s="366">
        <f>IFERROR('2.3'!L112/'2.1'!L123,"")</f>
        <v>0.56003937007874016</v>
      </c>
      <c r="M125" s="366">
        <f>IFERROR('2.3'!M112/'2.1'!M123,"")</f>
        <v>0.8</v>
      </c>
      <c r="N125" s="366">
        <f>IFERROR('2.3'!N112/'2.1'!N123,"")</f>
        <v>0.63369713506139158</v>
      </c>
      <c r="O125" s="366">
        <f>IFERROR('2.3'!O112/'2.1'!O123,"")</f>
        <v>0.79056190707856966</v>
      </c>
      <c r="P125" s="366">
        <f>IFERROR('2.3'!P112/'2.1'!P123,"")</f>
        <v>0.83247909360669003</v>
      </c>
      <c r="Q125" s="366">
        <f>IFERROR('2.3'!Q112/'2.1'!Q123,"")</f>
        <v>0.81043745203376827</v>
      </c>
      <c r="R125" s="366">
        <f>IFERROR('2.3'!R112/'2.1'!R123,"")</f>
        <v>0.80180180180180183</v>
      </c>
      <c r="S125" s="366">
        <f>IFERROR('2.3'!S112/'2.1'!S123,"")</f>
        <v>0.84297520661157022</v>
      </c>
      <c r="T125" s="366">
        <f>IFERROR('2.3'!T112/'2.1'!T123,"")</f>
        <v>0.82327586206896552</v>
      </c>
      <c r="U125" s="367">
        <f>IFERROR('2.3'!U112/'2.1'!U123,"")</f>
        <v>0.76903481460515144</v>
      </c>
      <c r="V125" s="367">
        <f>IFERROR('2.3'!V112/'2.1'!V123,"")</f>
        <v>0.83132036847492319</v>
      </c>
      <c r="W125" s="367">
        <f>IFERROR('2.3'!W112/'2.1'!W123,"")</f>
        <v>0.79449418458706389</v>
      </c>
    </row>
    <row r="126" spans="2:23" hidden="1" outlineLevel="1" x14ac:dyDescent="0.25">
      <c r="B126" s="362">
        <v>42186</v>
      </c>
      <c r="C126" s="366" t="str">
        <f>IFERROR('2.3'!C113/'2.1'!C124,"")</f>
        <v/>
      </c>
      <c r="D126" s="366" t="str">
        <f>IFERROR('2.3'!D113/'2.1'!D124,"")</f>
        <v/>
      </c>
      <c r="E126" s="366" t="str">
        <f>IFERROR('2.3'!E113/'2.1'!E124,"")</f>
        <v/>
      </c>
      <c r="F126" s="366" t="str">
        <f>IFERROR('2.3'!F113/'2.1'!F124,"")</f>
        <v/>
      </c>
      <c r="G126" s="366" t="str">
        <f>IFERROR('2.3'!G113/'2.1'!G124,"")</f>
        <v/>
      </c>
      <c r="H126" s="366" t="str">
        <f>IFERROR('2.3'!H113/'2.1'!H124,"")</f>
        <v/>
      </c>
      <c r="I126" s="366">
        <f>IFERROR('2.3'!I113/'2.1'!I124,"")</f>
        <v>0.81867858917039249</v>
      </c>
      <c r="J126" s="366">
        <f>IFERROR('2.3'!J113/'2.1'!J124,"")</f>
        <v>0.87303851640513552</v>
      </c>
      <c r="K126" s="366">
        <f>IFERROR('2.3'!K113/'2.1'!K124,"")</f>
        <v>0.83271923360353717</v>
      </c>
      <c r="L126" s="366">
        <f>IFERROR('2.3'!L113/'2.1'!L124,"")</f>
        <v>0.54223433242506813</v>
      </c>
      <c r="M126" s="366">
        <f>IFERROR('2.3'!M113/'2.1'!M124,"")</f>
        <v>0.77844311377245512</v>
      </c>
      <c r="N126" s="366">
        <f>IFERROR('2.3'!N113/'2.1'!N124,"")</f>
        <v>0.61610486891385763</v>
      </c>
      <c r="O126" s="366">
        <f>IFERROR('2.3'!O113/'2.1'!O124,"")</f>
        <v>0.77782571182053495</v>
      </c>
      <c r="P126" s="366">
        <f>IFERROR('2.3'!P113/'2.1'!P124,"")</f>
        <v>0.81148018648018649</v>
      </c>
      <c r="Q126" s="366">
        <f>IFERROR('2.3'!Q113/'2.1'!Q124,"")</f>
        <v>0.79214179474467028</v>
      </c>
      <c r="R126" s="366">
        <f>IFERROR('2.3'!R113/'2.1'!R124,"")</f>
        <v>0.72566371681415931</v>
      </c>
      <c r="S126" s="366">
        <f>IFERROR('2.3'!S113/'2.1'!S124,"")</f>
        <v>0.84</v>
      </c>
      <c r="T126" s="366">
        <f>IFERROR('2.3'!T113/'2.1'!T124,"")</f>
        <v>0.77934272300469487</v>
      </c>
      <c r="U126" s="367">
        <f>IFERROR('2.3'!U113/'2.1'!U124,"")</f>
        <v>0.75454661070838103</v>
      </c>
      <c r="V126" s="367">
        <f>IFERROR('2.3'!V113/'2.1'!V124,"")</f>
        <v>0.81770173215040132</v>
      </c>
      <c r="W126" s="367">
        <f>IFERROR('2.3'!W113/'2.1'!W124,"")</f>
        <v>0.77828054298642535</v>
      </c>
    </row>
    <row r="127" spans="2:23" hidden="1" outlineLevel="1" x14ac:dyDescent="0.25">
      <c r="B127" s="362">
        <v>42217</v>
      </c>
      <c r="C127" s="366" t="str">
        <f>IFERROR('2.3'!C114/'2.1'!C125,"")</f>
        <v/>
      </c>
      <c r="D127" s="366" t="str">
        <f>IFERROR('2.3'!D114/'2.1'!D125,"")</f>
        <v/>
      </c>
      <c r="E127" s="366" t="str">
        <f>IFERROR('2.3'!E114/'2.1'!E125,"")</f>
        <v/>
      </c>
      <c r="F127" s="366" t="str">
        <f>IFERROR('2.3'!F114/'2.1'!F125,"")</f>
        <v/>
      </c>
      <c r="G127" s="366" t="str">
        <f>IFERROR('2.3'!G114/'2.1'!G125,"")</f>
        <v/>
      </c>
      <c r="H127" s="366" t="str">
        <f>IFERROR('2.3'!H114/'2.1'!H125,"")</f>
        <v/>
      </c>
      <c r="I127" s="366">
        <f>IFERROR('2.3'!I114/'2.1'!I125,"")</f>
        <v>0.85017249876786594</v>
      </c>
      <c r="J127" s="366">
        <f>IFERROR('2.3'!J114/'2.1'!J125,"")</f>
        <v>0.88091603053435119</v>
      </c>
      <c r="K127" s="366">
        <f>IFERROR('2.3'!K114/'2.1'!K125,"")</f>
        <v>0.85767511177347244</v>
      </c>
      <c r="L127" s="366">
        <f>IFERROR('2.3'!L114/'2.1'!L125,"")</f>
        <v>0.55225225225225227</v>
      </c>
      <c r="M127" s="366">
        <f>IFERROR('2.3'!M114/'2.1'!M125,"")</f>
        <v>0.77066115702479343</v>
      </c>
      <c r="N127" s="366">
        <f>IFERROR('2.3'!N114/'2.1'!N125,"")</f>
        <v>0.61856963613550819</v>
      </c>
      <c r="O127" s="366">
        <f>IFERROR('2.3'!O114/'2.1'!O125,"")</f>
        <v>0.79331941544885176</v>
      </c>
      <c r="P127" s="366">
        <f>IFERROR('2.3'!P114/'2.1'!P125,"")</f>
        <v>0.83741781231320978</v>
      </c>
      <c r="Q127" s="366">
        <f>IFERROR('2.3'!Q114/'2.1'!Q125,"")</f>
        <v>0.81258978712289409</v>
      </c>
      <c r="R127" s="366">
        <f>IFERROR('2.3'!R114/'2.1'!R125,"")</f>
        <v>0.85185185185185186</v>
      </c>
      <c r="S127" s="366">
        <f>IFERROR('2.3'!S114/'2.1'!S125,"")</f>
        <v>0.87755102040816324</v>
      </c>
      <c r="T127" s="366">
        <f>IFERROR('2.3'!T114/'2.1'!T125,"")</f>
        <v>0.86407766990291257</v>
      </c>
      <c r="U127" s="367">
        <f>IFERROR('2.3'!U114/'2.1'!U125,"")</f>
        <v>0.77401428949457529</v>
      </c>
      <c r="V127" s="367">
        <f>IFERROR('2.3'!V114/'2.1'!V125,"")</f>
        <v>0.83744272310713508</v>
      </c>
      <c r="W127" s="367">
        <f>IFERROR('2.3'!W114/'2.1'!W125,"")</f>
        <v>0.7979573346511819</v>
      </c>
    </row>
    <row r="128" spans="2:23" hidden="1" outlineLevel="1" x14ac:dyDescent="0.25">
      <c r="B128" s="362">
        <v>42248</v>
      </c>
      <c r="C128" s="366" t="str">
        <f>IFERROR('2.3'!C115/'2.1'!C126,"")</f>
        <v/>
      </c>
      <c r="D128" s="366" t="str">
        <f>IFERROR('2.3'!D115/'2.1'!D126,"")</f>
        <v/>
      </c>
      <c r="E128" s="366" t="str">
        <f>IFERROR('2.3'!E115/'2.1'!E126,"")</f>
        <v/>
      </c>
      <c r="F128" s="366" t="str">
        <f>IFERROR('2.3'!F115/'2.1'!F126,"")</f>
        <v/>
      </c>
      <c r="G128" s="366" t="str">
        <f>IFERROR('2.3'!G115/'2.1'!G126,"")</f>
        <v/>
      </c>
      <c r="H128" s="366" t="str">
        <f>IFERROR('2.3'!H115/'2.1'!H126,"")</f>
        <v/>
      </c>
      <c r="I128" s="366">
        <f>IFERROR('2.3'!I115/'2.1'!I126,"")</f>
        <v>0.83586626139817632</v>
      </c>
      <c r="J128" s="366">
        <f>IFERROR('2.3'!J115/'2.1'!J126,"")</f>
        <v>0.87878787878787878</v>
      </c>
      <c r="K128" s="366">
        <f>IFERROR('2.3'!K115/'2.1'!K126,"")</f>
        <v>0.84621299500192237</v>
      </c>
      <c r="L128" s="366">
        <f>IFERROR('2.3'!L115/'2.1'!L126,"")</f>
        <v>0.57706422018348624</v>
      </c>
      <c r="M128" s="366">
        <f>IFERROR('2.3'!M115/'2.1'!M126,"")</f>
        <v>0.77389705882352944</v>
      </c>
      <c r="N128" s="366">
        <f>IFERROR('2.3'!N115/'2.1'!N126,"")</f>
        <v>0.64259485924112603</v>
      </c>
      <c r="O128" s="366">
        <f>IFERROR('2.3'!O115/'2.1'!O126,"")</f>
        <v>0.78559543617779892</v>
      </c>
      <c r="P128" s="366">
        <f>IFERROR('2.3'!P115/'2.1'!P126,"")</f>
        <v>0.82770066385033192</v>
      </c>
      <c r="Q128" s="366">
        <f>IFERROR('2.3'!Q115/'2.1'!Q126,"")</f>
        <v>0.8041483845233347</v>
      </c>
      <c r="R128" s="366">
        <f>IFERROR('2.3'!R115/'2.1'!R126,"")</f>
        <v>0.86250000000000004</v>
      </c>
      <c r="S128" s="366">
        <f>IFERROR('2.3'!S115/'2.1'!S126,"")</f>
        <v>0.80952380952380953</v>
      </c>
      <c r="T128" s="366">
        <f>IFERROR('2.3'!T115/'2.1'!T126,"")</f>
        <v>0.83536585365853655</v>
      </c>
      <c r="U128" s="367">
        <f>IFERROR('2.3'!U115/'2.1'!U126,"")</f>
        <v>0.76901101890899193</v>
      </c>
      <c r="V128" s="367">
        <f>IFERROR('2.3'!V115/'2.1'!V126,"")</f>
        <v>0.8279711096520026</v>
      </c>
      <c r="W128" s="367">
        <f>IFERROR('2.3'!W115/'2.1'!W126,"")</f>
        <v>0.79161073825503359</v>
      </c>
    </row>
    <row r="129" spans="2:23" hidden="1" outlineLevel="1" x14ac:dyDescent="0.25">
      <c r="B129" s="362">
        <v>42278</v>
      </c>
      <c r="C129" s="366" t="str">
        <f>IFERROR('2.3'!C116/'2.1'!C127,"")</f>
        <v/>
      </c>
      <c r="D129" s="366" t="str">
        <f>IFERROR('2.3'!D116/'2.1'!D127,"")</f>
        <v/>
      </c>
      <c r="E129" s="366" t="str">
        <f>IFERROR('2.3'!E116/'2.1'!E127,"")</f>
        <v/>
      </c>
      <c r="F129" s="366" t="str">
        <f>IFERROR('2.3'!F116/'2.1'!F127,"")</f>
        <v/>
      </c>
      <c r="G129" s="366" t="str">
        <f>IFERROR('2.3'!G116/'2.1'!G127,"")</f>
        <v/>
      </c>
      <c r="H129" s="366" t="str">
        <f>IFERROR('2.3'!H116/'2.1'!H127,"")</f>
        <v/>
      </c>
      <c r="I129" s="366">
        <f>IFERROR('2.3'!I116/'2.1'!I127,"")</f>
        <v>0.82132424537487825</v>
      </c>
      <c r="J129" s="366">
        <f>IFERROR('2.3'!J116/'2.1'!J127,"")</f>
        <v>0.86906474820143886</v>
      </c>
      <c r="K129" s="366">
        <f>IFERROR('2.3'!K116/'2.1'!K127,"")</f>
        <v>0.8333939614405238</v>
      </c>
      <c r="L129" s="366">
        <f>IFERROR('2.3'!L116/'2.1'!L127,"")</f>
        <v>0.55774395702775292</v>
      </c>
      <c r="M129" s="366">
        <f>IFERROR('2.3'!M116/'2.1'!M127,"")</f>
        <v>0.8026030368763557</v>
      </c>
      <c r="N129" s="366">
        <f>IFERROR('2.3'!N116/'2.1'!N127,"")</f>
        <v>0.62927756653992395</v>
      </c>
      <c r="O129" s="366">
        <f>IFERROR('2.3'!O116/'2.1'!O127,"")</f>
        <v>0.76488513830285987</v>
      </c>
      <c r="P129" s="366">
        <f>IFERROR('2.3'!P116/'2.1'!P127,"")</f>
        <v>0.82447466007416559</v>
      </c>
      <c r="Q129" s="366">
        <f>IFERROR('2.3'!Q116/'2.1'!Q127,"")</f>
        <v>0.79058917621967473</v>
      </c>
      <c r="R129" s="366">
        <f>IFERROR('2.3'!R116/'2.1'!R127,"")</f>
        <v>0.84210526315789469</v>
      </c>
      <c r="S129" s="366">
        <f>IFERROR('2.3'!S116/'2.1'!S127,"")</f>
        <v>0.82692307692307687</v>
      </c>
      <c r="T129" s="366">
        <f>IFERROR('2.3'!T116/'2.1'!T127,"")</f>
        <v>0.83486238532110091</v>
      </c>
      <c r="U129" s="367">
        <f>IFERROR('2.3'!U116/'2.1'!U127,"")</f>
        <v>0.75076148854456359</v>
      </c>
      <c r="V129" s="367">
        <f>IFERROR('2.3'!V116/'2.1'!V127,"")</f>
        <v>0.8291814946619217</v>
      </c>
      <c r="W129" s="367">
        <f>IFERROR('2.3'!W116/'2.1'!W127,"")</f>
        <v>0.78002822279405659</v>
      </c>
    </row>
    <row r="130" spans="2:23" hidden="1" outlineLevel="1" x14ac:dyDescent="0.25">
      <c r="B130" s="362">
        <v>42309</v>
      </c>
      <c r="C130" s="366" t="str">
        <f>IFERROR('2.3'!C117/'2.1'!C128,"")</f>
        <v/>
      </c>
      <c r="D130" s="366" t="str">
        <f>IFERROR('2.3'!D117/'2.1'!D128,"")</f>
        <v/>
      </c>
      <c r="E130" s="366" t="str">
        <f>IFERROR('2.3'!E117/'2.1'!E128,"")</f>
        <v/>
      </c>
      <c r="F130" s="366" t="str">
        <f>IFERROR('2.3'!F117/'2.1'!F128,"")</f>
        <v/>
      </c>
      <c r="G130" s="366" t="str">
        <f>IFERROR('2.3'!G117/'2.1'!G128,"")</f>
        <v/>
      </c>
      <c r="H130" s="366" t="str">
        <f>IFERROR('2.3'!H117/'2.1'!H128,"")</f>
        <v/>
      </c>
      <c r="I130" s="366">
        <f>IFERROR('2.3'!I117/'2.1'!I128,"")</f>
        <v>0.85034373347435221</v>
      </c>
      <c r="J130" s="366">
        <f>IFERROR('2.3'!J117/'2.1'!J128,"")</f>
        <v>0.8900144717800289</v>
      </c>
      <c r="K130" s="366">
        <f>IFERROR('2.3'!K117/'2.1'!K128,"")</f>
        <v>0.86096049573973665</v>
      </c>
      <c r="L130" s="366">
        <f>IFERROR('2.3'!L117/'2.1'!L128,"")</f>
        <v>0.55828220858895705</v>
      </c>
      <c r="M130" s="366">
        <f>IFERROR('2.3'!M117/'2.1'!M128,"")</f>
        <v>0.77393075356415475</v>
      </c>
      <c r="N130" s="366">
        <f>IFERROR('2.3'!N117/'2.1'!N128,"")</f>
        <v>0.62316176470588236</v>
      </c>
      <c r="O130" s="366">
        <f>IFERROR('2.3'!O117/'2.1'!O128,"")</f>
        <v>0.79639639639639637</v>
      </c>
      <c r="P130" s="366">
        <f>IFERROR('2.3'!P117/'2.1'!P128,"")</f>
        <v>0.84126984126984128</v>
      </c>
      <c r="Q130" s="366">
        <f>IFERROR('2.3'!Q117/'2.1'!Q128,"")</f>
        <v>0.81646121280039841</v>
      </c>
      <c r="R130" s="366">
        <f>IFERROR('2.3'!R117/'2.1'!R128,"")</f>
        <v>0.81308411214953269</v>
      </c>
      <c r="S130" s="366">
        <f>IFERROR('2.3'!S117/'2.1'!S128,"")</f>
        <v>0.8839285714285714</v>
      </c>
      <c r="T130" s="366">
        <f>IFERROR('2.3'!T117/'2.1'!T128,"")</f>
        <v>0.84931506849315064</v>
      </c>
      <c r="U130" s="367">
        <f>IFERROR('2.3'!U117/'2.1'!U128,"")</f>
        <v>0.77424462330122712</v>
      </c>
      <c r="V130" s="367">
        <f>IFERROR('2.3'!V117/'2.1'!V128,"")</f>
        <v>0.84237461617195497</v>
      </c>
      <c r="W130" s="367">
        <f>IFERROR('2.3'!W117/'2.1'!W128,"")</f>
        <v>0.80094672657252886</v>
      </c>
    </row>
    <row r="131" spans="2:23" hidden="1" outlineLevel="1" x14ac:dyDescent="0.25">
      <c r="B131" s="362">
        <v>42339</v>
      </c>
      <c r="C131" s="366" t="str">
        <f>IFERROR('2.3'!C118/'2.1'!C129,"")</f>
        <v/>
      </c>
      <c r="D131" s="366" t="str">
        <f>IFERROR('2.3'!D118/'2.1'!D129,"")</f>
        <v/>
      </c>
      <c r="E131" s="366" t="str">
        <f>IFERROR('2.3'!E118/'2.1'!E129,"")</f>
        <v/>
      </c>
      <c r="F131" s="366" t="str">
        <f>IFERROR('2.3'!F118/'2.1'!F129,"")</f>
        <v/>
      </c>
      <c r="G131" s="366" t="str">
        <f>IFERROR('2.3'!G118/'2.1'!G129,"")</f>
        <v/>
      </c>
      <c r="H131" s="366" t="str">
        <f>IFERROR('2.3'!H118/'2.1'!H129,"")</f>
        <v/>
      </c>
      <c r="I131" s="366">
        <f>IFERROR('2.3'!I118/'2.1'!I129,"")</f>
        <v>0.84638196915776986</v>
      </c>
      <c r="J131" s="366">
        <f>IFERROR('2.3'!J118/'2.1'!J129,"")</f>
        <v>0.8994413407821229</v>
      </c>
      <c r="K131" s="366">
        <f>IFERROR('2.3'!K118/'2.1'!K129,"")</f>
        <v>0.85919928025191183</v>
      </c>
      <c r="L131" s="366">
        <f>IFERROR('2.3'!L118/'2.1'!L129,"")</f>
        <v>0.59334006054490418</v>
      </c>
      <c r="M131" s="366">
        <f>IFERROR('2.3'!M118/'2.1'!M129,"")</f>
        <v>0.80472103004291851</v>
      </c>
      <c r="N131" s="366">
        <f>IFERROR('2.3'!N118/'2.1'!N129,"")</f>
        <v>0.66094715168153739</v>
      </c>
      <c r="O131" s="366">
        <f>IFERROR('2.3'!O118/'2.1'!O129,"")</f>
        <v>0.76065022421524664</v>
      </c>
      <c r="P131" s="366">
        <f>IFERROR('2.3'!P118/'2.1'!P129,"")</f>
        <v>0.79383969198459925</v>
      </c>
      <c r="Q131" s="366">
        <f>IFERROR('2.3'!Q118/'2.1'!Q129,"")</f>
        <v>0.77540856031128402</v>
      </c>
      <c r="R131" s="366">
        <f>IFERROR('2.3'!R118/'2.1'!R129,"")</f>
        <v>0.78899082568807344</v>
      </c>
      <c r="S131" s="366">
        <f>IFERROR('2.3'!S118/'2.1'!S129,"")</f>
        <v>0.875</v>
      </c>
      <c r="T131" s="366">
        <f>IFERROR('2.3'!T118/'2.1'!T129,"")</f>
        <v>0.82741116751269039</v>
      </c>
      <c r="U131" s="367">
        <f>IFERROR('2.3'!U118/'2.1'!U129,"")</f>
        <v>0.75779036827195467</v>
      </c>
      <c r="V131" s="367">
        <f>IFERROR('2.3'!V118/'2.1'!V129,"")</f>
        <v>0.81129685916919958</v>
      </c>
      <c r="W131" s="367">
        <f>IFERROR('2.3'!W118/'2.1'!W129,"")</f>
        <v>0.77829547660648413</v>
      </c>
    </row>
    <row r="132" spans="2:23" collapsed="1" x14ac:dyDescent="0.25">
      <c r="B132" s="364" t="s">
        <v>706</v>
      </c>
      <c r="C132" s="367" t="str">
        <f>IFERROR('2.3'!C119/'2.1'!C130,"")</f>
        <v/>
      </c>
      <c r="D132" s="367" t="str">
        <f>IFERROR('2.3'!D119/'2.1'!D130,"")</f>
        <v/>
      </c>
      <c r="E132" s="367" t="str">
        <f>IFERROR('2.3'!E119/'2.1'!E130,"")</f>
        <v/>
      </c>
      <c r="F132" s="367" t="str">
        <f>IFERROR('2.3'!F119/'2.1'!F130,"")</f>
        <v/>
      </c>
      <c r="G132" s="367" t="str">
        <f>IFERROR('2.3'!G119/'2.1'!G130,"")</f>
        <v/>
      </c>
      <c r="H132" s="367" t="str">
        <f>IFERROR('2.3'!H119/'2.1'!H130,"")</f>
        <v/>
      </c>
      <c r="I132" s="367">
        <f>IFERROR('2.3'!I119/'2.1'!I130,"")</f>
        <v>0.84032753326509724</v>
      </c>
      <c r="J132" s="367">
        <f>IFERROR('2.3'!J119/'2.1'!J130,"")</f>
        <v>0.87677725118483407</v>
      </c>
      <c r="K132" s="367">
        <f>IFERROR('2.3'!K119/'2.1'!K130,"")</f>
        <v>0.84924623115577891</v>
      </c>
      <c r="L132" s="367">
        <f>IFERROR('2.3'!L119/'2.1'!L130,"")</f>
        <v>0.55940130963517309</v>
      </c>
      <c r="M132" s="367">
        <f>IFERROR('2.3'!M119/'2.1'!M130,"")</f>
        <v>0.79079497907949792</v>
      </c>
      <c r="N132" s="367">
        <f>IFERROR('2.3'!N119/'2.1'!N130,"")</f>
        <v>0.63130659767141006</v>
      </c>
      <c r="O132" s="367">
        <f>IFERROR('2.3'!O119/'2.1'!O130,"")</f>
        <v>0.78210500369731328</v>
      </c>
      <c r="P132" s="367">
        <f>IFERROR('2.3'!P119/'2.1'!P130,"")</f>
        <v>0.82388059701492533</v>
      </c>
      <c r="Q132" s="367">
        <f>IFERROR('2.3'!Q119/'2.1'!Q130,"")</f>
        <v>0.80099905494802215</v>
      </c>
      <c r="R132" s="367">
        <f>IFERROR('2.3'!R119/'2.1'!R130,"")</f>
        <v>0.80373831775700932</v>
      </c>
      <c r="S132" s="367">
        <f>IFERROR('2.3'!S119/'2.1'!S130,"")</f>
        <v>0.86138613861386137</v>
      </c>
      <c r="T132" s="367">
        <f>IFERROR('2.3'!T119/'2.1'!T130,"")</f>
        <v>0.83173076923076927</v>
      </c>
      <c r="U132" s="367">
        <f>IFERROR('2.3'!U119/'2.1'!U130,"")</f>
        <v>0.76513148740781967</v>
      </c>
      <c r="V132" s="367">
        <f>IFERROR('2.3'!V119/'2.1'!V130,"")</f>
        <v>0.82858395440596233</v>
      </c>
      <c r="W132" s="367">
        <f>IFERROR('2.3'!W119/'2.1'!W130,"")</f>
        <v>0.78983656792645551</v>
      </c>
    </row>
    <row r="133" spans="2:23" hidden="1" outlineLevel="1" x14ac:dyDescent="0.25">
      <c r="B133" s="362">
        <v>42370</v>
      </c>
      <c r="C133" s="366" t="str">
        <f>IFERROR('2.3'!C120/'2.1'!C131,"")</f>
        <v/>
      </c>
      <c r="D133" s="366" t="str">
        <f>IFERROR('2.3'!D120/'2.1'!D131,"")</f>
        <v/>
      </c>
      <c r="E133" s="366" t="str">
        <f>IFERROR('2.3'!E120/'2.1'!E131,"")</f>
        <v/>
      </c>
      <c r="F133" s="366" t="str">
        <f>IFERROR('2.3'!F120/'2.1'!F131,"")</f>
        <v/>
      </c>
      <c r="G133" s="366" t="str">
        <f>IFERROR('2.3'!G120/'2.1'!G131,"")</f>
        <v/>
      </c>
      <c r="H133" s="366" t="str">
        <f>IFERROR('2.3'!H120/'2.1'!H131,"")</f>
        <v/>
      </c>
      <c r="I133" s="366">
        <f>IFERROR('2.3'!I120/'2.1'!I131,"")</f>
        <v>0.80989272943980928</v>
      </c>
      <c r="J133" s="366">
        <f>IFERROR('2.3'!J120/'2.1'!J131,"")</f>
        <v>0.84242424242424241</v>
      </c>
      <c r="K133" s="366">
        <f>IFERROR('2.3'!K120/'2.1'!K131,"")</f>
        <v>0.81730326737229642</v>
      </c>
      <c r="L133" s="366">
        <f>IFERROR('2.3'!L120/'2.1'!L131,"")</f>
        <v>0.60019646365422397</v>
      </c>
      <c r="M133" s="366">
        <f>IFERROR('2.3'!M120/'2.1'!M131,"")</f>
        <v>0.78838174273858919</v>
      </c>
      <c r="N133" s="366">
        <f>IFERROR('2.3'!N120/'2.1'!N131,"")</f>
        <v>0.66066666666666662</v>
      </c>
      <c r="O133" s="366">
        <f>IFERROR('2.3'!O120/'2.1'!O131,"")</f>
        <v>0.71641371557054523</v>
      </c>
      <c r="P133" s="366">
        <f>IFERROR('2.3'!P120/'2.1'!P131,"")</f>
        <v>0.78078078078078073</v>
      </c>
      <c r="Q133" s="366">
        <f>IFERROR('2.3'!Q120/'2.1'!Q131,"")</f>
        <v>0.74397299903567982</v>
      </c>
      <c r="R133" s="366">
        <f>IFERROR('2.3'!R120/'2.1'!R131,"")</f>
        <v>0.82758620689655171</v>
      </c>
      <c r="S133" s="366">
        <f>IFERROR('2.3'!S120/'2.1'!S131,"")</f>
        <v>0.81481481481481477</v>
      </c>
      <c r="T133" s="366">
        <f>IFERROR('2.3'!T120/'2.1'!T131,"")</f>
        <v>0.8214285714285714</v>
      </c>
      <c r="U133" s="367">
        <f>IFERROR('2.3'!U120/'2.1'!U131,"")</f>
        <v>0.72448979591836737</v>
      </c>
      <c r="V133" s="367">
        <f>IFERROR('2.3'!V120/'2.1'!V131,"")</f>
        <v>0.79087756735129366</v>
      </c>
      <c r="W133" s="367">
        <f>IFERROR('2.3'!W120/'2.1'!W131,"")</f>
        <v>0.74908587805119087</v>
      </c>
    </row>
    <row r="134" spans="2:23" hidden="1" outlineLevel="1" x14ac:dyDescent="0.25">
      <c r="B134" s="362">
        <v>42401</v>
      </c>
      <c r="C134" s="366" t="str">
        <f>IFERROR('2.3'!C121/'2.1'!C132,"")</f>
        <v/>
      </c>
      <c r="D134" s="366" t="str">
        <f>IFERROR('2.3'!D121/'2.1'!D132,"")</f>
        <v/>
      </c>
      <c r="E134" s="366" t="str">
        <f>IFERROR('2.3'!E121/'2.1'!E132,"")</f>
        <v/>
      </c>
      <c r="F134" s="366" t="str">
        <f>IFERROR('2.3'!F121/'2.1'!F132,"")</f>
        <v/>
      </c>
      <c r="G134" s="366" t="str">
        <f>IFERROR('2.3'!G121/'2.1'!G132,"")</f>
        <v/>
      </c>
      <c r="H134" s="366" t="str">
        <f>IFERROR('2.3'!H121/'2.1'!H132,"")</f>
        <v/>
      </c>
      <c r="I134" s="366">
        <f>IFERROR('2.3'!I121/'2.1'!I132,"")</f>
        <v>0.7784921098772648</v>
      </c>
      <c r="J134" s="366">
        <f>IFERROR('2.3'!J121/'2.1'!J132,"")</f>
        <v>0.85964912280701755</v>
      </c>
      <c r="K134" s="366">
        <f>IFERROR('2.3'!K121/'2.1'!K132,"")</f>
        <v>0.79721223021582732</v>
      </c>
      <c r="L134" s="366">
        <f>IFERROR('2.3'!L121/'2.1'!L132,"")</f>
        <v>0.57260556127703399</v>
      </c>
      <c r="M134" s="366">
        <f>IFERROR('2.3'!M121/'2.1'!M132,"")</f>
        <v>0.76851851851851849</v>
      </c>
      <c r="N134" s="366">
        <f>IFERROR('2.3'!N121/'2.1'!N132,"")</f>
        <v>0.63292943692088377</v>
      </c>
      <c r="O134" s="366">
        <f>IFERROR('2.3'!O121/'2.1'!O132,"")</f>
        <v>0.72278481012658224</v>
      </c>
      <c r="P134" s="366">
        <f>IFERROR('2.3'!P121/'2.1'!P132,"")</f>
        <v>0.76507713884992989</v>
      </c>
      <c r="Q134" s="366">
        <f>IFERROR('2.3'!Q121/'2.1'!Q132,"")</f>
        <v>0.74051749485445462</v>
      </c>
      <c r="R134" s="366">
        <f>IFERROR('2.3'!R121/'2.1'!R132,"")</f>
        <v>0.84552845528455289</v>
      </c>
      <c r="S134" s="366">
        <f>IFERROR('2.3'!S121/'2.1'!S132,"")</f>
        <v>0.87096774193548387</v>
      </c>
      <c r="T134" s="366">
        <f>IFERROR('2.3'!T121/'2.1'!T132,"")</f>
        <v>0.85648148148148151</v>
      </c>
      <c r="U134" s="367">
        <f>IFERROR('2.3'!U121/'2.1'!U132,"")</f>
        <v>0.7175425610658771</v>
      </c>
      <c r="V134" s="367">
        <f>IFERROR('2.3'!V121/'2.1'!V132,"")</f>
        <v>0.78046272493573265</v>
      </c>
      <c r="W134" s="367">
        <f>IFERROR('2.3'!W121/'2.1'!W132,"")</f>
        <v>0.7405354626585251</v>
      </c>
    </row>
    <row r="135" spans="2:23" hidden="1" outlineLevel="1" x14ac:dyDescent="0.25">
      <c r="B135" s="362">
        <v>42430</v>
      </c>
      <c r="C135" s="366" t="str">
        <f>IFERROR('2.3'!C122/'2.1'!C133,"")</f>
        <v/>
      </c>
      <c r="D135" s="366" t="str">
        <f>IFERROR('2.3'!D122/'2.1'!D133,"")</f>
        <v/>
      </c>
      <c r="E135" s="366" t="str">
        <f>IFERROR('2.3'!E122/'2.1'!E133,"")</f>
        <v/>
      </c>
      <c r="F135" s="366" t="str">
        <f>IFERROR('2.3'!F122/'2.1'!F133,"")</f>
        <v/>
      </c>
      <c r="G135" s="366" t="str">
        <f>IFERROR('2.3'!G122/'2.1'!G133,"")</f>
        <v/>
      </c>
      <c r="H135" s="366" t="str">
        <f>IFERROR('2.3'!H122/'2.1'!H133,"")</f>
        <v/>
      </c>
      <c r="I135" s="366">
        <f>IFERROR('2.3'!I122/'2.1'!I133,"")</f>
        <v>0.79691799669785357</v>
      </c>
      <c r="J135" s="366">
        <f>IFERROR('2.3'!J122/'2.1'!J133,"")</f>
        <v>0.87992495309568475</v>
      </c>
      <c r="K135" s="366">
        <f>IFERROR('2.3'!K122/'2.1'!K133,"")</f>
        <v>0.81574468085106377</v>
      </c>
      <c r="L135" s="366">
        <f>IFERROR('2.3'!L122/'2.1'!L133,"")</f>
        <v>0.6149068322981367</v>
      </c>
      <c r="M135" s="366">
        <f>IFERROR('2.3'!M122/'2.1'!M133,"")</f>
        <v>0.810126582278481</v>
      </c>
      <c r="N135" s="366">
        <f>IFERROR('2.3'!N122/'2.1'!N133,"")</f>
        <v>0.67270455965021858</v>
      </c>
      <c r="O135" s="366">
        <f>IFERROR('2.3'!O122/'2.1'!O133,"")</f>
        <v>0.76066649835900024</v>
      </c>
      <c r="P135" s="366">
        <f>IFERROR('2.3'!P122/'2.1'!P133,"")</f>
        <v>0.80701754385964908</v>
      </c>
      <c r="Q135" s="366">
        <f>IFERROR('2.3'!Q122/'2.1'!Q133,"")</f>
        <v>0.78050541516245486</v>
      </c>
      <c r="R135" s="366">
        <f>IFERROR('2.3'!R122/'2.1'!R133,"")</f>
        <v>0.87387387387387383</v>
      </c>
      <c r="S135" s="366">
        <f>IFERROR('2.3'!S122/'2.1'!S133,"")</f>
        <v>0.85416666666666663</v>
      </c>
      <c r="T135" s="366">
        <f>IFERROR('2.3'!T122/'2.1'!T133,"")</f>
        <v>0.86473429951690817</v>
      </c>
      <c r="U135" s="367">
        <f>IFERROR('2.3'!U122/'2.1'!U133,"")</f>
        <v>0.74843215507411631</v>
      </c>
      <c r="V135" s="367">
        <f>IFERROR('2.3'!V122/'2.1'!V133,"")</f>
        <v>0.81804770100811408</v>
      </c>
      <c r="W135" s="367">
        <f>IFERROR('2.3'!W122/'2.1'!W133,"")</f>
        <v>0.77397816475683479</v>
      </c>
    </row>
    <row r="136" spans="2:23" hidden="1" outlineLevel="1" x14ac:dyDescent="0.25">
      <c r="B136" s="362">
        <v>42461</v>
      </c>
      <c r="C136" s="366" t="str">
        <f>IFERROR('2.3'!C123/'2.1'!C134,"")</f>
        <v/>
      </c>
      <c r="D136" s="366" t="str">
        <f>IFERROR('2.3'!D123/'2.1'!D134,"")</f>
        <v/>
      </c>
      <c r="E136" s="366" t="str">
        <f>IFERROR('2.3'!E123/'2.1'!E134,"")</f>
        <v/>
      </c>
      <c r="F136" s="366" t="str">
        <f>IFERROR('2.3'!F123/'2.1'!F134,"")</f>
        <v/>
      </c>
      <c r="G136" s="366" t="str">
        <f>IFERROR('2.3'!G123/'2.1'!G134,"")</f>
        <v/>
      </c>
      <c r="H136" s="366" t="str">
        <f>IFERROR('2.3'!H123/'2.1'!H134,"")</f>
        <v/>
      </c>
      <c r="I136" s="366">
        <f>IFERROR('2.3'!I123/'2.1'!I134,"")</f>
        <v>0.82519491177677473</v>
      </c>
      <c r="J136" s="366">
        <f>IFERROR('2.3'!J123/'2.1'!J134,"")</f>
        <v>0.86182669789227162</v>
      </c>
      <c r="K136" s="366">
        <f>IFERROR('2.3'!K123/'2.1'!K134,"")</f>
        <v>0.83470069887572163</v>
      </c>
      <c r="L136" s="366">
        <f>IFERROR('2.3'!L123/'2.1'!L134,"")</f>
        <v>0.54115421002838227</v>
      </c>
      <c r="M136" s="366">
        <f>IFERROR('2.3'!M123/'2.1'!M134,"")</f>
        <v>0.80379746835443033</v>
      </c>
      <c r="N136" s="366">
        <f>IFERROR('2.3'!N123/'2.1'!N134,"")</f>
        <v>0.62246897452645333</v>
      </c>
      <c r="O136" s="366">
        <f>IFERROR('2.3'!O123/'2.1'!O134,"")</f>
        <v>0.74994113491876624</v>
      </c>
      <c r="P136" s="366">
        <f>IFERROR('2.3'!P123/'2.1'!P134,"")</f>
        <v>0.80263965623081646</v>
      </c>
      <c r="Q136" s="366">
        <f>IFERROR('2.3'!Q123/'2.1'!Q134,"")</f>
        <v>0.77281812125249838</v>
      </c>
      <c r="R136" s="366">
        <f>IFERROR('2.3'!R123/'2.1'!R134,"")</f>
        <v>0.83168316831683164</v>
      </c>
      <c r="S136" s="366">
        <f>IFERROR('2.3'!S123/'2.1'!S134,"")</f>
        <v>0.83653846153846156</v>
      </c>
      <c r="T136" s="366">
        <f>IFERROR('2.3'!T123/'2.1'!T134,"")</f>
        <v>0.8341463414634146</v>
      </c>
      <c r="U136" s="367">
        <f>IFERROR('2.3'!U123/'2.1'!U134,"")</f>
        <v>0.74623820453965828</v>
      </c>
      <c r="V136" s="367">
        <f>IFERROR('2.3'!V123/'2.1'!V134,"")</f>
        <v>0.81428571428571428</v>
      </c>
      <c r="W136" s="367">
        <f>IFERROR('2.3'!W123/'2.1'!W134,"")</f>
        <v>0.77170443664219601</v>
      </c>
    </row>
    <row r="137" spans="2:23" hidden="1" outlineLevel="1" x14ac:dyDescent="0.25">
      <c r="B137" s="362">
        <v>42491</v>
      </c>
      <c r="C137" s="366" t="str">
        <f>IFERROR('2.3'!C124/'2.1'!C135,"")</f>
        <v/>
      </c>
      <c r="D137" s="366" t="str">
        <f>IFERROR('2.3'!D124/'2.1'!D135,"")</f>
        <v/>
      </c>
      <c r="E137" s="366" t="str">
        <f>IFERROR('2.3'!E124/'2.1'!E135,"")</f>
        <v/>
      </c>
      <c r="F137" s="366" t="str">
        <f>IFERROR('2.3'!F124/'2.1'!F135,"")</f>
        <v/>
      </c>
      <c r="G137" s="366" t="str">
        <f>IFERROR('2.3'!G124/'2.1'!G135,"")</f>
        <v/>
      </c>
      <c r="H137" s="366" t="str">
        <f>IFERROR('2.3'!H124/'2.1'!H135,"")</f>
        <v/>
      </c>
      <c r="I137" s="366">
        <f>IFERROR('2.3'!I124/'2.1'!I135,"")</f>
        <v>0.78087457952907258</v>
      </c>
      <c r="J137" s="366">
        <f>IFERROR('2.3'!J124/'2.1'!J135,"")</f>
        <v>0.84187408491947291</v>
      </c>
      <c r="K137" s="366">
        <f>IFERROR('2.3'!K124/'2.1'!K135,"")</f>
        <v>0.79594790159189577</v>
      </c>
      <c r="L137" s="366">
        <f>IFERROR('2.3'!L124/'2.1'!L135,"")</f>
        <v>0.57611668185961717</v>
      </c>
      <c r="M137" s="366">
        <f>IFERROR('2.3'!M124/'2.1'!M135,"")</f>
        <v>0.77178423236514526</v>
      </c>
      <c r="N137" s="366">
        <f>IFERROR('2.3'!N124/'2.1'!N135,"")</f>
        <v>0.63584547181760609</v>
      </c>
      <c r="O137" s="366">
        <f>IFERROR('2.3'!O124/'2.1'!O135,"")</f>
        <v>0.74967907573812576</v>
      </c>
      <c r="P137" s="366">
        <f>IFERROR('2.3'!P124/'2.1'!P135,"")</f>
        <v>0.79150326797385617</v>
      </c>
      <c r="Q137" s="366">
        <f>IFERROR('2.3'!Q124/'2.1'!Q135,"")</f>
        <v>0.77040155440414504</v>
      </c>
      <c r="R137" s="366">
        <f>IFERROR('2.3'!R124/'2.1'!R135,"")</f>
        <v>0.83870967741935487</v>
      </c>
      <c r="S137" s="366">
        <f>IFERROR('2.3'!S124/'2.1'!S135,"")</f>
        <v>0.92</v>
      </c>
      <c r="T137" s="366">
        <f>IFERROR('2.3'!T124/'2.1'!T135,"")</f>
        <v>0.875</v>
      </c>
      <c r="U137" s="367">
        <f>IFERROR('2.3'!U124/'2.1'!U135,"")</f>
        <v>0.73533099297893678</v>
      </c>
      <c r="V137" s="367">
        <f>IFERROR('2.3'!V124/'2.1'!V135,"")</f>
        <v>0.79795046968403072</v>
      </c>
      <c r="W137" s="367">
        <f>IFERROR('2.3'!W124/'2.1'!W135,"")</f>
        <v>0.76183934639577755</v>
      </c>
    </row>
    <row r="138" spans="2:23" hidden="1" outlineLevel="1" x14ac:dyDescent="0.25">
      <c r="B138" s="362">
        <v>42522</v>
      </c>
      <c r="C138" s="366" t="str">
        <f>IFERROR('2.3'!C125/'2.1'!C136,"")</f>
        <v/>
      </c>
      <c r="D138" s="366" t="str">
        <f>IFERROR('2.3'!D125/'2.1'!D136,"")</f>
        <v/>
      </c>
      <c r="E138" s="366" t="str">
        <f>IFERROR('2.3'!E125/'2.1'!E136,"")</f>
        <v/>
      </c>
      <c r="F138" s="366" t="str">
        <f>IFERROR('2.3'!F125/'2.1'!F136,"")</f>
        <v/>
      </c>
      <c r="G138" s="366" t="str">
        <f>IFERROR('2.3'!G125/'2.1'!G136,"")</f>
        <v/>
      </c>
      <c r="H138" s="366" t="str">
        <f>IFERROR('2.3'!H125/'2.1'!H136,"")</f>
        <v/>
      </c>
      <c r="I138" s="366">
        <f>IFERROR('2.3'!I125/'2.1'!I136,"")</f>
        <v>0.76632487857528331</v>
      </c>
      <c r="J138" s="366">
        <f>IFERROR('2.3'!J125/'2.1'!J136,"")</f>
        <v>0.86719999999999997</v>
      </c>
      <c r="K138" s="366">
        <f>IFERROR('2.3'!K125/'2.1'!K136,"")</f>
        <v>0.79176755447941893</v>
      </c>
      <c r="L138" s="366">
        <f>IFERROR('2.3'!L125/'2.1'!L136,"")</f>
        <v>0.56230690010298656</v>
      </c>
      <c r="M138" s="366">
        <f>IFERROR('2.3'!M125/'2.1'!M136,"")</f>
        <v>0.7932489451476793</v>
      </c>
      <c r="N138" s="366">
        <f>IFERROR('2.3'!N125/'2.1'!N136,"")</f>
        <v>0.63806228373702423</v>
      </c>
      <c r="O138" s="366">
        <f>IFERROR('2.3'!O125/'2.1'!O136,"")</f>
        <v>0.74532889685180448</v>
      </c>
      <c r="P138" s="366">
        <f>IFERROR('2.3'!P125/'2.1'!P136,"")</f>
        <v>0.76369067374709587</v>
      </c>
      <c r="Q138" s="366">
        <f>IFERROR('2.3'!Q125/'2.1'!Q136,"")</f>
        <v>0.75332369942196531</v>
      </c>
      <c r="R138" s="366">
        <f>IFERROR('2.3'!R125/'2.1'!R136,"")</f>
        <v>0.70238095238095233</v>
      </c>
      <c r="S138" s="366">
        <f>IFERROR('2.3'!S125/'2.1'!S136,"")</f>
        <v>0.84444444444444444</v>
      </c>
      <c r="T138" s="366">
        <f>IFERROR('2.3'!T125/'2.1'!T136,"")</f>
        <v>0.77586206896551724</v>
      </c>
      <c r="U138" s="367">
        <f>IFERROR('2.3'!U125/'2.1'!U136,"")</f>
        <v>0.72443140132061634</v>
      </c>
      <c r="V138" s="367">
        <f>IFERROR('2.3'!V125/'2.1'!V136,"")</f>
        <v>0.78415040456925278</v>
      </c>
      <c r="W138" s="367">
        <f>IFERROR('2.3'!W125/'2.1'!W136,"")</f>
        <v>0.74720885903603518</v>
      </c>
    </row>
    <row r="139" spans="2:23" hidden="1" outlineLevel="1" x14ac:dyDescent="0.25">
      <c r="B139" s="362">
        <v>42552</v>
      </c>
      <c r="C139" s="366" t="str">
        <f>IFERROR('2.3'!C126/'2.1'!C137,"")</f>
        <v/>
      </c>
      <c r="D139" s="366" t="str">
        <f>IFERROR('2.3'!D126/'2.1'!D137,"")</f>
        <v/>
      </c>
      <c r="E139" s="366" t="str">
        <f>IFERROR('2.3'!E126/'2.1'!E137,"")</f>
        <v/>
      </c>
      <c r="F139" s="366" t="str">
        <f>IFERROR('2.3'!F126/'2.1'!F137,"")</f>
        <v/>
      </c>
      <c r="G139" s="366" t="str">
        <f>IFERROR('2.3'!G126/'2.1'!G137,"")</f>
        <v/>
      </c>
      <c r="H139" s="366" t="str">
        <f>IFERROR('2.3'!H126/'2.1'!H137,"")</f>
        <v/>
      </c>
      <c r="I139" s="366">
        <f>IFERROR('2.3'!I126/'2.1'!I137,"")</f>
        <v>0.75442043222003929</v>
      </c>
      <c r="J139" s="366">
        <f>IFERROR('2.3'!J126/'2.1'!J137,"")</f>
        <v>0.84848484848484851</v>
      </c>
      <c r="K139" s="366">
        <f>IFERROR('2.3'!K126/'2.1'!K137,"")</f>
        <v>0.77656778069846033</v>
      </c>
      <c r="L139" s="366">
        <f>IFERROR('2.3'!L126/'2.1'!L137,"")</f>
        <v>0.60315893385982233</v>
      </c>
      <c r="M139" s="366">
        <f>IFERROR('2.3'!M126/'2.1'!M137,"")</f>
        <v>0.81037924151696605</v>
      </c>
      <c r="N139" s="366">
        <f>IFERROR('2.3'!N126/'2.1'!N137,"")</f>
        <v>0.67173051519154559</v>
      </c>
      <c r="O139" s="366">
        <f>IFERROR('2.3'!O126/'2.1'!O137,"")</f>
        <v>0.77654196157735089</v>
      </c>
      <c r="P139" s="366">
        <f>IFERROR('2.3'!P126/'2.1'!P137,"")</f>
        <v>0.79506578947368423</v>
      </c>
      <c r="Q139" s="366">
        <f>IFERROR('2.3'!Q126/'2.1'!Q137,"")</f>
        <v>0.78459119496855345</v>
      </c>
      <c r="R139" s="366">
        <f>IFERROR('2.3'!R126/'2.1'!R137,"")</f>
        <v>0.87368421052631584</v>
      </c>
      <c r="S139" s="366">
        <f>IFERROR('2.3'!S126/'2.1'!S137,"")</f>
        <v>0.90291262135922334</v>
      </c>
      <c r="T139" s="366">
        <f>IFERROR('2.3'!T126/'2.1'!T137,"")</f>
        <v>0.88888888888888884</v>
      </c>
      <c r="U139" s="367">
        <f>IFERROR('2.3'!U126/'2.1'!U137,"")</f>
        <v>0.74676056338028174</v>
      </c>
      <c r="V139" s="367">
        <f>IFERROR('2.3'!V126/'2.1'!V137,"")</f>
        <v>0.80730508077733554</v>
      </c>
      <c r="W139" s="367">
        <f>IFERROR('2.3'!W126/'2.1'!W137,"")</f>
        <v>0.76950136311670037</v>
      </c>
    </row>
    <row r="140" spans="2:23" hidden="1" outlineLevel="1" x14ac:dyDescent="0.25">
      <c r="B140" s="362">
        <v>42583</v>
      </c>
      <c r="C140" s="366" t="str">
        <f>IFERROR('2.3'!C127/'2.1'!C138,"")</f>
        <v/>
      </c>
      <c r="D140" s="366" t="str">
        <f>IFERROR('2.3'!D127/'2.1'!D138,"")</f>
        <v/>
      </c>
      <c r="E140" s="366" t="str">
        <f>IFERROR('2.3'!E127/'2.1'!E138,"")</f>
        <v/>
      </c>
      <c r="F140" s="366" t="str">
        <f>IFERROR('2.3'!F127/'2.1'!F138,"")</f>
        <v/>
      </c>
      <c r="G140" s="366" t="str">
        <f>IFERROR('2.3'!G127/'2.1'!G138,"")</f>
        <v/>
      </c>
      <c r="H140" s="366" t="str">
        <f>IFERROR('2.3'!H127/'2.1'!H138,"")</f>
        <v/>
      </c>
      <c r="I140" s="366">
        <f>IFERROR('2.3'!I127/'2.1'!I138,"")</f>
        <v>0.75437808711270771</v>
      </c>
      <c r="J140" s="366">
        <f>IFERROR('2.3'!J127/'2.1'!J138,"")</f>
        <v>0.83379501385041555</v>
      </c>
      <c r="K140" s="366">
        <f>IFERROR('2.3'!K127/'2.1'!K138,"")</f>
        <v>0.77382163445235674</v>
      </c>
      <c r="L140" s="366">
        <f>IFERROR('2.3'!L127/'2.1'!L138,"")</f>
        <v>0.53937947494033411</v>
      </c>
      <c r="M140" s="366">
        <f>IFERROR('2.3'!M127/'2.1'!M138,"")</f>
        <v>0.81787521079258008</v>
      </c>
      <c r="N140" s="366">
        <f>IFERROR('2.3'!N127/'2.1'!N138,"")</f>
        <v>0.62864864864864867</v>
      </c>
      <c r="O140" s="366">
        <f>IFERROR('2.3'!O127/'2.1'!O138,"")</f>
        <v>0.7645902927883671</v>
      </c>
      <c r="P140" s="366">
        <f>IFERROR('2.3'!P127/'2.1'!P138,"")</f>
        <v>0.78043143297380591</v>
      </c>
      <c r="Q140" s="366">
        <f>IFERROR('2.3'!Q127/'2.1'!Q138,"")</f>
        <v>0.77145719692752979</v>
      </c>
      <c r="R140" s="366">
        <f>IFERROR('2.3'!R127/'2.1'!R138,"")</f>
        <v>0.82442748091603058</v>
      </c>
      <c r="S140" s="366">
        <f>IFERROR('2.3'!S127/'2.1'!S138,"")</f>
        <v>0.84210526315789469</v>
      </c>
      <c r="T140" s="366">
        <f>IFERROR('2.3'!T127/'2.1'!T138,"")</f>
        <v>0.83265306122448979</v>
      </c>
      <c r="U140" s="367">
        <f>IFERROR('2.3'!U127/'2.1'!U138,"")</f>
        <v>0.73035386029411764</v>
      </c>
      <c r="V140" s="367">
        <f>IFERROR('2.3'!V127/'2.1'!V138,"")</f>
        <v>0.79316175089235397</v>
      </c>
      <c r="W140" s="367">
        <f>IFERROR('2.3'!W127/'2.1'!W138,"")</f>
        <v>0.75418835103728521</v>
      </c>
    </row>
    <row r="141" spans="2:23" hidden="1" outlineLevel="1" x14ac:dyDescent="0.25">
      <c r="B141" s="362">
        <v>42614</v>
      </c>
      <c r="C141" s="366" t="str">
        <f>IFERROR('2.3'!C128/'2.1'!C139,"")</f>
        <v/>
      </c>
      <c r="D141" s="366" t="str">
        <f>IFERROR('2.3'!D128/'2.1'!D139,"")</f>
        <v/>
      </c>
      <c r="E141" s="366" t="str">
        <f>IFERROR('2.3'!E128/'2.1'!E139,"")</f>
        <v/>
      </c>
      <c r="F141" s="366" t="str">
        <f>IFERROR('2.3'!F128/'2.1'!F139,"")</f>
        <v/>
      </c>
      <c r="G141" s="366" t="str">
        <f>IFERROR('2.3'!G128/'2.1'!G139,"")</f>
        <v/>
      </c>
      <c r="H141" s="366" t="str">
        <f>IFERROR('2.3'!H128/'2.1'!H139,"")</f>
        <v/>
      </c>
      <c r="I141" s="366">
        <f>IFERROR('2.3'!I128/'2.1'!I139,"")</f>
        <v>0.81384015594541914</v>
      </c>
      <c r="J141" s="366">
        <f>IFERROR('2.3'!J128/'2.1'!J139,"")</f>
        <v>0.87951807228915657</v>
      </c>
      <c r="K141" s="366">
        <f>IFERROR('2.3'!K128/'2.1'!K139,"")</f>
        <v>0.82989690721649489</v>
      </c>
      <c r="L141" s="366">
        <f>IFERROR('2.3'!L128/'2.1'!L139,"")</f>
        <v>0.57182067703568162</v>
      </c>
      <c r="M141" s="366">
        <f>IFERROR('2.3'!M128/'2.1'!M139,"")</f>
        <v>0.81381957773512481</v>
      </c>
      <c r="N141" s="366">
        <f>IFERROR('2.3'!N128/'2.1'!N139,"")</f>
        <v>0.64993804213135065</v>
      </c>
      <c r="O141" s="366">
        <f>IFERROR('2.3'!O128/'2.1'!O139,"")</f>
        <v>0.78424056189640035</v>
      </c>
      <c r="P141" s="366">
        <f>IFERROR('2.3'!P128/'2.1'!P139,"")</f>
        <v>0.78601694915254239</v>
      </c>
      <c r="Q141" s="366">
        <f>IFERROR('2.3'!Q128/'2.1'!Q139,"")</f>
        <v>0.78498727735368956</v>
      </c>
      <c r="R141" s="366">
        <f>IFERROR('2.3'!R128/'2.1'!R139,"")</f>
        <v>0.82727272727272727</v>
      </c>
      <c r="S141" s="366">
        <f>IFERROR('2.3'!S128/'2.1'!S139,"")</f>
        <v>0.94174757281553401</v>
      </c>
      <c r="T141" s="366">
        <f>IFERROR('2.3'!T128/'2.1'!T139,"")</f>
        <v>0.88262910798122063</v>
      </c>
      <c r="U141" s="367">
        <f>IFERROR('2.3'!U128/'2.1'!U139,"")</f>
        <v>0.76289847650748943</v>
      </c>
      <c r="V141" s="367">
        <f>IFERROR('2.3'!V128/'2.1'!V139,"")</f>
        <v>0.80618466898954699</v>
      </c>
      <c r="W141" s="367">
        <f>IFERROR('2.3'!W128/'2.1'!W139,"")</f>
        <v>0.7789244537611868</v>
      </c>
    </row>
    <row r="142" spans="2:23" hidden="1" outlineLevel="1" x14ac:dyDescent="0.25">
      <c r="B142" s="362">
        <v>42644</v>
      </c>
      <c r="C142" s="366" t="str">
        <f>IFERROR('2.3'!C129/'2.1'!C140,"")</f>
        <v/>
      </c>
      <c r="D142" s="366" t="str">
        <f>IFERROR('2.3'!D129/'2.1'!D140,"")</f>
        <v/>
      </c>
      <c r="E142" s="366" t="str">
        <f>IFERROR('2.3'!E129/'2.1'!E140,"")</f>
        <v/>
      </c>
      <c r="F142" s="366" t="str">
        <f>IFERROR('2.3'!F129/'2.1'!F140,"")</f>
        <v/>
      </c>
      <c r="G142" s="366" t="str">
        <f>IFERROR('2.3'!G129/'2.1'!G140,"")</f>
        <v/>
      </c>
      <c r="H142" s="366" t="str">
        <f>IFERROR('2.3'!H129/'2.1'!H140,"")</f>
        <v/>
      </c>
      <c r="I142" s="366">
        <f>IFERROR('2.3'!I129/'2.1'!I140,"")</f>
        <v>0.81818181818181823</v>
      </c>
      <c r="J142" s="366">
        <f>IFERROR('2.3'!J129/'2.1'!J140,"")</f>
        <v>0.87873462214411246</v>
      </c>
      <c r="K142" s="366">
        <f>IFERROR('2.3'!K129/'2.1'!K140,"")</f>
        <v>0.83333333333333337</v>
      </c>
      <c r="L142" s="366">
        <f>IFERROR('2.3'!L129/'2.1'!L140,"")</f>
        <v>0.61024498886414258</v>
      </c>
      <c r="M142" s="366">
        <f>IFERROR('2.3'!M129/'2.1'!M140,"")</f>
        <v>0.83371824480369516</v>
      </c>
      <c r="N142" s="366">
        <f>IFERROR('2.3'!N129/'2.1'!N140,"")</f>
        <v>0.68294515401953415</v>
      </c>
      <c r="O142" s="366">
        <f>IFERROR('2.3'!O129/'2.1'!O140,"")</f>
        <v>0.78268733850129202</v>
      </c>
      <c r="P142" s="366">
        <f>IFERROR('2.3'!P129/'2.1'!P140,"")</f>
        <v>0.82822523164647188</v>
      </c>
      <c r="Q142" s="366">
        <f>IFERROR('2.3'!Q129/'2.1'!Q140,"")</f>
        <v>0.80182744158178554</v>
      </c>
      <c r="R142" s="366">
        <f>IFERROR('2.3'!R129/'2.1'!R140,"")</f>
        <v>0.87619047619047619</v>
      </c>
      <c r="S142" s="366">
        <f>IFERROR('2.3'!S129/'2.1'!S140,"")</f>
        <v>0.91818181818181821</v>
      </c>
      <c r="T142" s="366">
        <f>IFERROR('2.3'!T129/'2.1'!T140,"")</f>
        <v>0.89767441860465114</v>
      </c>
      <c r="U142" s="367">
        <f>IFERROR('2.3'!U129/'2.1'!U140,"")</f>
        <v>0.76983885679537856</v>
      </c>
      <c r="V142" s="367">
        <f>IFERROR('2.3'!V129/'2.1'!V140,"")</f>
        <v>0.83869321082184789</v>
      </c>
      <c r="W142" s="367">
        <f>IFERROR('2.3'!W129/'2.1'!W140,"")</f>
        <v>0.79554115853658536</v>
      </c>
    </row>
    <row r="143" spans="2:23" hidden="1" outlineLevel="1" x14ac:dyDescent="0.25">
      <c r="B143" s="362">
        <v>42675</v>
      </c>
      <c r="C143" s="366" t="str">
        <f>IFERROR('2.3'!C130/'2.1'!C141,"")</f>
        <v/>
      </c>
      <c r="D143" s="366" t="str">
        <f>IFERROR('2.3'!D130/'2.1'!D141,"")</f>
        <v/>
      </c>
      <c r="E143" s="366" t="str">
        <f>IFERROR('2.3'!E130/'2.1'!E141,"")</f>
        <v/>
      </c>
      <c r="F143" s="366" t="str">
        <f>IFERROR('2.3'!F130/'2.1'!F141,"")</f>
        <v/>
      </c>
      <c r="G143" s="366" t="str">
        <f>IFERROR('2.3'!G130/'2.1'!G141,"")</f>
        <v/>
      </c>
      <c r="H143" s="366" t="str">
        <f>IFERROR('2.3'!H130/'2.1'!H141,"")</f>
        <v/>
      </c>
      <c r="I143" s="366">
        <f>IFERROR('2.3'!I130/'2.1'!I141,"")</f>
        <v>0.83698556921432388</v>
      </c>
      <c r="J143" s="366">
        <f>IFERROR('2.3'!J130/'2.1'!J141,"")</f>
        <v>0.88267148014440433</v>
      </c>
      <c r="K143" s="366">
        <f>IFERROR('2.3'!K130/'2.1'!K141,"")</f>
        <v>0.84742268041237112</v>
      </c>
      <c r="L143" s="366">
        <f>IFERROR('2.3'!L130/'2.1'!L141,"")</f>
        <v>0.60722891566265058</v>
      </c>
      <c r="M143" s="366">
        <f>IFERROR('2.3'!M130/'2.1'!M141,"")</f>
        <v>0.82517482517482521</v>
      </c>
      <c r="N143" s="366">
        <f>IFERROR('2.3'!N130/'2.1'!N141,"")</f>
        <v>0.68149324861000793</v>
      </c>
      <c r="O143" s="366">
        <f>IFERROR('2.3'!O130/'2.1'!O141,"")</f>
        <v>0.81313905930470343</v>
      </c>
      <c r="P143" s="366">
        <f>IFERROR('2.3'!P130/'2.1'!P141,"")</f>
        <v>0.81963146704464918</v>
      </c>
      <c r="Q143" s="366">
        <f>IFERROR('2.3'!Q130/'2.1'!Q141,"")</f>
        <v>0.81585981585981582</v>
      </c>
      <c r="R143" s="366">
        <f>IFERROR('2.3'!R130/'2.1'!R141,"")</f>
        <v>0.93693693693693691</v>
      </c>
      <c r="S143" s="366">
        <f>IFERROR('2.3'!S130/'2.1'!S141,"")</f>
        <v>0.97938144329896903</v>
      </c>
      <c r="T143" s="366">
        <f>IFERROR('2.3'!T130/'2.1'!T141,"")</f>
        <v>0.95673076923076927</v>
      </c>
      <c r="U143" s="367">
        <f>IFERROR('2.3'!U130/'2.1'!U141,"")</f>
        <v>0.79640095181439619</v>
      </c>
      <c r="V143" s="367">
        <f>IFERROR('2.3'!V130/'2.1'!V141,"")</f>
        <v>0.83316248077908761</v>
      </c>
      <c r="W143" s="367">
        <f>IFERROR('2.3'!W130/'2.1'!W141,"")</f>
        <v>0.80990024468285338</v>
      </c>
    </row>
    <row r="144" spans="2:23" hidden="1" outlineLevel="1" x14ac:dyDescent="0.25">
      <c r="B144" s="362">
        <v>42705</v>
      </c>
      <c r="C144" s="366" t="str">
        <f>IFERROR('2.3'!C131/'2.1'!C142,"")</f>
        <v/>
      </c>
      <c r="D144" s="366" t="str">
        <f>IFERROR('2.3'!D131/'2.1'!D142,"")</f>
        <v/>
      </c>
      <c r="E144" s="366" t="str">
        <f>IFERROR('2.3'!E131/'2.1'!E142,"")</f>
        <v/>
      </c>
      <c r="F144" s="366" t="str">
        <f>IFERROR('2.3'!F131/'2.1'!F142,"")</f>
        <v/>
      </c>
      <c r="G144" s="366" t="str">
        <f>IFERROR('2.3'!G131/'2.1'!G142,"")</f>
        <v/>
      </c>
      <c r="H144" s="366" t="str">
        <f>IFERROR('2.3'!H131/'2.1'!H142,"")</f>
        <v/>
      </c>
      <c r="I144" s="366">
        <f>IFERROR('2.3'!I131/'2.1'!I142,"")</f>
        <v>0.82034632034632038</v>
      </c>
      <c r="J144" s="366">
        <f>IFERROR('2.3'!J131/'2.1'!J142,"")</f>
        <v>0.87244897959183676</v>
      </c>
      <c r="K144" s="366">
        <f>IFERROR('2.3'!K131/'2.1'!K142,"")</f>
        <v>0.8329228243021346</v>
      </c>
      <c r="L144" s="366">
        <f>IFERROR('2.3'!L131/'2.1'!L142,"")</f>
        <v>0.59959959959959963</v>
      </c>
      <c r="M144" s="366">
        <f>IFERROR('2.3'!M131/'2.1'!M142,"")</f>
        <v>0.81196581196581197</v>
      </c>
      <c r="N144" s="366">
        <f>IFERROR('2.3'!N131/'2.1'!N142,"")</f>
        <v>0.66734832992501703</v>
      </c>
      <c r="O144" s="366">
        <f>IFERROR('2.3'!O131/'2.1'!O142,"")</f>
        <v>0.77792343995804925</v>
      </c>
      <c r="P144" s="366">
        <f>IFERROR('2.3'!P131/'2.1'!P142,"")</f>
        <v>0.78371592539454804</v>
      </c>
      <c r="Q144" s="366">
        <f>IFERROR('2.3'!Q131/'2.1'!Q142,"")</f>
        <v>0.78036958497425024</v>
      </c>
      <c r="R144" s="366">
        <f>IFERROR('2.3'!R131/'2.1'!R142,"")</f>
        <v>0.82905982905982911</v>
      </c>
      <c r="S144" s="366">
        <f>IFERROR('2.3'!S131/'2.1'!S142,"")</f>
        <v>0.84732824427480913</v>
      </c>
      <c r="T144" s="366">
        <f>IFERROR('2.3'!T131/'2.1'!T142,"")</f>
        <v>0.83870967741935487</v>
      </c>
      <c r="U144" s="367">
        <f>IFERROR('2.3'!U131/'2.1'!U142,"")</f>
        <v>0.76408970197698434</v>
      </c>
      <c r="V144" s="367">
        <f>IFERROR('2.3'!V131/'2.1'!V142,"")</f>
        <v>0.8022641509433962</v>
      </c>
      <c r="W144" s="367">
        <f>IFERROR('2.3'!W131/'2.1'!W142,"")</f>
        <v>0.77820143215846738</v>
      </c>
    </row>
    <row r="145" spans="2:23" collapsed="1" x14ac:dyDescent="0.25">
      <c r="B145" s="364" t="s">
        <v>707</v>
      </c>
      <c r="C145" s="367" t="str">
        <f>IFERROR('2.3'!C132/'2.1'!C143,"")</f>
        <v/>
      </c>
      <c r="D145" s="367" t="str">
        <f>IFERROR('2.3'!D132/'2.1'!D143,"")</f>
        <v/>
      </c>
      <c r="E145" s="367" t="str">
        <f>IFERROR('2.3'!E132/'2.1'!E143,"")</f>
        <v/>
      </c>
      <c r="F145" s="367" t="str">
        <f>IFERROR('2.3'!F132/'2.1'!F143,"")</f>
        <v/>
      </c>
      <c r="G145" s="367" t="str">
        <f>IFERROR('2.3'!G132/'2.1'!G143,"")</f>
        <v/>
      </c>
      <c r="H145" s="367" t="str">
        <f>IFERROR('2.3'!H132/'2.1'!H143,"")</f>
        <v/>
      </c>
      <c r="I145" s="367">
        <f>IFERROR('2.3'!I132/'2.1'!I143,"")</f>
        <v>0.79619145651055068</v>
      </c>
      <c r="J145" s="367">
        <f>IFERROR('2.3'!J132/'2.1'!J143,"")</f>
        <v>0.8610662358642972</v>
      </c>
      <c r="K145" s="367">
        <f>IFERROR('2.3'!K132/'2.1'!K143,"")</f>
        <v>0.8118657298985168</v>
      </c>
      <c r="L145" s="367">
        <f>IFERROR('2.3'!L132/'2.1'!L143,"")</f>
        <v>0.58171206225680938</v>
      </c>
      <c r="M145" s="367">
        <f>IFERROR('2.3'!M132/'2.1'!M143,"")</f>
        <v>0.8041666666666667</v>
      </c>
      <c r="N145" s="367">
        <f>IFERROR('2.3'!N132/'2.1'!N143,"")</f>
        <v>0.65251989389920428</v>
      </c>
      <c r="O145" s="367">
        <f>IFERROR('2.3'!O132/'2.1'!O143,"")</f>
        <v>0.76218181818181818</v>
      </c>
      <c r="P145" s="367">
        <f>IFERROR('2.3'!P132/'2.1'!P143,"")</f>
        <v>0.79185091598231205</v>
      </c>
      <c r="Q145" s="367">
        <f>IFERROR('2.3'!Q132/'2.1'!Q143,"")</f>
        <v>0.77506514881360578</v>
      </c>
      <c r="R145" s="367">
        <f>IFERROR('2.3'!R132/'2.1'!R143,"")</f>
        <v>0.83783783783783783</v>
      </c>
      <c r="S145" s="367">
        <f>IFERROR('2.3'!S132/'2.1'!S143,"")</f>
        <v>0.88461538461538458</v>
      </c>
      <c r="T145" s="367">
        <f>IFERROR('2.3'!T132/'2.1'!T143,"")</f>
        <v>0.86046511627906974</v>
      </c>
      <c r="U145" s="367">
        <f>IFERROR('2.3'!U132/'2.1'!U143,"")</f>
        <v>0.74687760199833475</v>
      </c>
      <c r="V145" s="367">
        <f>IFERROR('2.3'!V132/'2.1'!V143,"")</f>
        <v>0.80503432494279181</v>
      </c>
      <c r="W145" s="367">
        <f>IFERROR('2.3'!W132/'2.1'!W143,"")</f>
        <v>0.7688984881209503</v>
      </c>
    </row>
    <row r="146" spans="2:23" hidden="1" outlineLevel="1" x14ac:dyDescent="0.25">
      <c r="B146" s="362">
        <v>42736</v>
      </c>
      <c r="C146" s="366" t="str">
        <f>IFERROR('2.3'!C133/'2.1'!C144,"")</f>
        <v/>
      </c>
      <c r="D146" s="366" t="str">
        <f>IFERROR('2.3'!D133/'2.1'!D144,"")</f>
        <v/>
      </c>
      <c r="E146" s="366" t="str">
        <f>IFERROR('2.3'!E133/'2.1'!E144,"")</f>
        <v/>
      </c>
      <c r="F146" s="366" t="str">
        <f>IFERROR('2.3'!F133/'2.1'!F144,"")</f>
        <v/>
      </c>
      <c r="G146" s="366" t="str">
        <f>IFERROR('2.3'!G133/'2.1'!G144,"")</f>
        <v/>
      </c>
      <c r="H146" s="366" t="str">
        <f>IFERROR('2.3'!H133/'2.1'!H144,"")</f>
        <v/>
      </c>
      <c r="I146" s="366">
        <f>IFERROR('2.3'!I133/'2.1'!I144,"")</f>
        <v>0.83947479881406184</v>
      </c>
      <c r="J146" s="366">
        <f>IFERROR('2.3'!J133/'2.1'!J144,"")</f>
        <v>0.87516425755584759</v>
      </c>
      <c r="K146" s="366">
        <f>IFERROR('2.3'!K133/'2.1'!K144,"")</f>
        <v>0.84817424727738633</v>
      </c>
      <c r="L146" s="366">
        <f>IFERROR('2.3'!L133/'2.1'!L144,"")</f>
        <v>0.58250497017892644</v>
      </c>
      <c r="M146" s="366">
        <f>IFERROR('2.3'!M133/'2.1'!M144,"")</f>
        <v>0.81673306772908372</v>
      </c>
      <c r="N146" s="366">
        <f>IFERROR('2.3'!N133/'2.1'!N144,"")</f>
        <v>0.66047745358090182</v>
      </c>
      <c r="O146" s="366">
        <f>IFERROR('2.3'!O133/'2.1'!O144,"")</f>
        <v>0.78375992939099737</v>
      </c>
      <c r="P146" s="366">
        <f>IFERROR('2.3'!P133/'2.1'!P144,"")</f>
        <v>0.80568445475638051</v>
      </c>
      <c r="Q146" s="366">
        <f>IFERROR('2.3'!Q133/'2.1'!Q144,"")</f>
        <v>0.79323308270676696</v>
      </c>
      <c r="R146" s="366">
        <f>IFERROR('2.3'!R133/'2.1'!R144,"")</f>
        <v>0.82068965517241377</v>
      </c>
      <c r="S146" s="366">
        <f>IFERROR('2.3'!S133/'2.1'!S144,"")</f>
        <v>0.85483870967741937</v>
      </c>
      <c r="T146" s="366">
        <f>IFERROR('2.3'!T133/'2.1'!T144,"")</f>
        <v>0.83643122676579928</v>
      </c>
      <c r="U146" s="367">
        <f>IFERROR('2.3'!U133/'2.1'!U144,"")</f>
        <v>0.77560914967677774</v>
      </c>
      <c r="V146" s="367">
        <f>IFERROR('2.3'!V133/'2.1'!V144,"")</f>
        <v>0.81902792140641156</v>
      </c>
      <c r="W146" s="367">
        <f>IFERROR('2.3'!W133/'2.1'!W144,"")</f>
        <v>0.79190930972901619</v>
      </c>
    </row>
    <row r="147" spans="2:23" hidden="1" outlineLevel="1" x14ac:dyDescent="0.25">
      <c r="B147" s="362">
        <v>42767</v>
      </c>
      <c r="C147" s="366" t="str">
        <f>IFERROR('2.3'!C134/'2.1'!C145,"")</f>
        <v/>
      </c>
      <c r="D147" s="366" t="str">
        <f>IFERROR('2.3'!D134/'2.1'!D145,"")</f>
        <v/>
      </c>
      <c r="E147" s="366" t="str">
        <f>IFERROR('2.3'!E134/'2.1'!E145,"")</f>
        <v/>
      </c>
      <c r="F147" s="366" t="str">
        <f>IFERROR('2.3'!F134/'2.1'!F145,"")</f>
        <v/>
      </c>
      <c r="G147" s="366" t="str">
        <f>IFERROR('2.3'!G134/'2.1'!G145,"")</f>
        <v/>
      </c>
      <c r="H147" s="366" t="str">
        <f>IFERROR('2.3'!H134/'2.1'!H145,"")</f>
        <v/>
      </c>
      <c r="I147" s="366">
        <f>IFERROR('2.3'!I134/'2.1'!I145,"")</f>
        <v>0.79262157629960872</v>
      </c>
      <c r="J147" s="366">
        <f>IFERROR('2.3'!J134/'2.1'!J145,"")</f>
        <v>0.85544217687074831</v>
      </c>
      <c r="K147" s="366">
        <f>IFERROR('2.3'!K134/'2.1'!K145,"")</f>
        <v>0.80816154816996211</v>
      </c>
      <c r="L147" s="366">
        <f>IFERROR('2.3'!L134/'2.1'!L145,"")</f>
        <v>0.5787234042553191</v>
      </c>
      <c r="M147" s="366">
        <f>IFERROR('2.3'!M134/'2.1'!M145,"")</f>
        <v>0.8413793103448276</v>
      </c>
      <c r="N147" s="366">
        <f>IFERROR('2.3'!N134/'2.1'!N145,"")</f>
        <v>0.66181818181818186</v>
      </c>
      <c r="O147" s="366">
        <f>IFERROR('2.3'!O134/'2.1'!O145,"")</f>
        <v>0.77494483942142678</v>
      </c>
      <c r="P147" s="366">
        <f>IFERROR('2.3'!P134/'2.1'!P145,"")</f>
        <v>0.78801123946300344</v>
      </c>
      <c r="Q147" s="366">
        <f>IFERROR('2.3'!Q134/'2.1'!Q145,"")</f>
        <v>0.78069211755012358</v>
      </c>
      <c r="R147" s="366">
        <f>IFERROR('2.3'!R134/'2.1'!R145,"")</f>
        <v>0.88118811881188119</v>
      </c>
      <c r="S147" s="366">
        <f>IFERROR('2.3'!S134/'2.1'!S145,"")</f>
        <v>0.8482142857142857</v>
      </c>
      <c r="T147" s="366">
        <f>IFERROR('2.3'!T134/'2.1'!T145,"")</f>
        <v>0.863849765258216</v>
      </c>
      <c r="U147" s="367">
        <f>IFERROR('2.3'!U134/'2.1'!U145,"")</f>
        <v>0.75437834708351426</v>
      </c>
      <c r="V147" s="367">
        <f>IFERROR('2.3'!V134/'2.1'!V145,"")</f>
        <v>0.80405716920239745</v>
      </c>
      <c r="W147" s="367">
        <f>IFERROR('2.3'!W134/'2.1'!W145,"")</f>
        <v>0.77353961056281673</v>
      </c>
    </row>
    <row r="148" spans="2:23" hidden="1" outlineLevel="1" x14ac:dyDescent="0.25">
      <c r="B148" s="362">
        <v>42795</v>
      </c>
      <c r="C148" s="366" t="str">
        <f>IFERROR('2.3'!C135/'2.1'!C146,"")</f>
        <v/>
      </c>
      <c r="D148" s="366" t="str">
        <f>IFERROR('2.3'!D135/'2.1'!D146,"")</f>
        <v/>
      </c>
      <c r="E148" s="366" t="str">
        <f>IFERROR('2.3'!E135/'2.1'!E146,"")</f>
        <v/>
      </c>
      <c r="F148" s="366" t="str">
        <f>IFERROR('2.3'!F135/'2.1'!F146,"")</f>
        <v/>
      </c>
      <c r="G148" s="366" t="str">
        <f>IFERROR('2.3'!G135/'2.1'!G146,"")</f>
        <v/>
      </c>
      <c r="H148" s="366" t="str">
        <f>IFERROR('2.3'!H135/'2.1'!H146,"")</f>
        <v/>
      </c>
      <c r="I148" s="366">
        <f>IFERROR('2.3'!I135/'2.1'!I146,"")</f>
        <v>0.7546403712296984</v>
      </c>
      <c r="J148" s="366">
        <f>IFERROR('2.3'!J135/'2.1'!J146,"")</f>
        <v>0.84832451499118167</v>
      </c>
      <c r="K148" s="366">
        <f>IFERROR('2.3'!K135/'2.1'!K146,"")</f>
        <v>0.77782627673505023</v>
      </c>
      <c r="L148" s="366">
        <f>IFERROR('2.3'!L135/'2.1'!L146,"")</f>
        <v>0.57985257985257987</v>
      </c>
      <c r="M148" s="366">
        <f>IFERROR('2.3'!M135/'2.1'!M146,"")</f>
        <v>0.80591497227356745</v>
      </c>
      <c r="N148" s="366">
        <f>IFERROR('2.3'!N135/'2.1'!N146,"")</f>
        <v>0.64926220204313279</v>
      </c>
      <c r="O148" s="366">
        <f>IFERROR('2.3'!O135/'2.1'!O146,"")</f>
        <v>0.75674044265593565</v>
      </c>
      <c r="P148" s="366">
        <f>IFERROR('2.3'!P135/'2.1'!P146,"")</f>
        <v>0.81324536919563561</v>
      </c>
      <c r="Q148" s="366">
        <f>IFERROR('2.3'!Q135/'2.1'!Q146,"")</f>
        <v>0.78173044551677706</v>
      </c>
      <c r="R148" s="366">
        <f>IFERROR('2.3'!R135/'2.1'!R146,"")</f>
        <v>0.84615384615384615</v>
      </c>
      <c r="S148" s="366">
        <f>IFERROR('2.3'!S135/'2.1'!S146,"")</f>
        <v>0.89719626168224298</v>
      </c>
      <c r="T148" s="366">
        <f>IFERROR('2.3'!T135/'2.1'!T146,"")</f>
        <v>0.8705357142857143</v>
      </c>
      <c r="U148" s="367">
        <f>IFERROR('2.3'!U135/'2.1'!U146,"")</f>
        <v>0.73070219123505975</v>
      </c>
      <c r="V148" s="367">
        <f>IFERROR('2.3'!V135/'2.1'!V146,"")</f>
        <v>0.81807602792862688</v>
      </c>
      <c r="W148" s="367">
        <f>IFERROR('2.3'!W135/'2.1'!W146,"")</f>
        <v>0.7648619957537155</v>
      </c>
    </row>
    <row r="149" spans="2:23" hidden="1" outlineLevel="1" x14ac:dyDescent="0.25">
      <c r="B149" s="362">
        <v>42826</v>
      </c>
      <c r="C149" s="366" t="str">
        <f>IFERROR('2.3'!C136/'2.1'!C147,"")</f>
        <v/>
      </c>
      <c r="D149" s="366" t="str">
        <f>IFERROR('2.3'!D136/'2.1'!D147,"")</f>
        <v/>
      </c>
      <c r="E149" s="366" t="str">
        <f>IFERROR('2.3'!E136/'2.1'!E147,"")</f>
        <v/>
      </c>
      <c r="F149" s="366" t="str">
        <f>IFERROR('2.3'!F136/'2.1'!F147,"")</f>
        <v/>
      </c>
      <c r="G149" s="366" t="str">
        <f>IFERROR('2.3'!G136/'2.1'!G147,"")</f>
        <v/>
      </c>
      <c r="H149" s="366" t="str">
        <f>IFERROR('2.3'!H136/'2.1'!H147,"")</f>
        <v/>
      </c>
      <c r="I149" s="366">
        <f>IFERROR('2.3'!I136/'2.1'!I147,"")</f>
        <v>0.79931389365351635</v>
      </c>
      <c r="J149" s="366">
        <f>IFERROR('2.3'!J136/'2.1'!J147,"")</f>
        <v>0.84588441330998254</v>
      </c>
      <c r="K149" s="366">
        <f>IFERROR('2.3'!K136/'2.1'!K147,"")</f>
        <v>0.81077586206896557</v>
      </c>
      <c r="L149" s="366">
        <f>IFERROR('2.3'!L136/'2.1'!L147,"")</f>
        <v>0.58324821246169556</v>
      </c>
      <c r="M149" s="366">
        <f>IFERROR('2.3'!M136/'2.1'!M147,"")</f>
        <v>0.8190045248868778</v>
      </c>
      <c r="N149" s="366">
        <f>IFERROR('2.3'!N136/'2.1'!N147,"")</f>
        <v>0.65657987332864176</v>
      </c>
      <c r="O149" s="366">
        <f>IFERROR('2.3'!O136/'2.1'!O147,"")</f>
        <v>0.7695852534562212</v>
      </c>
      <c r="P149" s="366">
        <f>IFERROR('2.3'!P136/'2.1'!P147,"")</f>
        <v>0.80776636713735561</v>
      </c>
      <c r="Q149" s="366">
        <f>IFERROR('2.3'!Q136/'2.1'!Q147,"")</f>
        <v>0.78652805468527487</v>
      </c>
      <c r="R149" s="366">
        <f>IFERROR('2.3'!R136/'2.1'!R147,"")</f>
        <v>0.87850467289719625</v>
      </c>
      <c r="S149" s="366">
        <f>IFERROR('2.3'!S136/'2.1'!S147,"")</f>
        <v>0.93333333333333335</v>
      </c>
      <c r="T149" s="366">
        <f>IFERROR('2.3'!T136/'2.1'!T147,"")</f>
        <v>0.90566037735849059</v>
      </c>
      <c r="U149" s="367">
        <f>IFERROR('2.3'!U136/'2.1'!U147,"")</f>
        <v>0.75196558374128464</v>
      </c>
      <c r="V149" s="367">
        <f>IFERROR('2.3'!V136/'2.1'!V147,"")</f>
        <v>0.81719414265470003</v>
      </c>
      <c r="W149" s="367">
        <f>IFERROR('2.3'!W136/'2.1'!W147,"")</f>
        <v>0.77712984054669709</v>
      </c>
    </row>
    <row r="150" spans="2:23" hidden="1" outlineLevel="1" x14ac:dyDescent="0.25">
      <c r="B150" s="362">
        <v>42856</v>
      </c>
      <c r="C150" s="366" t="str">
        <f>IFERROR('2.3'!C137/'2.1'!C148,"")</f>
        <v/>
      </c>
      <c r="D150" s="366" t="str">
        <f>IFERROR('2.3'!D137/'2.1'!D148,"")</f>
        <v/>
      </c>
      <c r="E150" s="366" t="str">
        <f>IFERROR('2.3'!E137/'2.1'!E148,"")</f>
        <v/>
      </c>
      <c r="F150" s="366" t="str">
        <f>IFERROR('2.3'!F137/'2.1'!F148,"")</f>
        <v/>
      </c>
      <c r="G150" s="366" t="str">
        <f>IFERROR('2.3'!G137/'2.1'!G148,"")</f>
        <v/>
      </c>
      <c r="H150" s="366" t="str">
        <f>IFERROR('2.3'!H137/'2.1'!H148,"")</f>
        <v/>
      </c>
      <c r="I150" s="366">
        <f>IFERROR('2.3'!I137/'2.1'!I148,"")</f>
        <v>0.8087378640776699</v>
      </c>
      <c r="J150" s="366">
        <f>IFERROR('2.3'!J137/'2.1'!J148,"")</f>
        <v>0.84834834834834838</v>
      </c>
      <c r="K150" s="366">
        <f>IFERROR('2.3'!K137/'2.1'!K148,"")</f>
        <v>0.81841526045487889</v>
      </c>
      <c r="L150" s="366">
        <f>IFERROR('2.3'!L137/'2.1'!L148,"")</f>
        <v>0.55200000000000005</v>
      </c>
      <c r="M150" s="366">
        <f>IFERROR('2.3'!M137/'2.1'!M148,"")</f>
        <v>0.79649890590809624</v>
      </c>
      <c r="N150" s="366">
        <f>IFERROR('2.3'!N137/'2.1'!N148,"")</f>
        <v>0.62262958280657399</v>
      </c>
      <c r="O150" s="366">
        <f>IFERROR('2.3'!O137/'2.1'!O148,"")</f>
        <v>0.7635039449726887</v>
      </c>
      <c r="P150" s="366">
        <f>IFERROR('2.3'!P137/'2.1'!P148,"")</f>
        <v>0.80676812174609536</v>
      </c>
      <c r="Q150" s="366">
        <f>IFERROR('2.3'!Q137/'2.1'!Q148,"")</f>
        <v>0.78524705645567072</v>
      </c>
      <c r="R150" s="366">
        <f>IFERROR('2.3'!R137/'2.1'!R148,"")</f>
        <v>0.82786885245901642</v>
      </c>
      <c r="S150" s="366">
        <f>IFERROR('2.3'!S137/'2.1'!S148,"")</f>
        <v>0.89189189189189189</v>
      </c>
      <c r="T150" s="366">
        <f>IFERROR('2.3'!T137/'2.1'!T148,"")</f>
        <v>0.86296296296296293</v>
      </c>
      <c r="U150" s="367">
        <f>IFERROR('2.3'!U137/'2.1'!U148,"")</f>
        <v>0.74690909090909086</v>
      </c>
      <c r="V150" s="367">
        <f>IFERROR('2.3'!V137/'2.1'!V148,"")</f>
        <v>0.81245011971268954</v>
      </c>
      <c r="W150" s="367">
        <f>IFERROR('2.3'!W137/'2.1'!W148,"")</f>
        <v>0.77519807096107474</v>
      </c>
    </row>
    <row r="151" spans="2:23" hidden="1" outlineLevel="1" x14ac:dyDescent="0.25">
      <c r="B151" s="362">
        <v>42887</v>
      </c>
      <c r="C151" s="366" t="str">
        <f>IFERROR('2.3'!C138/'2.1'!C149,"")</f>
        <v/>
      </c>
      <c r="D151" s="366" t="str">
        <f>IFERROR('2.3'!D138/'2.1'!D149,"")</f>
        <v/>
      </c>
      <c r="E151" s="366" t="str">
        <f>IFERROR('2.3'!E138/'2.1'!E149,"")</f>
        <v/>
      </c>
      <c r="F151" s="366" t="str">
        <f>IFERROR('2.3'!F138/'2.1'!F149,"")</f>
        <v/>
      </c>
      <c r="G151" s="366" t="str">
        <f>IFERROR('2.3'!G138/'2.1'!G149,"")</f>
        <v/>
      </c>
      <c r="H151" s="366" t="str">
        <f>IFERROR('2.3'!H138/'2.1'!H149,"")</f>
        <v/>
      </c>
      <c r="I151" s="366">
        <f>IFERROR('2.3'!I138/'2.1'!I149,"")</f>
        <v>0.79967689822294019</v>
      </c>
      <c r="J151" s="366">
        <f>IFERROR('2.3'!J138/'2.1'!J149,"")</f>
        <v>0.83934426229508197</v>
      </c>
      <c r="K151" s="366">
        <f>IFERROR('2.3'!K138/'2.1'!K149,"")</f>
        <v>0.80948520470206731</v>
      </c>
      <c r="L151" s="366">
        <f>IFERROR('2.3'!L138/'2.1'!L149,"")</f>
        <v>0.53131313131313129</v>
      </c>
      <c r="M151" s="366">
        <f>IFERROR('2.3'!M138/'2.1'!M149,"")</f>
        <v>0.80165289256198347</v>
      </c>
      <c r="N151" s="366">
        <f>IFERROR('2.3'!N138/'2.1'!N149,"")</f>
        <v>0.6200814111261872</v>
      </c>
      <c r="O151" s="366">
        <f>IFERROR('2.3'!O138/'2.1'!O149,"")</f>
        <v>0.75058493214787081</v>
      </c>
      <c r="P151" s="366">
        <f>IFERROR('2.3'!P138/'2.1'!P149,"")</f>
        <v>0.7880508245471749</v>
      </c>
      <c r="Q151" s="366">
        <f>IFERROR('2.3'!Q138/'2.1'!Q149,"")</f>
        <v>0.76796688824783643</v>
      </c>
      <c r="R151" s="366">
        <f>IFERROR('2.3'!R138/'2.1'!R149,"")</f>
        <v>0.79047619047619044</v>
      </c>
      <c r="S151" s="366">
        <f>IFERROR('2.3'!S138/'2.1'!S149,"")</f>
        <v>0.96460176991150437</v>
      </c>
      <c r="T151" s="366">
        <f>IFERROR('2.3'!T138/'2.1'!T149,"")</f>
        <v>0.88073394495412849</v>
      </c>
      <c r="U151" s="367">
        <f>IFERROR('2.3'!U138/'2.1'!U149,"")</f>
        <v>0.73373927484085244</v>
      </c>
      <c r="V151" s="367">
        <f>IFERROR('2.3'!V138/'2.1'!V149,"")</f>
        <v>0.79983693436608239</v>
      </c>
      <c r="W151" s="367">
        <f>IFERROR('2.3'!W138/'2.1'!W149,"")</f>
        <v>0.76046818331684796</v>
      </c>
    </row>
    <row r="152" spans="2:23" hidden="1" outlineLevel="1" x14ac:dyDescent="0.25">
      <c r="B152" s="362">
        <v>42917</v>
      </c>
      <c r="C152" s="366" t="str">
        <f>IFERROR('2.3'!C139/'2.1'!C150,"")</f>
        <v/>
      </c>
      <c r="D152" s="366" t="str">
        <f>IFERROR('2.3'!D139/'2.1'!D150,"")</f>
        <v/>
      </c>
      <c r="E152" s="366" t="str">
        <f>IFERROR('2.3'!E139/'2.1'!E150,"")</f>
        <v/>
      </c>
      <c r="F152" s="366" t="str">
        <f>IFERROR('2.3'!F139/'2.1'!F150,"")</f>
        <v/>
      </c>
      <c r="G152" s="366" t="str">
        <f>IFERROR('2.3'!G139/'2.1'!G150,"")</f>
        <v/>
      </c>
      <c r="H152" s="366" t="str">
        <f>IFERROR('2.3'!H139/'2.1'!H150,"")</f>
        <v/>
      </c>
      <c r="I152" s="366">
        <f>IFERROR('2.3'!I139/'2.1'!I150,"")</f>
        <v>0.78929604628736738</v>
      </c>
      <c r="J152" s="366">
        <f>IFERROR('2.3'!J139/'2.1'!J150,"")</f>
        <v>0.83809523809523812</v>
      </c>
      <c r="K152" s="366">
        <f>IFERROR('2.3'!K139/'2.1'!K150,"")</f>
        <v>0.80206479174083301</v>
      </c>
      <c r="L152" s="366">
        <f>IFERROR('2.3'!L139/'2.1'!L150,"")</f>
        <v>0.56660746003552398</v>
      </c>
      <c r="M152" s="366">
        <f>IFERROR('2.3'!M139/'2.1'!M150,"")</f>
        <v>0.81599999999999995</v>
      </c>
      <c r="N152" s="366">
        <f>IFERROR('2.3'!N139/'2.1'!N150,"")</f>
        <v>0.64329643296432959</v>
      </c>
      <c r="O152" s="366">
        <f>IFERROR('2.3'!O139/'2.1'!O150,"")</f>
        <v>0.76689063083240017</v>
      </c>
      <c r="P152" s="366">
        <f>IFERROR('2.3'!P139/'2.1'!P150,"")</f>
        <v>0.81241015812170581</v>
      </c>
      <c r="Q152" s="366">
        <f>IFERROR('2.3'!Q139/'2.1'!Q150,"")</f>
        <v>0.78682333193453635</v>
      </c>
      <c r="R152" s="366">
        <f>IFERROR('2.3'!R139/'2.1'!R150,"")</f>
        <v>0.8571428571428571</v>
      </c>
      <c r="S152" s="366">
        <f>IFERROR('2.3'!S139/'2.1'!S150,"")</f>
        <v>0.90476190476190477</v>
      </c>
      <c r="T152" s="366">
        <f>IFERROR('2.3'!T139/'2.1'!T150,"")</f>
        <v>0.87755102040816324</v>
      </c>
      <c r="U152" s="367">
        <f>IFERROR('2.3'!U139/'2.1'!U150,"")</f>
        <v>0.74810909924363966</v>
      </c>
      <c r="V152" s="367">
        <f>IFERROR('2.3'!V139/'2.1'!V150,"")</f>
        <v>0.81824751580849142</v>
      </c>
      <c r="W152" s="367">
        <f>IFERROR('2.3'!W139/'2.1'!W150,"")</f>
        <v>0.77533132318911713</v>
      </c>
    </row>
    <row r="153" spans="2:23" hidden="1" outlineLevel="1" x14ac:dyDescent="0.25">
      <c r="B153" s="362">
        <v>42948</v>
      </c>
      <c r="C153" s="366" t="str">
        <f>IFERROR('2.3'!C140/'2.1'!C151,"")</f>
        <v/>
      </c>
      <c r="D153" s="366" t="str">
        <f>IFERROR('2.3'!D140/'2.1'!D151,"")</f>
        <v/>
      </c>
      <c r="E153" s="366" t="str">
        <f>IFERROR('2.3'!E140/'2.1'!E151,"")</f>
        <v/>
      </c>
      <c r="F153" s="366" t="str">
        <f>IFERROR('2.3'!F140/'2.1'!F151,"")</f>
        <v/>
      </c>
      <c r="G153" s="366" t="str">
        <f>IFERROR('2.3'!G140/'2.1'!G151,"")</f>
        <v/>
      </c>
      <c r="H153" s="366" t="str">
        <f>IFERROR('2.3'!H140/'2.1'!H151,"")</f>
        <v/>
      </c>
      <c r="I153" s="366">
        <f>IFERROR('2.3'!I140/'2.1'!I151,"")</f>
        <v>0.76717724288840261</v>
      </c>
      <c r="J153" s="366">
        <f>IFERROR('2.3'!J140/'2.1'!J151,"")</f>
        <v>0.84669479606188469</v>
      </c>
      <c r="K153" s="366">
        <f>IFERROR('2.3'!K140/'2.1'!K151,"")</f>
        <v>0.78604806408544725</v>
      </c>
      <c r="L153" s="366">
        <f>IFERROR('2.3'!L140/'2.1'!L151,"")</f>
        <v>0.59913419913419919</v>
      </c>
      <c r="M153" s="366">
        <f>IFERROR('2.3'!M140/'2.1'!M151,"")</f>
        <v>0.78764478764478763</v>
      </c>
      <c r="N153" s="366">
        <f>IFERROR('2.3'!N140/'2.1'!N151,"")</f>
        <v>0.65750149432157801</v>
      </c>
      <c r="O153" s="366">
        <f>IFERROR('2.3'!O140/'2.1'!O151,"")</f>
        <v>0.75872616048938468</v>
      </c>
      <c r="P153" s="366">
        <f>IFERROR('2.3'!P140/'2.1'!P151,"")</f>
        <v>0.78901799954431528</v>
      </c>
      <c r="Q153" s="366">
        <f>IFERROR('2.3'!Q140/'2.1'!Q151,"")</f>
        <v>0.77209208806675378</v>
      </c>
      <c r="R153" s="366">
        <f>IFERROR('2.3'!R140/'2.1'!R151,"")</f>
        <v>0.88111888111888115</v>
      </c>
      <c r="S153" s="366">
        <f>IFERROR('2.3'!S140/'2.1'!S151,"")</f>
        <v>0.90740740740740744</v>
      </c>
      <c r="T153" s="366">
        <f>IFERROR('2.3'!T140/'2.1'!T151,"")</f>
        <v>0.89508196721311473</v>
      </c>
      <c r="U153" s="367">
        <f>IFERROR('2.3'!U140/'2.1'!U151,"")</f>
        <v>0.74258833825620829</v>
      </c>
      <c r="V153" s="367">
        <f>IFERROR('2.3'!V140/'2.1'!V151,"")</f>
        <v>0.79930795847750868</v>
      </c>
      <c r="W153" s="367">
        <f>IFERROR('2.3'!W140/'2.1'!W151,"")</f>
        <v>0.7645600160847128</v>
      </c>
    </row>
    <row r="154" spans="2:23" hidden="1" outlineLevel="1" x14ac:dyDescent="0.25">
      <c r="B154" s="362">
        <v>42979</v>
      </c>
      <c r="C154" s="366" t="str">
        <f>IFERROR('2.3'!C141/'2.1'!C152,"")</f>
        <v/>
      </c>
      <c r="D154" s="366" t="str">
        <f>IFERROR('2.3'!D141/'2.1'!D152,"")</f>
        <v/>
      </c>
      <c r="E154" s="366" t="str">
        <f>IFERROR('2.3'!E141/'2.1'!E152,"")</f>
        <v/>
      </c>
      <c r="F154" s="366" t="str">
        <f>IFERROR('2.3'!F141/'2.1'!F152,"")</f>
        <v/>
      </c>
      <c r="G154" s="366" t="str">
        <f>IFERROR('2.3'!G141/'2.1'!G152,"")</f>
        <v/>
      </c>
      <c r="H154" s="366" t="str">
        <f>IFERROR('2.3'!H141/'2.1'!H152,"")</f>
        <v/>
      </c>
      <c r="I154" s="366">
        <f>IFERROR('2.3'!I141/'2.1'!I152,"")</f>
        <v>0.80516898608349896</v>
      </c>
      <c r="J154" s="366">
        <f>IFERROR('2.3'!J141/'2.1'!J152,"")</f>
        <v>0.85223880597014923</v>
      </c>
      <c r="K154" s="366">
        <f>IFERROR('2.3'!K141/'2.1'!K152,"")</f>
        <v>0.81692766592095456</v>
      </c>
      <c r="L154" s="366">
        <f>IFERROR('2.3'!L141/'2.1'!L152,"")</f>
        <v>0.5906623235613464</v>
      </c>
      <c r="M154" s="366">
        <f>IFERROR('2.3'!M141/'2.1'!M152,"")</f>
        <v>0.81111111111111112</v>
      </c>
      <c r="N154" s="366">
        <f>IFERROR('2.3'!N141/'2.1'!N152,"")</f>
        <v>0.66301969365426694</v>
      </c>
      <c r="O154" s="366">
        <f>IFERROR('2.3'!O141/'2.1'!O152,"")</f>
        <v>0.76240437158469943</v>
      </c>
      <c r="P154" s="366">
        <f>IFERROR('2.3'!P141/'2.1'!P152,"")</f>
        <v>0.7998370450841934</v>
      </c>
      <c r="Q154" s="366">
        <f>IFERROR('2.3'!Q141/'2.1'!Q152,"")</f>
        <v>0.77909652416131769</v>
      </c>
      <c r="R154" s="366">
        <f>IFERROR('2.3'!R141/'2.1'!R152,"")</f>
        <v>0.875</v>
      </c>
      <c r="S154" s="366">
        <f>IFERROR('2.3'!S141/'2.1'!S152,"")</f>
        <v>0.95121951219512191</v>
      </c>
      <c r="T154" s="366">
        <f>IFERROR('2.3'!T141/'2.1'!T152,"")</f>
        <v>0.91119691119691115</v>
      </c>
      <c r="U154" s="367">
        <f>IFERROR('2.3'!U141/'2.1'!U152,"")</f>
        <v>0.75497121925693356</v>
      </c>
      <c r="V154" s="367">
        <f>IFERROR('2.3'!V141/'2.1'!V152,"")</f>
        <v>0.8117766497461929</v>
      </c>
      <c r="W154" s="367">
        <f>IFERROR('2.3'!W141/'2.1'!W152,"")</f>
        <v>0.77722969209961013</v>
      </c>
    </row>
    <row r="155" spans="2:23" hidden="1" outlineLevel="1" x14ac:dyDescent="0.25">
      <c r="B155" s="362">
        <v>43009</v>
      </c>
      <c r="C155" s="366" t="str">
        <f>IFERROR('2.3'!C142/'2.1'!C153,"")</f>
        <v/>
      </c>
      <c r="D155" s="366" t="str">
        <f>IFERROR('2.3'!D142/'2.1'!D153,"")</f>
        <v/>
      </c>
      <c r="E155" s="366" t="str">
        <f>IFERROR('2.3'!E142/'2.1'!E153,"")</f>
        <v/>
      </c>
      <c r="F155" s="366" t="str">
        <f>IFERROR('2.3'!F142/'2.1'!F153,"")</f>
        <v/>
      </c>
      <c r="G155" s="366" t="str">
        <f>IFERROR('2.3'!G142/'2.1'!G153,"")</f>
        <v/>
      </c>
      <c r="H155" s="366" t="str">
        <f>IFERROR('2.3'!H142/'2.1'!H153,"")</f>
        <v/>
      </c>
      <c r="I155" s="366">
        <f>IFERROR('2.3'!I142/'2.1'!I153,"")</f>
        <v>0.79326513213981242</v>
      </c>
      <c r="J155" s="366">
        <f>IFERROR('2.3'!J142/'2.1'!J153,"")</f>
        <v>0.84593023255813948</v>
      </c>
      <c r="K155" s="366">
        <f>IFERROR('2.3'!K142/'2.1'!K153,"")</f>
        <v>0.80520764667106126</v>
      </c>
      <c r="L155" s="366">
        <f>IFERROR('2.3'!L142/'2.1'!L153,"")</f>
        <v>0.54435107376283842</v>
      </c>
      <c r="M155" s="366">
        <f>IFERROR('2.3'!M142/'2.1'!M153,"")</f>
        <v>0.78015564202334631</v>
      </c>
      <c r="N155" s="366">
        <f>IFERROR('2.3'!N142/'2.1'!N153,"")</f>
        <v>0.62082018927444793</v>
      </c>
      <c r="O155" s="366">
        <f>IFERROR('2.3'!O142/'2.1'!O153,"")</f>
        <v>0.79213066072754268</v>
      </c>
      <c r="P155" s="366">
        <f>IFERROR('2.3'!P142/'2.1'!P153,"")</f>
        <v>0.81545264137770535</v>
      </c>
      <c r="Q155" s="366">
        <f>IFERROR('2.3'!Q142/'2.1'!Q153,"")</f>
        <v>0.80247805885389778</v>
      </c>
      <c r="R155" s="366">
        <f>IFERROR('2.3'!R142/'2.1'!R153,"")</f>
        <v>0.84242424242424241</v>
      </c>
      <c r="S155" s="366">
        <f>IFERROR('2.3'!S142/'2.1'!S153,"")</f>
        <v>0.91836734693877553</v>
      </c>
      <c r="T155" s="366">
        <f>IFERROR('2.3'!T142/'2.1'!T153,"")</f>
        <v>0.87820512820512819</v>
      </c>
      <c r="U155" s="367">
        <f>IFERROR('2.3'!U142/'2.1'!U153,"")</f>
        <v>0.76376811594202898</v>
      </c>
      <c r="V155" s="367">
        <f>IFERROR('2.3'!V142/'2.1'!V153,"")</f>
        <v>0.8186326602904711</v>
      </c>
      <c r="W155" s="367">
        <f>IFERROR('2.3'!W142/'2.1'!W153,"")</f>
        <v>0.78496168582375481</v>
      </c>
    </row>
    <row r="156" spans="2:23" hidden="1" outlineLevel="1" x14ac:dyDescent="0.25">
      <c r="B156" s="362">
        <v>43040</v>
      </c>
      <c r="C156" s="366" t="str">
        <f>IFERROR('2.3'!C143/'2.1'!C154,"")</f>
        <v/>
      </c>
      <c r="D156" s="366" t="str">
        <f>IFERROR('2.3'!D143/'2.1'!D154,"")</f>
        <v/>
      </c>
      <c r="E156" s="366" t="str">
        <f>IFERROR('2.3'!E143/'2.1'!E154,"")</f>
        <v/>
      </c>
      <c r="F156" s="366" t="str">
        <f>IFERROR('2.3'!F143/'2.1'!F154,"")</f>
        <v/>
      </c>
      <c r="G156" s="366" t="str">
        <f>IFERROR('2.3'!G143/'2.1'!G154,"")</f>
        <v/>
      </c>
      <c r="H156" s="366" t="str">
        <f>IFERROR('2.3'!H143/'2.1'!H154,"")</f>
        <v/>
      </c>
      <c r="I156" s="366">
        <f>IFERROR('2.3'!I143/'2.1'!I154,"")</f>
        <v>0.79716312056737593</v>
      </c>
      <c r="J156" s="366">
        <f>IFERROR('2.3'!J143/'2.1'!J154,"")</f>
        <v>0.86115444617784709</v>
      </c>
      <c r="K156" s="366">
        <f>IFERROR('2.3'!K143/'2.1'!K154,"")</f>
        <v>0.81204644412191584</v>
      </c>
      <c r="L156" s="366">
        <f>IFERROR('2.3'!L143/'2.1'!L154,"")</f>
        <v>0.59424083769633507</v>
      </c>
      <c r="M156" s="366">
        <f>IFERROR('2.3'!M143/'2.1'!M154,"")</f>
        <v>0.82239382239382242</v>
      </c>
      <c r="N156" s="366">
        <f>IFERROR('2.3'!N143/'2.1'!N154,"")</f>
        <v>0.66526442307692313</v>
      </c>
      <c r="O156" s="366">
        <f>IFERROR('2.3'!O143/'2.1'!O154,"")</f>
        <v>0.78447095638568354</v>
      </c>
      <c r="P156" s="366">
        <f>IFERROR('2.3'!P143/'2.1'!P154,"")</f>
        <v>0.83155758498224253</v>
      </c>
      <c r="Q156" s="366">
        <f>IFERROR('2.3'!Q143/'2.1'!Q154,"")</f>
        <v>0.80496963003865263</v>
      </c>
      <c r="R156" s="366">
        <f>IFERROR('2.3'!R143/'2.1'!R154,"")</f>
        <v>0.85333333333333339</v>
      </c>
      <c r="S156" s="366">
        <f>IFERROR('2.3'!S143/'2.1'!S154,"")</f>
        <v>0.96385542168674698</v>
      </c>
      <c r="T156" s="366">
        <f>IFERROR('2.3'!T143/'2.1'!T154,"")</f>
        <v>0.91139240506329111</v>
      </c>
      <c r="U156" s="367">
        <f>IFERROR('2.3'!U143/'2.1'!U154,"")</f>
        <v>0.76325668700140781</v>
      </c>
      <c r="V156" s="367">
        <f>IFERROR('2.3'!V143/'2.1'!V154,"")</f>
        <v>0.83842794759825323</v>
      </c>
      <c r="W156" s="367">
        <f>IFERROR('2.3'!W143/'2.1'!W154,"")</f>
        <v>0.791965774780654</v>
      </c>
    </row>
    <row r="157" spans="2:23" hidden="1" outlineLevel="1" x14ac:dyDescent="0.25">
      <c r="B157" s="362">
        <v>43070</v>
      </c>
      <c r="C157" s="366" t="str">
        <f>IFERROR('2.3'!C144/'2.1'!C155,"")</f>
        <v/>
      </c>
      <c r="D157" s="366" t="str">
        <f>IFERROR('2.3'!D144/'2.1'!D155,"")</f>
        <v/>
      </c>
      <c r="E157" s="366" t="str">
        <f>IFERROR('2.3'!E144/'2.1'!E155,"")</f>
        <v/>
      </c>
      <c r="F157" s="366" t="str">
        <f>IFERROR('2.3'!F144/'2.1'!F155,"")</f>
        <v/>
      </c>
      <c r="G157" s="366" t="str">
        <f>IFERROR('2.3'!G144/'2.1'!G155,"")</f>
        <v/>
      </c>
      <c r="H157" s="366" t="str">
        <f>IFERROR('2.3'!H144/'2.1'!H155,"")</f>
        <v/>
      </c>
      <c r="I157" s="366">
        <f>IFERROR('2.3'!I144/'2.1'!I155,"")</f>
        <v>0.89459007250418299</v>
      </c>
      <c r="J157" s="366">
        <f>IFERROR('2.3'!J144/'2.1'!J155,"")</f>
        <v>0.94078947368421051</v>
      </c>
      <c r="K157" s="366">
        <f>IFERROR('2.3'!K144/'2.1'!K155,"")</f>
        <v>0.90628904623073714</v>
      </c>
      <c r="L157" s="366">
        <f>IFERROR('2.3'!L144/'2.1'!L155,"")</f>
        <v>0.6166666666666667</v>
      </c>
      <c r="M157" s="366">
        <f>IFERROR('2.3'!M144/'2.1'!M155,"")</f>
        <v>0.82994923857868019</v>
      </c>
      <c r="N157" s="366">
        <f>IFERROR('2.3'!N144/'2.1'!N155,"")</f>
        <v>0.68160741885625964</v>
      </c>
      <c r="O157" s="366">
        <f>IFERROR('2.3'!O144/'2.1'!O155,"")</f>
        <v>0.875500117674747</v>
      </c>
      <c r="P157" s="366">
        <f>IFERROR('2.3'!P144/'2.1'!P155,"")</f>
        <v>0.92059145673603504</v>
      </c>
      <c r="Q157" s="366">
        <f>IFERROR('2.3'!Q144/'2.1'!Q155,"")</f>
        <v>0.89634223516010636</v>
      </c>
      <c r="R157" s="366">
        <f>IFERROR('2.3'!R144/'2.1'!R155,"")</f>
        <v>0.89629629629629626</v>
      </c>
      <c r="S157" s="366">
        <f>IFERROR('2.3'!S144/'2.1'!S155,"")</f>
        <v>0.93571428571428572</v>
      </c>
      <c r="T157" s="366">
        <f>IFERROR('2.3'!T144/'2.1'!T155,"")</f>
        <v>0.91636363636363638</v>
      </c>
      <c r="U157" s="367">
        <f>IFERROR('2.3'!U144/'2.1'!U155,"")</f>
        <v>0.84781687155574392</v>
      </c>
      <c r="V157" s="367">
        <f>IFERROR('2.3'!V144/'2.1'!V155,"")</f>
        <v>0.91614518147684609</v>
      </c>
      <c r="W157" s="367">
        <f>IFERROR('2.3'!W144/'2.1'!W155,"")</f>
        <v>0.875410664644933</v>
      </c>
    </row>
    <row r="158" spans="2:23" collapsed="1" x14ac:dyDescent="0.25">
      <c r="B158" s="364" t="s">
        <v>708</v>
      </c>
      <c r="C158" s="367" t="str">
        <f>IFERROR('2.3'!C145/'2.1'!C156,"")</f>
        <v/>
      </c>
      <c r="D158" s="367" t="str">
        <f>IFERROR('2.3'!D145/'2.1'!D156,"")</f>
        <v/>
      </c>
      <c r="E158" s="367" t="str">
        <f>IFERROR('2.3'!E145/'2.1'!E156,"")</f>
        <v/>
      </c>
      <c r="F158" s="367" t="str">
        <f>IFERROR('2.3'!F145/'2.1'!F156,"")</f>
        <v/>
      </c>
      <c r="G158" s="367" t="str">
        <f>IFERROR('2.3'!G145/'2.1'!G156,"")</f>
        <v/>
      </c>
      <c r="H158" s="367" t="str">
        <f>IFERROR('2.3'!H145/'2.1'!H156,"")</f>
        <v/>
      </c>
      <c r="I158" s="367">
        <f>IFERROR('2.3'!I145/'2.1'!I156,"")</f>
        <v>0.8033763654419066</v>
      </c>
      <c r="J158" s="367">
        <f>IFERROR('2.3'!J145/'2.1'!J156,"")</f>
        <v>0.85867895545314898</v>
      </c>
      <c r="K158" s="367">
        <f>IFERROR('2.3'!K145/'2.1'!K156,"")</f>
        <v>0.81651031894934334</v>
      </c>
      <c r="L158" s="367">
        <f>IFERROR('2.3'!L145/'2.1'!L156,"")</f>
        <v>0.57633587786259544</v>
      </c>
      <c r="M158" s="367">
        <f>IFERROR('2.3'!M145/'2.1'!M156,"")</f>
        <v>0.80833333333333335</v>
      </c>
      <c r="N158" s="367">
        <f>IFERROR('2.3'!N145/'2.1'!N156,"")</f>
        <v>0.64986910994764402</v>
      </c>
      <c r="O158" s="367">
        <f>IFERROR('2.3'!O145/'2.1'!O156,"")</f>
        <v>0.7776606954689147</v>
      </c>
      <c r="P158" s="367">
        <f>IFERROR('2.3'!P145/'2.1'!P156,"")</f>
        <v>0.81459515214027844</v>
      </c>
      <c r="Q158" s="367">
        <f>IFERROR('2.3'!Q145/'2.1'!Q156,"")</f>
        <v>0.79417903525046385</v>
      </c>
      <c r="R158" s="367">
        <f>IFERROR('2.3'!R145/'2.1'!R156,"")</f>
        <v>0.8571428571428571</v>
      </c>
      <c r="S158" s="367">
        <f>IFERROR('2.3'!S145/'2.1'!S156,"")</f>
        <v>0.91603053435114501</v>
      </c>
      <c r="T158" s="367">
        <f>IFERROR('2.3'!T145/'2.1'!T156,"")</f>
        <v>0.88636363636363635</v>
      </c>
      <c r="U158" s="367">
        <f>IFERROR('2.3'!U145/'2.1'!U156,"")</f>
        <v>0.75881612090680106</v>
      </c>
      <c r="V158" s="367">
        <f>IFERROR('2.3'!V145/'2.1'!V156,"")</f>
        <v>0.82217898832684821</v>
      </c>
      <c r="W158" s="367">
        <f>IFERROR('2.3'!W145/'2.1'!W156,"")</f>
        <v>0.78371559633027521</v>
      </c>
    </row>
    <row r="159" spans="2:23" hidden="1" outlineLevel="1" x14ac:dyDescent="0.25">
      <c r="B159" s="362">
        <v>43101</v>
      </c>
      <c r="C159" s="366" t="str">
        <f>IFERROR('2.3'!C146/'2.1'!C157,"")</f>
        <v/>
      </c>
      <c r="D159" s="366" t="str">
        <f>IFERROR('2.3'!D146/'2.1'!D157,"")</f>
        <v/>
      </c>
      <c r="E159" s="366" t="str">
        <f>IFERROR('2.3'!E146/'2.1'!E157,"")</f>
        <v/>
      </c>
      <c r="F159" s="366" t="str">
        <f>IFERROR('2.3'!F146/'2.1'!F157,"")</f>
        <v/>
      </c>
      <c r="G159" s="366" t="str">
        <f>IFERROR('2.3'!G146/'2.1'!G157,"")</f>
        <v/>
      </c>
      <c r="H159" s="366" t="str">
        <f>IFERROR('2.3'!H146/'2.1'!H157,"")</f>
        <v/>
      </c>
      <c r="I159" s="366">
        <f>IFERROR('2.3'!I146/'2.1'!I157,"")</f>
        <v>0.89357622243528279</v>
      </c>
      <c r="J159" s="366">
        <f>IFERROR('2.3'!J146/'2.1'!J157,"")</f>
        <v>0.94803149606299209</v>
      </c>
      <c r="K159" s="366">
        <f>IFERROR('2.3'!K146/'2.1'!K157,"")</f>
        <v>0.906284454244763</v>
      </c>
      <c r="L159" s="366">
        <f>IFERROR('2.3'!L146/'2.1'!L157,"")</f>
        <v>0.5748987854251012</v>
      </c>
      <c r="M159" s="366">
        <f>IFERROR('2.3'!M146/'2.1'!M157,"")</f>
        <v>0.81505376344086022</v>
      </c>
      <c r="N159" s="366">
        <f>IFERROR('2.3'!N146/'2.1'!N157,"")</f>
        <v>0.65175498967653134</v>
      </c>
      <c r="O159" s="366">
        <f>IFERROR('2.3'!O146/'2.1'!O157,"")</f>
        <v>0.89938881053126474</v>
      </c>
      <c r="P159" s="366">
        <f>IFERROR('2.3'!P146/'2.1'!P157,"")</f>
        <v>0.93574717455002088</v>
      </c>
      <c r="Q159" s="366">
        <f>IFERROR('2.3'!Q146/'2.1'!Q157,"")</f>
        <v>0.91495653732413296</v>
      </c>
      <c r="R159" s="366">
        <f>IFERROR('2.3'!R146/'2.1'!R157,"")</f>
        <v>0.88834951456310685</v>
      </c>
      <c r="S159" s="366">
        <f>IFERROR('2.3'!S146/'2.1'!S157,"")</f>
        <v>0.91794871794871791</v>
      </c>
      <c r="T159" s="366">
        <f>IFERROR('2.3'!T146/'2.1'!T157,"")</f>
        <v>0.90274314214463836</v>
      </c>
      <c r="U159" s="367">
        <f>IFERROR('2.3'!U146/'2.1'!U157,"")</f>
        <v>0.86471379774350476</v>
      </c>
      <c r="V159" s="367">
        <f>IFERROR('2.3'!V146/'2.1'!V157,"")</f>
        <v>0.92721883747735878</v>
      </c>
      <c r="W159" s="367">
        <f>IFERROR('2.3'!W146/'2.1'!W157,"")</f>
        <v>0.88883945595525615</v>
      </c>
    </row>
    <row r="160" spans="2:23" hidden="1" outlineLevel="1" x14ac:dyDescent="0.25">
      <c r="B160" s="362">
        <v>43132</v>
      </c>
      <c r="C160" s="366" t="str">
        <f>IFERROR('2.3'!C147/'2.1'!C158,"")</f>
        <v/>
      </c>
      <c r="D160" s="366" t="str">
        <f>IFERROR('2.3'!D147/'2.1'!D158,"")</f>
        <v/>
      </c>
      <c r="E160" s="366" t="str">
        <f>IFERROR('2.3'!E147/'2.1'!E158,"")</f>
        <v/>
      </c>
      <c r="F160" s="366" t="str">
        <f>IFERROR('2.3'!F147/'2.1'!F158,"")</f>
        <v/>
      </c>
      <c r="G160" s="366" t="str">
        <f>IFERROR('2.3'!G147/'2.1'!G158,"")</f>
        <v/>
      </c>
      <c r="H160" s="366" t="str">
        <f>IFERROR('2.3'!H147/'2.1'!H158,"")</f>
        <v/>
      </c>
      <c r="I160" s="366">
        <f>IFERROR('2.3'!I147/'2.1'!I158,"")</f>
        <v>0.90005777007510113</v>
      </c>
      <c r="J160" s="366">
        <f>IFERROR('2.3'!J147/'2.1'!J158,"")</f>
        <v>0.95614035087719296</v>
      </c>
      <c r="K160" s="366">
        <f>IFERROR('2.3'!K147/'2.1'!K158,"")</f>
        <v>0.91395045632333771</v>
      </c>
      <c r="L160" s="366">
        <f>IFERROR('2.3'!L147/'2.1'!L158,"")</f>
        <v>0.53779429987608429</v>
      </c>
      <c r="M160" s="366">
        <f>IFERROR('2.3'!M147/'2.1'!M158,"")</f>
        <v>0.81967213114754101</v>
      </c>
      <c r="N160" s="366">
        <f>IFERROR('2.3'!N147/'2.1'!N158,"")</f>
        <v>0.62574595055413473</v>
      </c>
      <c r="O160" s="366">
        <f>IFERROR('2.3'!O147/'2.1'!O158,"")</f>
        <v>0.9117197062423501</v>
      </c>
      <c r="P160" s="366">
        <f>IFERROR('2.3'!P147/'2.1'!P158,"")</f>
        <v>0.93045404208194904</v>
      </c>
      <c r="Q160" s="366">
        <f>IFERROR('2.3'!Q147/'2.1'!Q158,"")</f>
        <v>0.91937381232467652</v>
      </c>
      <c r="R160" s="366">
        <f>IFERROR('2.3'!R147/'2.1'!R158,"")</f>
        <v>0.95928753180661575</v>
      </c>
      <c r="S160" s="366">
        <f>IFERROR('2.3'!S147/'2.1'!S158,"")</f>
        <v>0.98525073746312686</v>
      </c>
      <c r="T160" s="366">
        <f>IFERROR('2.3'!T147/'2.1'!T158,"")</f>
        <v>0.97131147540983609</v>
      </c>
      <c r="U160" s="367">
        <f>IFERROR('2.3'!U147/'2.1'!U158,"")</f>
        <v>0.87968733495299456</v>
      </c>
      <c r="V160" s="367">
        <f>IFERROR('2.3'!V147/'2.1'!V158,"")</f>
        <v>0.92918825561312612</v>
      </c>
      <c r="W160" s="367">
        <f>IFERROR('2.3'!W147/'2.1'!W158,"")</f>
        <v>0.89847283214262308</v>
      </c>
    </row>
    <row r="161" spans="2:23" hidden="1" outlineLevel="1" x14ac:dyDescent="0.25">
      <c r="B161" s="362">
        <v>43160</v>
      </c>
      <c r="C161" s="366" t="str">
        <f>IFERROR('2.3'!C148/'2.1'!C159,"")</f>
        <v/>
      </c>
      <c r="D161" s="366" t="str">
        <f>IFERROR('2.3'!D148/'2.1'!D159,"")</f>
        <v/>
      </c>
      <c r="E161" s="366" t="str">
        <f>IFERROR('2.3'!E148/'2.1'!E159,"")</f>
        <v/>
      </c>
      <c r="F161" s="366" t="str">
        <f>IFERROR('2.3'!F148/'2.1'!F159,"")</f>
        <v/>
      </c>
      <c r="G161" s="366" t="str">
        <f>IFERROR('2.3'!G148/'2.1'!G159,"")</f>
        <v/>
      </c>
      <c r="H161" s="366" t="str">
        <f>IFERROR('2.3'!H148/'2.1'!H159,"")</f>
        <v/>
      </c>
      <c r="I161" s="366">
        <f>IFERROR('2.3'!I148/'2.1'!I159,"")</f>
        <v>0.86886075949367092</v>
      </c>
      <c r="J161" s="366">
        <f>IFERROR('2.3'!J148/'2.1'!J159,"")</f>
        <v>0.9447004608294931</v>
      </c>
      <c r="K161" s="366">
        <f>IFERROR('2.3'!K148/'2.1'!K159,"")</f>
        <v>0.88766184310738772</v>
      </c>
      <c r="L161" s="366">
        <f>IFERROR('2.3'!L148/'2.1'!L159,"")</f>
        <v>0.57632093933463802</v>
      </c>
      <c r="M161" s="366">
        <f>IFERROR('2.3'!M148/'2.1'!M159,"")</f>
        <v>0.79128440366972475</v>
      </c>
      <c r="N161" s="366">
        <f>IFERROR('2.3'!N148/'2.1'!N159,"")</f>
        <v>0.64060356652949246</v>
      </c>
      <c r="O161" s="366">
        <f>IFERROR('2.3'!O148/'2.1'!O159,"")</f>
        <v>0.90001723840717118</v>
      </c>
      <c r="P161" s="366">
        <f>IFERROR('2.3'!P148/'2.1'!P159,"")</f>
        <v>0.91959032468947488</v>
      </c>
      <c r="Q161" s="366">
        <f>IFERROR('2.3'!Q148/'2.1'!Q159,"")</f>
        <v>0.90866217516843117</v>
      </c>
      <c r="R161" s="366">
        <f>IFERROR('2.3'!R148/'2.1'!R159,"")</f>
        <v>0.95474137931034486</v>
      </c>
      <c r="S161" s="366">
        <f>IFERROR('2.3'!S148/'2.1'!S159,"")</f>
        <v>0.98030634573304154</v>
      </c>
      <c r="T161" s="366">
        <f>IFERROR('2.3'!T148/'2.1'!T159,"")</f>
        <v>0.96742671009771986</v>
      </c>
      <c r="U161" s="367">
        <f>IFERROR('2.3'!U148/'2.1'!U159,"")</f>
        <v>0.86039732239257183</v>
      </c>
      <c r="V161" s="367">
        <f>IFERROR('2.3'!V148/'2.1'!V159,"")</f>
        <v>0.91765856840045656</v>
      </c>
      <c r="W161" s="367">
        <f>IFERROR('2.3'!W148/'2.1'!W159,"")</f>
        <v>0.88320883403702499</v>
      </c>
    </row>
    <row r="162" spans="2:23" hidden="1" outlineLevel="1" x14ac:dyDescent="0.25">
      <c r="B162" s="362">
        <v>43191</v>
      </c>
      <c r="C162" s="366" t="str">
        <f>IFERROR('2.3'!C149/'2.1'!C160,"")</f>
        <v/>
      </c>
      <c r="D162" s="366" t="str">
        <f>IFERROR('2.3'!D149/'2.1'!D160,"")</f>
        <v/>
      </c>
      <c r="E162" s="366" t="str">
        <f>IFERROR('2.3'!E149/'2.1'!E160,"")</f>
        <v/>
      </c>
      <c r="F162" s="366" t="str">
        <f>IFERROR('2.3'!F149/'2.1'!F160,"")</f>
        <v/>
      </c>
      <c r="G162" s="366" t="str">
        <f>IFERROR('2.3'!G149/'2.1'!G160,"")</f>
        <v/>
      </c>
      <c r="H162" s="366" t="str">
        <f>IFERROR('2.3'!H149/'2.1'!H160,"")</f>
        <v/>
      </c>
      <c r="I162" s="366">
        <f>IFERROR('2.3'!I149/'2.1'!I160,"")</f>
        <v>0.89347604485219168</v>
      </c>
      <c r="J162" s="366">
        <f>IFERROR('2.3'!J149/'2.1'!J160,"")</f>
        <v>0.93719008264462811</v>
      </c>
      <c r="K162" s="366">
        <f>IFERROR('2.3'!K149/'2.1'!K160,"")</f>
        <v>0.90377873003506037</v>
      </c>
      <c r="L162" s="366">
        <f>IFERROR('2.3'!L149/'2.1'!L160,"")</f>
        <v>0.56412729026036645</v>
      </c>
      <c r="M162" s="366">
        <f>IFERROR('2.3'!M149/'2.1'!M160,"")</f>
        <v>0.81434599156118148</v>
      </c>
      <c r="N162" s="366">
        <f>IFERROR('2.3'!N149/'2.1'!N160,"")</f>
        <v>0.64262078093977504</v>
      </c>
      <c r="O162" s="366">
        <f>IFERROR('2.3'!O149/'2.1'!O160,"")</f>
        <v>0.88266464799394395</v>
      </c>
      <c r="P162" s="366">
        <f>IFERROR('2.3'!P149/'2.1'!P160,"")</f>
        <v>0.93027932960893855</v>
      </c>
      <c r="Q162" s="366">
        <f>IFERROR('2.3'!Q149/'2.1'!Q160,"")</f>
        <v>0.90449841172251255</v>
      </c>
      <c r="R162" s="366">
        <f>IFERROR('2.3'!R149/'2.1'!R160,"")</f>
        <v>0.94392523364485981</v>
      </c>
      <c r="S162" s="366">
        <f>IFERROR('2.3'!S149/'2.1'!S160,"")</f>
        <v>0.96332518337408313</v>
      </c>
      <c r="T162" s="366">
        <f>IFERROR('2.3'!T149/'2.1'!T160,"")</f>
        <v>0.95340501792114696</v>
      </c>
      <c r="U162" s="367">
        <f>IFERROR('2.3'!U149/'2.1'!U160,"")</f>
        <v>0.85018941568132245</v>
      </c>
      <c r="V162" s="367">
        <f>IFERROR('2.3'!V149/'2.1'!V160,"")</f>
        <v>0.92403152775448605</v>
      </c>
      <c r="W162" s="367">
        <f>IFERROR('2.3'!W149/'2.1'!W160,"")</f>
        <v>0.88019626550361185</v>
      </c>
    </row>
    <row r="163" spans="2:23" hidden="1" outlineLevel="1" x14ac:dyDescent="0.25">
      <c r="B163" s="362">
        <v>43221</v>
      </c>
      <c r="C163" s="366" t="str">
        <f>IFERROR('2.3'!C150/'2.1'!C161,"")</f>
        <v/>
      </c>
      <c r="D163" s="366" t="str">
        <f>IFERROR('2.3'!D150/'2.1'!D161,"")</f>
        <v/>
      </c>
      <c r="E163" s="366" t="str">
        <f>IFERROR('2.3'!E150/'2.1'!E161,"")</f>
        <v/>
      </c>
      <c r="F163" s="366" t="str">
        <f>IFERROR('2.3'!F150/'2.1'!F161,"")</f>
        <v/>
      </c>
      <c r="G163" s="366" t="str">
        <f>IFERROR('2.3'!G150/'2.1'!G161,"")</f>
        <v/>
      </c>
      <c r="H163" s="366" t="str">
        <f>IFERROR('2.3'!H150/'2.1'!H161,"")</f>
        <v/>
      </c>
      <c r="I163" s="366">
        <f>IFERROR('2.3'!I150/'2.1'!I161,"")</f>
        <v>0.88457899716177857</v>
      </c>
      <c r="J163" s="366">
        <f>IFERROR('2.3'!J150/'2.1'!J161,"")</f>
        <v>0.90761750405186381</v>
      </c>
      <c r="K163" s="366">
        <f>IFERROR('2.3'!K150/'2.1'!K161,"")</f>
        <v>0.88978396191871112</v>
      </c>
      <c r="L163" s="366">
        <f>IFERROR('2.3'!L150/'2.1'!L161,"")</f>
        <v>0.60640495867768596</v>
      </c>
      <c r="M163" s="366">
        <f>IFERROR('2.3'!M150/'2.1'!M161,"")</f>
        <v>0.8125</v>
      </c>
      <c r="N163" s="366">
        <f>IFERROR('2.3'!N150/'2.1'!N161,"")</f>
        <v>0.66835260115606931</v>
      </c>
      <c r="O163" s="366">
        <f>IFERROR('2.3'!O150/'2.1'!O161,"")</f>
        <v>0.87250437828371274</v>
      </c>
      <c r="P163" s="366">
        <f>IFERROR('2.3'!P150/'2.1'!P161,"")</f>
        <v>0.9285714285714286</v>
      </c>
      <c r="Q163" s="366">
        <f>IFERROR('2.3'!Q150/'2.1'!Q161,"")</f>
        <v>0.90033515611218906</v>
      </c>
      <c r="R163" s="366">
        <f>IFERROR('2.3'!R150/'2.1'!R161,"")</f>
        <v>0.93675889328063244</v>
      </c>
      <c r="S163" s="366">
        <f>IFERROR('2.3'!S150/'2.1'!S161,"")</f>
        <v>0.9375</v>
      </c>
      <c r="T163" s="366">
        <f>IFERROR('2.3'!T150/'2.1'!T161,"")</f>
        <v>0.93716337522441651</v>
      </c>
      <c r="U163" s="367">
        <f>IFERROR('2.3'!U150/'2.1'!U161,"")</f>
        <v>0.84864566058595914</v>
      </c>
      <c r="V163" s="367">
        <f>IFERROR('2.3'!V150/'2.1'!V161,"")</f>
        <v>0.92017229002153622</v>
      </c>
      <c r="W163" s="367">
        <f>IFERROR('2.3'!W150/'2.1'!W161,"")</f>
        <v>0.87976264834478446</v>
      </c>
    </row>
    <row r="164" spans="2:23" hidden="1" outlineLevel="1" x14ac:dyDescent="0.25">
      <c r="B164" s="362">
        <v>43252</v>
      </c>
      <c r="C164" s="366" t="str">
        <f>IFERROR('2.3'!C151/'2.1'!C162,"")</f>
        <v/>
      </c>
      <c r="D164" s="366" t="str">
        <f>IFERROR('2.3'!D151/'2.1'!D162,"")</f>
        <v/>
      </c>
      <c r="E164" s="366" t="str">
        <f>IFERROR('2.3'!E151/'2.1'!E162,"")</f>
        <v/>
      </c>
      <c r="F164" s="366" t="str">
        <f>IFERROR('2.3'!F151/'2.1'!F162,"")</f>
        <v/>
      </c>
      <c r="G164" s="366" t="str">
        <f>IFERROR('2.3'!G151/'2.1'!G162,"")</f>
        <v/>
      </c>
      <c r="H164" s="366" t="str">
        <f>IFERROR('2.3'!H151/'2.1'!H162,"")</f>
        <v/>
      </c>
      <c r="I164" s="366">
        <f>IFERROR('2.3'!I151/'2.1'!I162,"")</f>
        <v>0.88571428571428568</v>
      </c>
      <c r="J164" s="366">
        <f>IFERROR('2.3'!J151/'2.1'!J162,"")</f>
        <v>0.92624356775300176</v>
      </c>
      <c r="K164" s="366">
        <f>IFERROR('2.3'!K151/'2.1'!K162,"")</f>
        <v>0.89513556618819778</v>
      </c>
      <c r="L164" s="366">
        <f>IFERROR('2.3'!L151/'2.1'!L162,"")</f>
        <v>0.56619144602851323</v>
      </c>
      <c r="M164" s="366">
        <f>IFERROR('2.3'!M151/'2.1'!M162,"")</f>
        <v>0.81105990783410142</v>
      </c>
      <c r="N164" s="366">
        <f>IFERROR('2.3'!N151/'2.1'!N162,"")</f>
        <v>0.64124293785310738</v>
      </c>
      <c r="O164" s="366">
        <f>IFERROR('2.3'!O151/'2.1'!O162,"")</f>
        <v>0.87879362670713201</v>
      </c>
      <c r="P164" s="366">
        <f>IFERROR('2.3'!P151/'2.1'!P162,"")</f>
        <v>0.92957130358705164</v>
      </c>
      <c r="Q164" s="366">
        <f>IFERROR('2.3'!Q151/'2.1'!Q162,"")</f>
        <v>0.90237708248679394</v>
      </c>
      <c r="R164" s="366">
        <f>IFERROR('2.3'!R151/'2.1'!R162,"")</f>
        <v>0.90336134453781514</v>
      </c>
      <c r="S164" s="366">
        <f>IFERROR('2.3'!S151/'2.1'!S162,"")</f>
        <v>0.965034965034965</v>
      </c>
      <c r="T164" s="366">
        <f>IFERROR('2.3'!T151/'2.1'!T162,"")</f>
        <v>0.93702290076335881</v>
      </c>
      <c r="U164" s="367">
        <f>IFERROR('2.3'!U151/'2.1'!U162,"")</f>
        <v>0.84460021385291673</v>
      </c>
      <c r="V164" s="367">
        <f>IFERROR('2.3'!V151/'2.1'!V162,"")</f>
        <v>0.92221276595744683</v>
      </c>
      <c r="W164" s="367">
        <f>IFERROR('2.3'!W151/'2.1'!W162,"")</f>
        <v>0.87650433809123984</v>
      </c>
    </row>
    <row r="165" spans="2:23" hidden="1" outlineLevel="1" x14ac:dyDescent="0.25">
      <c r="B165" s="362">
        <v>43282</v>
      </c>
      <c r="C165" s="366" t="str">
        <f>IFERROR('2.3'!C152/'2.1'!C163,"")</f>
        <v/>
      </c>
      <c r="D165" s="366" t="str">
        <f>IFERROR('2.3'!D152/'2.1'!D163,"")</f>
        <v/>
      </c>
      <c r="E165" s="366" t="str">
        <f>IFERROR('2.3'!E152/'2.1'!E163,"")</f>
        <v/>
      </c>
      <c r="F165" s="366" t="str">
        <f>IFERROR('2.3'!F152/'2.1'!F163,"")</f>
        <v/>
      </c>
      <c r="G165" s="366" t="str">
        <f>IFERROR('2.3'!G152/'2.1'!G163,"")</f>
        <v/>
      </c>
      <c r="H165" s="366" t="str">
        <f>IFERROR('2.3'!H152/'2.1'!H163,"")</f>
        <v/>
      </c>
      <c r="I165" s="366">
        <f>IFERROR('2.3'!I152/'2.1'!I163,"")</f>
        <v>0.8834355828220859</v>
      </c>
      <c r="J165" s="366">
        <f>IFERROR('2.3'!J152/'2.1'!J163,"")</f>
        <v>0.9320987654320988</v>
      </c>
      <c r="K165" s="366">
        <f>IFERROR('2.3'!K152/'2.1'!K163,"")</f>
        <v>0.8948319479580773</v>
      </c>
      <c r="L165" s="366">
        <f>IFERROR('2.3'!L152/'2.1'!L163,"")</f>
        <v>0.60474716202270384</v>
      </c>
      <c r="M165" s="366">
        <f>IFERROR('2.3'!M152/'2.1'!M163,"")</f>
        <v>0.81147540983606559</v>
      </c>
      <c r="N165" s="366">
        <f>IFERROR('2.3'!N152/'2.1'!N163,"")</f>
        <v>0.67398764584763216</v>
      </c>
      <c r="O165" s="366">
        <f>IFERROR('2.3'!O152/'2.1'!O163,"")</f>
        <v>0.88213530655391126</v>
      </c>
      <c r="P165" s="366">
        <f>IFERROR('2.3'!P152/'2.1'!P163,"")</f>
        <v>0.92959830866807613</v>
      </c>
      <c r="Q165" s="366">
        <f>IFERROR('2.3'!Q152/'2.1'!Q163,"")</f>
        <v>0.90370939842398612</v>
      </c>
      <c r="R165" s="366">
        <f>IFERROR('2.3'!R152/'2.1'!R163,"")</f>
        <v>0.90517241379310343</v>
      </c>
      <c r="S165" s="366">
        <f>IFERROR('2.3'!S152/'2.1'!S163,"")</f>
        <v>0.94758064516129037</v>
      </c>
      <c r="T165" s="366">
        <f>IFERROR('2.3'!T152/'2.1'!T163,"")</f>
        <v>0.92708333333333337</v>
      </c>
      <c r="U165" s="367">
        <f>IFERROR('2.3'!U152/'2.1'!U163,"")</f>
        <v>0.85315695864828811</v>
      </c>
      <c r="V165" s="367">
        <f>IFERROR('2.3'!V152/'2.1'!V163,"")</f>
        <v>0.92116454039908402</v>
      </c>
      <c r="W165" s="367">
        <f>IFERROR('2.3'!W152/'2.1'!W163,"")</f>
        <v>0.88067504963600263</v>
      </c>
    </row>
    <row r="166" spans="2:23" hidden="1" outlineLevel="1" x14ac:dyDescent="0.25">
      <c r="B166" s="362">
        <v>43313</v>
      </c>
      <c r="C166" s="366" t="str">
        <f>IFERROR('2.3'!C153/'2.1'!C164,"")</f>
        <v/>
      </c>
      <c r="D166" s="366" t="str">
        <f>IFERROR('2.3'!D153/'2.1'!D164,"")</f>
        <v/>
      </c>
      <c r="E166" s="366" t="str">
        <f>IFERROR('2.3'!E153/'2.1'!E164,"")</f>
        <v/>
      </c>
      <c r="F166" s="366" t="str">
        <f>IFERROR('2.3'!F153/'2.1'!F164,"")</f>
        <v/>
      </c>
      <c r="G166" s="366" t="str">
        <f>IFERROR('2.3'!G153/'2.1'!G164,"")</f>
        <v/>
      </c>
      <c r="H166" s="366" t="str">
        <f>IFERROR('2.3'!H153/'2.1'!H164,"")</f>
        <v/>
      </c>
      <c r="I166" s="366">
        <f>IFERROR('2.3'!I153/'2.1'!I164,"")</f>
        <v>0.8686006825938567</v>
      </c>
      <c r="J166" s="366">
        <f>IFERROR('2.3'!J153/'2.1'!J164,"")</f>
        <v>0.92097701149425293</v>
      </c>
      <c r="K166" s="366">
        <f>IFERROR('2.3'!K153/'2.1'!K164,"")</f>
        <v>0.8805921052631579</v>
      </c>
      <c r="L166" s="366">
        <f>IFERROR('2.3'!L153/'2.1'!L164,"")</f>
        <v>0.54521276595744683</v>
      </c>
      <c r="M166" s="366">
        <f>IFERROR('2.3'!M153/'2.1'!M164,"")</f>
        <v>0.77387914230019494</v>
      </c>
      <c r="N166" s="366">
        <f>IFERROR('2.3'!N153/'2.1'!N164,"")</f>
        <v>0.61669713589274833</v>
      </c>
      <c r="O166" s="366">
        <f>IFERROR('2.3'!O153/'2.1'!O164,"")</f>
        <v>0.88742476004555071</v>
      </c>
      <c r="P166" s="366">
        <f>IFERROR('2.3'!P153/'2.1'!P164,"")</f>
        <v>0.92596390484003277</v>
      </c>
      <c r="Q166" s="366">
        <f>IFERROR('2.3'!Q153/'2.1'!Q164,"")</f>
        <v>0.90447246666061876</v>
      </c>
      <c r="R166" s="366">
        <f>IFERROR('2.3'!R153/'2.1'!R164,"")</f>
        <v>0.88151658767772512</v>
      </c>
      <c r="S166" s="366">
        <f>IFERROR('2.3'!S153/'2.1'!S164,"")</f>
        <v>0.93518518518518523</v>
      </c>
      <c r="T166" s="366">
        <f>IFERROR('2.3'!T153/'2.1'!T164,"")</f>
        <v>0.90866510538641687</v>
      </c>
      <c r="U166" s="367">
        <f>IFERROR('2.3'!U153/'2.1'!U164,"")</f>
        <v>0.84354018311291967</v>
      </c>
      <c r="V166" s="367">
        <f>IFERROR('2.3'!V153/'2.1'!V164,"")</f>
        <v>0.91334708776384699</v>
      </c>
      <c r="W166" s="367">
        <f>IFERROR('2.3'!W153/'2.1'!W164,"")</f>
        <v>0.87080776145310268</v>
      </c>
    </row>
    <row r="167" spans="2:23" hidden="1" outlineLevel="1" x14ac:dyDescent="0.25">
      <c r="B167" s="362">
        <v>43344</v>
      </c>
      <c r="C167" s="366" t="str">
        <f>IFERROR('2.3'!C154/'2.1'!C165,"")</f>
        <v/>
      </c>
      <c r="D167" s="366" t="str">
        <f>IFERROR('2.3'!D154/'2.1'!D165,"")</f>
        <v/>
      </c>
      <c r="E167" s="366" t="str">
        <f>IFERROR('2.3'!E154/'2.1'!E165,"")</f>
        <v/>
      </c>
      <c r="F167" s="366" t="str">
        <f>IFERROR('2.3'!F154/'2.1'!F165,"")</f>
        <v/>
      </c>
      <c r="G167" s="366" t="str">
        <f>IFERROR('2.3'!G154/'2.1'!G165,"")</f>
        <v/>
      </c>
      <c r="H167" s="366" t="str">
        <f>IFERROR('2.3'!H154/'2.1'!H165,"")</f>
        <v/>
      </c>
      <c r="I167" s="366">
        <f>IFERROR('2.3'!I154/'2.1'!I165,"")</f>
        <v>0.88021454112038144</v>
      </c>
      <c r="J167" s="366">
        <f>IFERROR('2.3'!J154/'2.1'!J165,"")</f>
        <v>0.9419642857142857</v>
      </c>
      <c r="K167" s="366">
        <f>IFERROR('2.3'!K154/'2.1'!K165,"")</f>
        <v>0.89322671683913457</v>
      </c>
      <c r="L167" s="366">
        <f>IFERROR('2.3'!L154/'2.1'!L165,"")</f>
        <v>0.61458333333333337</v>
      </c>
      <c r="M167" s="366">
        <f>IFERROR('2.3'!M154/'2.1'!M165,"")</f>
        <v>0.77777777777777779</v>
      </c>
      <c r="N167" s="366">
        <f>IFERROR('2.3'!N154/'2.1'!N165,"")</f>
        <v>0.66506794564348526</v>
      </c>
      <c r="O167" s="366">
        <f>IFERROR('2.3'!O154/'2.1'!O165,"")</f>
        <v>0.8814496314496314</v>
      </c>
      <c r="P167" s="366">
        <f>IFERROR('2.3'!P154/'2.1'!P165,"")</f>
        <v>0.91811279826464209</v>
      </c>
      <c r="Q167" s="366">
        <f>IFERROR('2.3'!Q154/'2.1'!Q165,"")</f>
        <v>0.89722351843210457</v>
      </c>
      <c r="R167" s="366">
        <f>IFERROR('2.3'!R154/'2.1'!R165,"")</f>
        <v>0.89308176100628933</v>
      </c>
      <c r="S167" s="366">
        <f>IFERROR('2.3'!S154/'2.1'!S165,"")</f>
        <v>0.93888888888888888</v>
      </c>
      <c r="T167" s="366">
        <f>IFERROR('2.3'!T154/'2.1'!T165,"")</f>
        <v>0.91740412979351027</v>
      </c>
      <c r="U167" s="367">
        <f>IFERROR('2.3'!U154/'2.1'!U165,"")</f>
        <v>0.8510217534607778</v>
      </c>
      <c r="V167" s="367">
        <f>IFERROR('2.3'!V154/'2.1'!V165,"")</f>
        <v>0.90963214969168615</v>
      </c>
      <c r="W167" s="367">
        <f>IFERROR('2.3'!W154/'2.1'!W165,"")</f>
        <v>0.87345377604166663</v>
      </c>
    </row>
    <row r="168" spans="2:23" hidden="1" outlineLevel="1" x14ac:dyDescent="0.25">
      <c r="B168" s="362">
        <v>43374</v>
      </c>
      <c r="C168" s="366" t="str">
        <f>IFERROR('2.3'!C155/'2.1'!C166,"")</f>
        <v/>
      </c>
      <c r="D168" s="366" t="str">
        <f>IFERROR('2.3'!D155/'2.1'!D166,"")</f>
        <v/>
      </c>
      <c r="E168" s="366" t="str">
        <f>IFERROR('2.3'!E155/'2.1'!E166,"")</f>
        <v/>
      </c>
      <c r="F168" s="366" t="str">
        <f>IFERROR('2.3'!F155/'2.1'!F166,"")</f>
        <v/>
      </c>
      <c r="G168" s="366" t="str">
        <f>IFERROR('2.3'!G155/'2.1'!G166,"")</f>
        <v/>
      </c>
      <c r="H168" s="366" t="str">
        <f>IFERROR('2.3'!H155/'2.1'!H166,"")</f>
        <v/>
      </c>
      <c r="I168" s="366">
        <f>IFERROR('2.3'!I155/'2.1'!I166,"")</f>
        <v>0.8771358828315704</v>
      </c>
      <c r="J168" s="366">
        <f>IFERROR('2.3'!J155/'2.1'!J166,"")</f>
        <v>0.94052558782849238</v>
      </c>
      <c r="K168" s="366">
        <f>IFERROR('2.3'!K155/'2.1'!K166,"")</f>
        <v>0.89154353976736878</v>
      </c>
      <c r="L168" s="366">
        <f>IFERROR('2.3'!L155/'2.1'!L166,"")</f>
        <v>0.57619047619047614</v>
      </c>
      <c r="M168" s="366">
        <f>IFERROR('2.3'!M155/'2.1'!M166,"")</f>
        <v>0.75906183368869939</v>
      </c>
      <c r="N168" s="366">
        <f>IFERROR('2.3'!N155/'2.1'!N166,"")</f>
        <v>0.63265306122448983</v>
      </c>
      <c r="O168" s="366">
        <f>IFERROR('2.3'!O155/'2.1'!O166,"")</f>
        <v>0.88135593220338981</v>
      </c>
      <c r="P168" s="366">
        <f>IFERROR('2.3'!P155/'2.1'!P166,"")</f>
        <v>0.92387679026878555</v>
      </c>
      <c r="Q168" s="366">
        <f>IFERROR('2.3'!Q155/'2.1'!Q166,"")</f>
        <v>0.8995960276047803</v>
      </c>
      <c r="R168" s="366">
        <f>IFERROR('2.3'!R155/'2.1'!R166,"")</f>
        <v>0.85128205128205126</v>
      </c>
      <c r="S168" s="366">
        <f>IFERROR('2.3'!S155/'2.1'!S166,"")</f>
        <v>0.9285714285714286</v>
      </c>
      <c r="T168" s="366">
        <f>IFERROR('2.3'!T155/'2.1'!T166,"")</f>
        <v>0.89260143198090691</v>
      </c>
      <c r="U168" s="367">
        <f>IFERROR('2.3'!U155/'2.1'!U166,"")</f>
        <v>0.84925629290617854</v>
      </c>
      <c r="V168" s="367">
        <f>IFERROR('2.3'!V155/'2.1'!V166,"")</f>
        <v>0.91401811761093199</v>
      </c>
      <c r="W168" s="367">
        <f>IFERROR('2.3'!W155/'2.1'!W166,"")</f>
        <v>0.87406623139815309</v>
      </c>
    </row>
    <row r="169" spans="2:23" hidden="1" outlineLevel="1" x14ac:dyDescent="0.25">
      <c r="B169" s="362">
        <v>43405</v>
      </c>
      <c r="C169" s="366" t="str">
        <f>IFERROR('2.3'!C156/'2.1'!C167,"")</f>
        <v/>
      </c>
      <c r="D169" s="366" t="str">
        <f>IFERROR('2.3'!D156/'2.1'!D167,"")</f>
        <v/>
      </c>
      <c r="E169" s="366" t="str">
        <f>IFERROR('2.3'!E156/'2.1'!E167,"")</f>
        <v/>
      </c>
      <c r="F169" s="366" t="str">
        <f>IFERROR('2.3'!F156/'2.1'!F167,"")</f>
        <v/>
      </c>
      <c r="G169" s="366" t="str">
        <f>IFERROR('2.3'!G156/'2.1'!G167,"")</f>
        <v/>
      </c>
      <c r="H169" s="366" t="str">
        <f>IFERROR('2.3'!H156/'2.1'!H167,"")</f>
        <v/>
      </c>
      <c r="I169" s="366">
        <f>IFERROR('2.3'!I156/'2.1'!I167,"")</f>
        <v>0.89975062344139656</v>
      </c>
      <c r="J169" s="366">
        <f>IFERROR('2.3'!J156/'2.1'!J167,"")</f>
        <v>0.92959999999999998</v>
      </c>
      <c r="K169" s="366">
        <f>IFERROR('2.3'!K156/'2.1'!K167,"")</f>
        <v>0.90684410646387836</v>
      </c>
      <c r="L169" s="366">
        <f>IFERROR('2.3'!L156/'2.1'!L167,"")</f>
        <v>0.53433476394849788</v>
      </c>
      <c r="M169" s="366">
        <f>IFERROR('2.3'!M156/'2.1'!M167,"")</f>
        <v>0.79704016913319242</v>
      </c>
      <c r="N169" s="366">
        <f>IFERROR('2.3'!N156/'2.1'!N167,"")</f>
        <v>0.62277580071174377</v>
      </c>
      <c r="O169" s="366">
        <f>IFERROR('2.3'!O156/'2.1'!O167,"")</f>
        <v>0.88507686539182606</v>
      </c>
      <c r="P169" s="366">
        <f>IFERROR('2.3'!P156/'2.1'!P167,"")</f>
        <v>0.93993272465160982</v>
      </c>
      <c r="Q169" s="366">
        <f>IFERROR('2.3'!Q156/'2.1'!Q167,"")</f>
        <v>0.90911962931760737</v>
      </c>
      <c r="R169" s="366">
        <f>IFERROR('2.3'!R156/'2.1'!R167,"")</f>
        <v>0.88435374149659862</v>
      </c>
      <c r="S169" s="366">
        <f>IFERROR('2.3'!S156/'2.1'!S167,"")</f>
        <v>0.90062111801242239</v>
      </c>
      <c r="T169" s="366">
        <f>IFERROR('2.3'!T156/'2.1'!T167,"")</f>
        <v>0.8928571428571429</v>
      </c>
      <c r="U169" s="367">
        <f>IFERROR('2.3'!U156/'2.1'!U167,"")</f>
        <v>0.84972677595628421</v>
      </c>
      <c r="V169" s="367">
        <f>IFERROR('2.3'!V156/'2.1'!V167,"")</f>
        <v>0.92510606899096104</v>
      </c>
      <c r="W169" s="367">
        <f>IFERROR('2.3'!W156/'2.1'!W167,"")</f>
        <v>0.87925428137871231</v>
      </c>
    </row>
    <row r="170" spans="2:23" hidden="1" outlineLevel="1" x14ac:dyDescent="0.25">
      <c r="B170" s="362">
        <v>43435</v>
      </c>
      <c r="C170" s="366" t="str">
        <f>IFERROR('2.3'!C157/'2.1'!C168,"")</f>
        <v/>
      </c>
      <c r="D170" s="366" t="str">
        <f>IFERROR('2.3'!D157/'2.1'!D168,"")</f>
        <v/>
      </c>
      <c r="E170" s="366" t="str">
        <f>IFERROR('2.3'!E157/'2.1'!E168,"")</f>
        <v/>
      </c>
      <c r="F170" s="366" t="str">
        <f>IFERROR('2.3'!F157/'2.1'!F168,"")</f>
        <v/>
      </c>
      <c r="G170" s="366" t="str">
        <f>IFERROR('2.3'!G157/'2.1'!G168,"")</f>
        <v/>
      </c>
      <c r="H170" s="366" t="str">
        <f>IFERROR('2.3'!H157/'2.1'!H168,"")</f>
        <v/>
      </c>
      <c r="I170" s="366">
        <f>IFERROR('2.3'!I157/'2.1'!I168,"")</f>
        <v>0.90904139433551201</v>
      </c>
      <c r="J170" s="366">
        <f>IFERROR('2.3'!J157/'2.1'!J168,"")</f>
        <v>0.95716945996275604</v>
      </c>
      <c r="K170" s="366">
        <f>IFERROR('2.3'!K157/'2.1'!K168,"")</f>
        <v>0.91993257479983148</v>
      </c>
      <c r="L170" s="366">
        <f>IFERROR('2.3'!L157/'2.1'!L168,"")</f>
        <v>0.62105263157894741</v>
      </c>
      <c r="M170" s="366">
        <f>IFERROR('2.3'!M157/'2.1'!M168,"")</f>
        <v>0.80084745762711862</v>
      </c>
      <c r="N170" s="366">
        <f>IFERROR('2.3'!N157/'2.1'!N168,"")</f>
        <v>0.68500376789751316</v>
      </c>
      <c r="O170" s="366">
        <f>IFERROR('2.3'!O157/'2.1'!O168,"")</f>
        <v>0.88359560250053892</v>
      </c>
      <c r="P170" s="366">
        <f>IFERROR('2.3'!P157/'2.1'!P168,"")</f>
        <v>0.93038922155688619</v>
      </c>
      <c r="Q170" s="366">
        <f>IFERROR('2.3'!Q157/'2.1'!Q168,"")</f>
        <v>0.90528506996646241</v>
      </c>
      <c r="R170" s="366">
        <f>IFERROR('2.3'!R157/'2.1'!R168,"")</f>
        <v>0.875</v>
      </c>
      <c r="S170" s="366">
        <f>IFERROR('2.3'!S157/'2.1'!S168,"")</f>
        <v>0.93710691823899372</v>
      </c>
      <c r="T170" s="366">
        <f>IFERROR('2.3'!T157/'2.1'!T168,"")</f>
        <v>0.90519877675840976</v>
      </c>
      <c r="U170" s="367">
        <f>IFERROR('2.3'!U157/'2.1'!U168,"")</f>
        <v>0.85969591891170982</v>
      </c>
      <c r="V170" s="367">
        <f>IFERROR('2.3'!V157/'2.1'!V168,"")</f>
        <v>0.92156105100463681</v>
      </c>
      <c r="W170" s="367">
        <f>IFERROR('2.3'!W157/'2.1'!W168,"")</f>
        <v>0.88496133817263689</v>
      </c>
    </row>
    <row r="171" spans="2:23" collapsed="1" x14ac:dyDescent="0.25">
      <c r="B171" s="364" t="s">
        <v>709</v>
      </c>
      <c r="C171" s="367" t="str">
        <f>IFERROR('2.3'!C158/'2.1'!C169,"")</f>
        <v/>
      </c>
      <c r="D171" s="367" t="str">
        <f>IFERROR('2.3'!D158/'2.1'!D169,"")</f>
        <v/>
      </c>
      <c r="E171" s="367" t="str">
        <f>IFERROR('2.3'!E158/'2.1'!E169,"")</f>
        <v/>
      </c>
      <c r="F171" s="367" t="str">
        <f>IFERROR('2.3'!F158/'2.1'!F169,"")</f>
        <v/>
      </c>
      <c r="G171" s="367" t="str">
        <f>IFERROR('2.3'!G158/'2.1'!G169,"")</f>
        <v/>
      </c>
      <c r="H171" s="367" t="str">
        <f>IFERROR('2.3'!H158/'2.1'!H169,"")</f>
        <v/>
      </c>
      <c r="I171" s="367">
        <f>IFERROR('2.3'!I158/'2.1'!I169,"")</f>
        <v>0.88657751362060422</v>
      </c>
      <c r="J171" s="367">
        <f>IFERROR('2.3'!J158/'2.1'!J169,"")</f>
        <v>0.93627450980392157</v>
      </c>
      <c r="K171" s="367">
        <f>IFERROR('2.3'!K158/'2.1'!K169,"")</f>
        <v>0.8981375902698594</v>
      </c>
      <c r="L171" s="367">
        <f>IFERROR('2.3'!L158/'2.1'!L169,"")</f>
        <v>0.57600827300930713</v>
      </c>
      <c r="M171" s="367">
        <f>IFERROR('2.3'!M158/'2.1'!M169,"")</f>
        <v>0.79955456570155903</v>
      </c>
      <c r="N171" s="367">
        <f>IFERROR('2.3'!N158/'2.1'!N169,"")</f>
        <v>0.64689265536723162</v>
      </c>
      <c r="O171" s="367">
        <f>IFERROR('2.3'!O158/'2.1'!O169,"")</f>
        <v>0.88779803646563815</v>
      </c>
      <c r="P171" s="367">
        <f>IFERROR('2.3'!P158/'2.1'!P169,"")</f>
        <v>0.92858698018724151</v>
      </c>
      <c r="Q171" s="367">
        <f>IFERROR('2.3'!Q158/'2.1'!Q169,"")</f>
        <v>0.90599203651548998</v>
      </c>
      <c r="R171" s="367">
        <f>IFERROR('2.3'!R158/'2.1'!R169,"")</f>
        <v>0.91860465116279066</v>
      </c>
      <c r="S171" s="367">
        <f>IFERROR('2.3'!S158/'2.1'!S169,"")</f>
        <v>0.95094339622641511</v>
      </c>
      <c r="T171" s="367">
        <f>IFERROR('2.3'!T158/'2.1'!T169,"")</f>
        <v>0.93499043977055452</v>
      </c>
      <c r="U171" s="367">
        <f>IFERROR('2.3'!U158/'2.1'!U169,"")</f>
        <v>0.8547161376843988</v>
      </c>
      <c r="V171" s="367">
        <f>IFERROR('2.3'!V158/'2.1'!V169,"")</f>
        <v>0.92042574759249873</v>
      </c>
      <c r="W171" s="367">
        <f>IFERROR('2.3'!W158/'2.1'!W169,"")</f>
        <v>0.8808771103786911</v>
      </c>
    </row>
    <row r="172" spans="2:23" hidden="1" outlineLevel="1" x14ac:dyDescent="0.25">
      <c r="B172" s="362">
        <v>43466</v>
      </c>
      <c r="C172" s="366" t="str">
        <f>IFERROR('2.3'!C159/'2.1'!C170,"")</f>
        <v/>
      </c>
      <c r="D172" s="366" t="str">
        <f>IFERROR('2.3'!D159/'2.1'!D170,"")</f>
        <v/>
      </c>
      <c r="E172" s="366" t="str">
        <f>IFERROR('2.3'!E159/'2.1'!E170,"")</f>
        <v/>
      </c>
      <c r="F172" s="366" t="str">
        <f>IFERROR('2.3'!F159/'2.1'!F170,"")</f>
        <v/>
      </c>
      <c r="G172" s="366" t="str">
        <f>IFERROR('2.3'!G159/'2.1'!G170,"")</f>
        <v/>
      </c>
      <c r="H172" s="366" t="str">
        <f>IFERROR('2.3'!H159/'2.1'!H170,"")</f>
        <v/>
      </c>
      <c r="I172" s="366">
        <f>IFERROR('2.3'!I159/'2.1'!I170,"")</f>
        <v>0.89231499051233398</v>
      </c>
      <c r="J172" s="366">
        <f>IFERROR('2.3'!J159/'2.1'!J170,"")</f>
        <v>0.94392523364485981</v>
      </c>
      <c r="K172" s="366">
        <f>IFERROR('2.3'!K159/'2.1'!K170,"")</f>
        <v>0.90436363636363637</v>
      </c>
      <c r="L172" s="366">
        <f>IFERROR('2.3'!L159/'2.1'!L170,"")</f>
        <v>0.58409785932721714</v>
      </c>
      <c r="M172" s="366">
        <f>IFERROR('2.3'!M159/'2.1'!M170,"")</f>
        <v>0.79209979209979209</v>
      </c>
      <c r="N172" s="366">
        <f>IFERROR('2.3'!N159/'2.1'!N170,"")</f>
        <v>0.65253077975376195</v>
      </c>
      <c r="O172" s="366">
        <f>IFERROR('2.3'!O159/'2.1'!O170,"")</f>
        <v>0.88233209285840863</v>
      </c>
      <c r="P172" s="366">
        <f>IFERROR('2.3'!P159/'2.1'!P170,"")</f>
        <v>0.94053105113012947</v>
      </c>
      <c r="Q172" s="366">
        <f>IFERROR('2.3'!Q159/'2.1'!Q170,"")</f>
        <v>0.90833333333333333</v>
      </c>
      <c r="R172" s="366">
        <f>IFERROR('2.3'!R159/'2.1'!R170,"")</f>
        <v>0.90774907749077494</v>
      </c>
      <c r="S172" s="366">
        <f>IFERROR('2.3'!S159/'2.1'!S170,"")</f>
        <v>0.92517006802721091</v>
      </c>
      <c r="T172" s="366">
        <f>IFERROR('2.3'!T159/'2.1'!T170,"")</f>
        <v>0.91681415929203536</v>
      </c>
      <c r="U172" s="367">
        <f>IFERROR('2.3'!U159/'2.1'!U170,"")</f>
        <v>0.85293790958569371</v>
      </c>
      <c r="V172" s="367">
        <f>IFERROR('2.3'!V159/'2.1'!V170,"")</f>
        <v>0.92818881821225308</v>
      </c>
      <c r="W172" s="367">
        <f>IFERROR('2.3'!W159/'2.1'!W170,"")</f>
        <v>0.88295386258930364</v>
      </c>
    </row>
    <row r="173" spans="2:23" hidden="1" outlineLevel="1" x14ac:dyDescent="0.25">
      <c r="B173" s="362">
        <v>43497</v>
      </c>
      <c r="C173" s="366" t="str">
        <f>IFERROR('2.3'!C160/'2.1'!C171,"")</f>
        <v/>
      </c>
      <c r="D173" s="366" t="str">
        <f>IFERROR('2.3'!D160/'2.1'!D171,"")</f>
        <v/>
      </c>
      <c r="E173" s="366" t="str">
        <f>IFERROR('2.3'!E160/'2.1'!E171,"")</f>
        <v/>
      </c>
      <c r="F173" s="366" t="str">
        <f>IFERROR('2.3'!F160/'2.1'!F171,"")</f>
        <v/>
      </c>
      <c r="G173" s="366" t="str">
        <f>IFERROR('2.3'!G160/'2.1'!G171,"")</f>
        <v/>
      </c>
      <c r="H173" s="366" t="str">
        <f>IFERROR('2.3'!H160/'2.1'!H171,"")</f>
        <v/>
      </c>
      <c r="I173" s="366">
        <f>IFERROR('2.3'!I160/'2.1'!I171,"")</f>
        <v>0.88422315536892626</v>
      </c>
      <c r="J173" s="366">
        <f>IFERROR('2.3'!J160/'2.1'!J171,"")</f>
        <v>0.93666026871401153</v>
      </c>
      <c r="K173" s="366">
        <f>IFERROR('2.3'!K160/'2.1'!K171,"")</f>
        <v>0.89670932358318101</v>
      </c>
      <c r="L173" s="366">
        <f>IFERROR('2.3'!L160/'2.1'!L171,"")</f>
        <v>0.5822637106184364</v>
      </c>
      <c r="M173" s="366">
        <f>IFERROR('2.3'!M160/'2.1'!M171,"")</f>
        <v>0.78899082568807344</v>
      </c>
      <c r="N173" s="366">
        <f>IFERROR('2.3'!N160/'2.1'!N171,"")</f>
        <v>0.65197215777262185</v>
      </c>
      <c r="O173" s="366">
        <f>IFERROR('2.3'!O160/'2.1'!O171,"")</f>
        <v>0.88226495726495724</v>
      </c>
      <c r="P173" s="366">
        <f>IFERROR('2.3'!P160/'2.1'!P171,"")</f>
        <v>0.93531066223472259</v>
      </c>
      <c r="Q173" s="366">
        <f>IFERROR('2.3'!Q160/'2.1'!Q171,"")</f>
        <v>0.9064136887440345</v>
      </c>
      <c r="R173" s="366">
        <f>IFERROR('2.3'!R160/'2.1'!R171,"")</f>
        <v>0.92307692307692313</v>
      </c>
      <c r="S173" s="366">
        <f>IFERROR('2.3'!S160/'2.1'!S171,"")</f>
        <v>0.96753246753246758</v>
      </c>
      <c r="T173" s="366">
        <f>IFERROR('2.3'!T160/'2.1'!T171,"")</f>
        <v>0.94306569343065694</v>
      </c>
      <c r="U173" s="367">
        <f>IFERROR('2.3'!U160/'2.1'!U171,"")</f>
        <v>0.850811238622873</v>
      </c>
      <c r="V173" s="367">
        <f>IFERROR('2.3'!V160/'2.1'!V171,"")</f>
        <v>0.92503863987635238</v>
      </c>
      <c r="W173" s="367">
        <f>IFERROR('2.3'!W160/'2.1'!W171,"")</f>
        <v>0.88092811789605707</v>
      </c>
    </row>
    <row r="174" spans="2:23" hidden="1" outlineLevel="1" x14ac:dyDescent="0.25">
      <c r="B174" s="362">
        <v>43525</v>
      </c>
      <c r="C174" s="366" t="str">
        <f>IFERROR('2.3'!C161/'2.1'!C172,"")</f>
        <v/>
      </c>
      <c r="D174" s="366" t="str">
        <f>IFERROR('2.3'!D161/'2.1'!D172,"")</f>
        <v/>
      </c>
      <c r="E174" s="366" t="str">
        <f>IFERROR('2.3'!E161/'2.1'!E172,"")</f>
        <v/>
      </c>
      <c r="F174" s="366" t="str">
        <f>IFERROR('2.3'!F161/'2.1'!F172,"")</f>
        <v/>
      </c>
      <c r="G174" s="366" t="str">
        <f>IFERROR('2.3'!G161/'2.1'!G172,"")</f>
        <v/>
      </c>
      <c r="H174" s="366" t="str">
        <f>IFERROR('2.3'!H161/'2.1'!H172,"")</f>
        <v/>
      </c>
      <c r="I174" s="366">
        <f>IFERROR('2.3'!I161/'2.1'!I172,"")</f>
        <v>0.87229551451187337</v>
      </c>
      <c r="J174" s="366">
        <f>IFERROR('2.3'!J161/'2.1'!J172,"")</f>
        <v>0.94850498338870437</v>
      </c>
      <c r="K174" s="366">
        <f>IFERROR('2.3'!K161/'2.1'!K172,"")</f>
        <v>0.89066880256307568</v>
      </c>
      <c r="L174" s="366">
        <f>IFERROR('2.3'!L161/'2.1'!L172,"")</f>
        <v>0.57904946653734235</v>
      </c>
      <c r="M174" s="366">
        <f>IFERROR('2.3'!M161/'2.1'!M172,"")</f>
        <v>0.83409090909090911</v>
      </c>
      <c r="N174" s="366">
        <f>IFERROR('2.3'!N161/'2.1'!N172,"")</f>
        <v>0.65533650577838209</v>
      </c>
      <c r="O174" s="366">
        <f>IFERROR('2.3'!O161/'2.1'!O172,"")</f>
        <v>0.87078109932497594</v>
      </c>
      <c r="P174" s="366">
        <f>IFERROR('2.3'!P161/'2.1'!P172,"")</f>
        <v>0.9364516891093787</v>
      </c>
      <c r="Q174" s="366">
        <f>IFERROR('2.3'!Q161/'2.1'!Q172,"")</f>
        <v>0.90029730303673816</v>
      </c>
      <c r="R174" s="366">
        <f>IFERROR('2.3'!R161/'2.1'!R172,"")</f>
        <v>0.92073170731707321</v>
      </c>
      <c r="S174" s="366">
        <f>IFERROR('2.3'!S161/'2.1'!S172,"")</f>
        <v>0.95806451612903221</v>
      </c>
      <c r="T174" s="366">
        <f>IFERROR('2.3'!T161/'2.1'!T172,"")</f>
        <v>0.93887147335423193</v>
      </c>
      <c r="U174" s="367">
        <f>IFERROR('2.3'!U161/'2.1'!U172,"")</f>
        <v>0.83742149543784805</v>
      </c>
      <c r="V174" s="367">
        <f>IFERROR('2.3'!V161/'2.1'!V172,"")</f>
        <v>0.93088630259623995</v>
      </c>
      <c r="W174" s="367">
        <f>IFERROR('2.3'!W161/'2.1'!W172,"")</f>
        <v>0.87464346833998863</v>
      </c>
    </row>
    <row r="175" spans="2:23" hidden="1" outlineLevel="1" x14ac:dyDescent="0.25">
      <c r="B175" s="362">
        <v>43556</v>
      </c>
      <c r="C175" s="366" t="str">
        <f>IFERROR('2.3'!C162/'2.1'!C173,"")</f>
        <v/>
      </c>
      <c r="D175" s="366" t="str">
        <f>IFERROR('2.3'!D162/'2.1'!D173,"")</f>
        <v/>
      </c>
      <c r="E175" s="366" t="str">
        <f>IFERROR('2.3'!E162/'2.1'!E173,"")</f>
        <v/>
      </c>
      <c r="F175" s="366" t="str">
        <f>IFERROR('2.3'!F162/'2.1'!F173,"")</f>
        <v/>
      </c>
      <c r="G175" s="366" t="str">
        <f>IFERROR('2.3'!G162/'2.1'!G173,"")</f>
        <v/>
      </c>
      <c r="H175" s="366" t="str">
        <f>IFERROR('2.3'!H162/'2.1'!H173,"")</f>
        <v/>
      </c>
      <c r="I175" s="366">
        <f>IFERROR('2.3'!I162/'2.1'!I173,"")</f>
        <v>0.87790055248618781</v>
      </c>
      <c r="J175" s="366">
        <f>IFERROR('2.3'!J162/'2.1'!J173,"")</f>
        <v>0.94290657439446368</v>
      </c>
      <c r="K175" s="366">
        <f>IFERROR('2.3'!K162/'2.1'!K173,"")</f>
        <v>0.89363484087102174</v>
      </c>
      <c r="L175" s="366">
        <f>IFERROR('2.3'!L162/'2.1'!L173,"")</f>
        <v>0.58333333333333337</v>
      </c>
      <c r="M175" s="366">
        <f>IFERROR('2.3'!M162/'2.1'!M173,"")</f>
        <v>0.77876106194690264</v>
      </c>
      <c r="N175" s="366">
        <f>IFERROR('2.3'!N162/'2.1'!N173,"")</f>
        <v>0.64054404145077726</v>
      </c>
      <c r="O175" s="366">
        <f>IFERROR('2.3'!O162/'2.1'!O173,"")</f>
        <v>0.87607780228594345</v>
      </c>
      <c r="P175" s="366">
        <f>IFERROR('2.3'!P162/'2.1'!P173,"")</f>
        <v>0.93736603953322217</v>
      </c>
      <c r="Q175" s="366">
        <f>IFERROR('2.3'!Q162/'2.1'!Q173,"")</f>
        <v>0.90409318528195082</v>
      </c>
      <c r="R175" s="366">
        <f>IFERROR('2.3'!R162/'2.1'!R173,"")</f>
        <v>0.90974729241877261</v>
      </c>
      <c r="S175" s="366">
        <f>IFERROR('2.3'!S162/'2.1'!S173,"")</f>
        <v>0.93485342019543971</v>
      </c>
      <c r="T175" s="366">
        <f>IFERROR('2.3'!T162/'2.1'!T173,"")</f>
        <v>0.92294520547945202</v>
      </c>
      <c r="U175" s="367">
        <f>IFERROR('2.3'!U162/'2.1'!U173,"")</f>
        <v>0.83847661033553755</v>
      </c>
      <c r="V175" s="367">
        <f>IFERROR('2.3'!V162/'2.1'!V173,"")</f>
        <v>0.92485549132947975</v>
      </c>
      <c r="W175" s="367">
        <f>IFERROR('2.3'!W162/'2.1'!W173,"")</f>
        <v>0.87337614946723108</v>
      </c>
    </row>
    <row r="176" spans="2:23" hidden="1" outlineLevel="1" x14ac:dyDescent="0.25">
      <c r="B176" s="362">
        <v>43586</v>
      </c>
      <c r="C176" s="366" t="str">
        <f>IFERROR('2.3'!C163/'2.1'!C174,"")</f>
        <v/>
      </c>
      <c r="D176" s="366" t="str">
        <f>IFERROR('2.3'!D163/'2.1'!D174,"")</f>
        <v/>
      </c>
      <c r="E176" s="366" t="str">
        <f>IFERROR('2.3'!E163/'2.1'!E174,"")</f>
        <v/>
      </c>
      <c r="F176" s="366" t="str">
        <f>IFERROR('2.3'!F163/'2.1'!F174,"")</f>
        <v/>
      </c>
      <c r="G176" s="366" t="str">
        <f>IFERROR('2.3'!G163/'2.1'!G174,"")</f>
        <v/>
      </c>
      <c r="H176" s="366" t="str">
        <f>IFERROR('2.3'!H163/'2.1'!H174,"")</f>
        <v/>
      </c>
      <c r="I176" s="366">
        <f>IFERROR('2.3'!I163/'2.1'!I174,"")</f>
        <v>0.88858842617631151</v>
      </c>
      <c r="J176" s="366">
        <f>IFERROR('2.3'!J163/'2.1'!J174,"")</f>
        <v>0.95509499136442144</v>
      </c>
      <c r="K176" s="366">
        <f>IFERROR('2.3'!K163/'2.1'!K174,"")</f>
        <v>0.90444810543657328</v>
      </c>
      <c r="L176" s="366">
        <f>IFERROR('2.3'!L163/'2.1'!L174,"")</f>
        <v>0.55555555555555558</v>
      </c>
      <c r="M176" s="366">
        <f>IFERROR('2.3'!M163/'2.1'!M174,"")</f>
        <v>0.79439252336448596</v>
      </c>
      <c r="N176" s="366">
        <f>IFERROR('2.3'!N163/'2.1'!N174,"")</f>
        <v>0.63000728332119449</v>
      </c>
      <c r="O176" s="366">
        <f>IFERROR('2.3'!O163/'2.1'!O174,"")</f>
        <v>0.87558733401430033</v>
      </c>
      <c r="P176" s="366">
        <f>IFERROR('2.3'!P163/'2.1'!P174,"")</f>
        <v>0.93117053923717663</v>
      </c>
      <c r="Q176" s="366">
        <f>IFERROR('2.3'!Q163/'2.1'!Q174,"")</f>
        <v>0.90240033837369149</v>
      </c>
      <c r="R176" s="366">
        <f>IFERROR('2.3'!R163/'2.1'!R174,"")</f>
        <v>0.92672413793103448</v>
      </c>
      <c r="S176" s="366">
        <f>IFERROR('2.3'!S163/'2.1'!S174,"")</f>
        <v>0.93625498007968122</v>
      </c>
      <c r="T176" s="366">
        <f>IFERROR('2.3'!T163/'2.1'!T174,"")</f>
        <v>0.93167701863354035</v>
      </c>
      <c r="U176" s="367">
        <f>IFERROR('2.3'!U163/'2.1'!U174,"")</f>
        <v>0.84193914909733625</v>
      </c>
      <c r="V176" s="367">
        <f>IFERROR('2.3'!V163/'2.1'!V174,"")</f>
        <v>0.92371134020618562</v>
      </c>
      <c r="W176" s="367">
        <f>IFERROR('2.3'!W163/'2.1'!W174,"")</f>
        <v>0.87657375736845933</v>
      </c>
    </row>
    <row r="177" spans="2:23" hidden="1" outlineLevel="1" x14ac:dyDescent="0.25">
      <c r="B177" s="362">
        <v>43617</v>
      </c>
      <c r="C177" s="366" t="str">
        <f>IFERROR('2.3'!C164/'2.1'!C175,"")</f>
        <v/>
      </c>
      <c r="D177" s="366" t="str">
        <f>IFERROR('2.3'!D164/'2.1'!D175,"")</f>
        <v/>
      </c>
      <c r="E177" s="366" t="str">
        <f>IFERROR('2.3'!E164/'2.1'!E175,"")</f>
        <v/>
      </c>
      <c r="F177" s="366" t="str">
        <f>IFERROR('2.3'!F164/'2.1'!F175,"")</f>
        <v/>
      </c>
      <c r="G177" s="366" t="str">
        <f>IFERROR('2.3'!G164/'2.1'!G175,"")</f>
        <v/>
      </c>
      <c r="H177" s="366" t="str">
        <f>IFERROR('2.3'!H164/'2.1'!H175,"")</f>
        <v/>
      </c>
      <c r="I177" s="366">
        <f>IFERROR('2.3'!I164/'2.1'!I175,"")</f>
        <v>0.87448680351906161</v>
      </c>
      <c r="J177" s="366">
        <f>IFERROR('2.3'!J164/'2.1'!J175,"")</f>
        <v>0.94573643410852715</v>
      </c>
      <c r="K177" s="366">
        <f>IFERROR('2.3'!K164/'2.1'!K175,"")</f>
        <v>0.89104007203962177</v>
      </c>
      <c r="L177" s="366">
        <f>IFERROR('2.3'!L164/'2.1'!L175,"")</f>
        <v>0.59308807134894093</v>
      </c>
      <c r="M177" s="366">
        <f>IFERROR('2.3'!M164/'2.1'!M175,"")</f>
        <v>0.83795309168443499</v>
      </c>
      <c r="N177" s="366">
        <f>IFERROR('2.3'!N164/'2.1'!N175,"")</f>
        <v>0.6771595900439239</v>
      </c>
      <c r="O177" s="366">
        <f>IFERROR('2.3'!O164/'2.1'!O175,"")</f>
        <v>0.87467730579676128</v>
      </c>
      <c r="P177" s="366">
        <f>IFERROR('2.3'!P164/'2.1'!P175,"")</f>
        <v>0.93745051464766427</v>
      </c>
      <c r="Q177" s="366">
        <f>IFERROR('2.3'!Q164/'2.1'!Q175,"")</f>
        <v>0.90422360248447209</v>
      </c>
      <c r="R177" s="366">
        <f>IFERROR('2.3'!R164/'2.1'!R175,"")</f>
        <v>0.8910891089108911</v>
      </c>
      <c r="S177" s="366">
        <f>IFERROR('2.3'!S164/'2.1'!S175,"")</f>
        <v>0.92964824120603018</v>
      </c>
      <c r="T177" s="366">
        <f>IFERROR('2.3'!T164/'2.1'!T175,"")</f>
        <v>0.91022443890274318</v>
      </c>
      <c r="U177" s="367">
        <f>IFERROR('2.3'!U164/'2.1'!U175,"")</f>
        <v>0.83934890304317056</v>
      </c>
      <c r="V177" s="367">
        <f>IFERROR('2.3'!V164/'2.1'!V175,"")</f>
        <v>0.92861451839935649</v>
      </c>
      <c r="W177" s="367">
        <f>IFERROR('2.3'!W164/'2.1'!W175,"")</f>
        <v>0.87622528659245724</v>
      </c>
    </row>
    <row r="178" spans="2:23" hidden="1" outlineLevel="1" x14ac:dyDescent="0.25">
      <c r="B178" s="362">
        <v>43647</v>
      </c>
      <c r="C178" s="366" t="str">
        <f>IFERROR('2.3'!C165/'2.1'!C176,"")</f>
        <v/>
      </c>
      <c r="D178" s="366" t="str">
        <f>IFERROR('2.3'!D165/'2.1'!D176,"")</f>
        <v/>
      </c>
      <c r="E178" s="366" t="str">
        <f>IFERROR('2.3'!E165/'2.1'!E176,"")</f>
        <v/>
      </c>
      <c r="F178" s="366" t="str">
        <f>IFERROR('2.3'!F165/'2.1'!F176,"")</f>
        <v/>
      </c>
      <c r="G178" s="366" t="str">
        <f>IFERROR('2.3'!G165/'2.1'!G176,"")</f>
        <v/>
      </c>
      <c r="H178" s="366" t="str">
        <f>IFERROR('2.3'!H165/'2.1'!H176,"")</f>
        <v/>
      </c>
      <c r="I178" s="366">
        <f>IFERROR('2.3'!I165/'2.1'!I176,"")</f>
        <v>0.88789237668161436</v>
      </c>
      <c r="J178" s="366">
        <f>IFERROR('2.3'!J165/'2.1'!J176,"")</f>
        <v>0.94710743801652897</v>
      </c>
      <c r="K178" s="366">
        <f>IFERROR('2.3'!K165/'2.1'!K176,"")</f>
        <v>0.90160796324655434</v>
      </c>
      <c r="L178" s="366">
        <f>IFERROR('2.3'!L165/'2.1'!L176,"")</f>
        <v>0.59943449575871821</v>
      </c>
      <c r="M178" s="366">
        <f>IFERROR('2.3'!M165/'2.1'!M176,"")</f>
        <v>0.76608187134502925</v>
      </c>
      <c r="N178" s="366">
        <f>IFERROR('2.3'!N165/'2.1'!N176,"")</f>
        <v>0.65374841168996189</v>
      </c>
      <c r="O178" s="366">
        <f>IFERROR('2.3'!O165/'2.1'!O176,"")</f>
        <v>0.88694702348443477</v>
      </c>
      <c r="P178" s="366">
        <f>IFERROR('2.3'!P165/'2.1'!P176,"")</f>
        <v>0.94</v>
      </c>
      <c r="Q178" s="366">
        <f>IFERROR('2.3'!Q165/'2.1'!Q176,"")</f>
        <v>0.91140979103306186</v>
      </c>
      <c r="R178" s="366">
        <f>IFERROR('2.3'!R165/'2.1'!R176,"")</f>
        <v>0.9327731092436975</v>
      </c>
      <c r="S178" s="366">
        <f>IFERROR('2.3'!S165/'2.1'!S176,"")</f>
        <v>0.97413793103448276</v>
      </c>
      <c r="T178" s="366">
        <f>IFERROR('2.3'!T165/'2.1'!T176,"")</f>
        <v>0.95319148936170217</v>
      </c>
      <c r="U178" s="367">
        <f>IFERROR('2.3'!U165/'2.1'!U176,"")</f>
        <v>0.85373337879304467</v>
      </c>
      <c r="V178" s="367">
        <f>IFERROR('2.3'!V165/'2.1'!V176,"")</f>
        <v>0.92727272727272725</v>
      </c>
      <c r="W178" s="367">
        <f>IFERROR('2.3'!W165/'2.1'!W176,"")</f>
        <v>0.88369587177587716</v>
      </c>
    </row>
    <row r="179" spans="2:23" hidden="1" outlineLevel="1" x14ac:dyDescent="0.25">
      <c r="B179" s="362">
        <v>43678</v>
      </c>
      <c r="C179" s="366" t="str">
        <f>IFERROR('2.3'!C166/'2.1'!C177,"")</f>
        <v/>
      </c>
      <c r="D179" s="366" t="str">
        <f>IFERROR('2.3'!D166/'2.1'!D177,"")</f>
        <v/>
      </c>
      <c r="E179" s="366" t="str">
        <f>IFERROR('2.3'!E166/'2.1'!E177,"")</f>
        <v/>
      </c>
      <c r="F179" s="366" t="str">
        <f>IFERROR('2.3'!F166/'2.1'!F177,"")</f>
        <v/>
      </c>
      <c r="G179" s="366" t="str">
        <f>IFERROR('2.3'!G166/'2.1'!G177,"")</f>
        <v/>
      </c>
      <c r="H179" s="366" t="str">
        <f>IFERROR('2.3'!H166/'2.1'!H177,"")</f>
        <v/>
      </c>
      <c r="I179" s="366">
        <f>IFERROR('2.3'!I166/'2.1'!I177,"")</f>
        <v>0.88398611799702531</v>
      </c>
      <c r="J179" s="366">
        <f>IFERROR('2.3'!J166/'2.1'!J177,"")</f>
        <v>0.93298059964726632</v>
      </c>
      <c r="K179" s="366">
        <f>IFERROR('2.3'!K166/'2.1'!K177,"")</f>
        <v>0.89473684210526316</v>
      </c>
      <c r="L179" s="366">
        <f>IFERROR('2.3'!L166/'2.1'!L177,"")</f>
        <v>0.58414872798434447</v>
      </c>
      <c r="M179" s="366">
        <f>IFERROR('2.3'!M166/'2.1'!M177,"")</f>
        <v>0.77682403433476399</v>
      </c>
      <c r="N179" s="366">
        <f>IFERROR('2.3'!N166/'2.1'!N177,"")</f>
        <v>0.644489247311828</v>
      </c>
      <c r="O179" s="366">
        <f>IFERROR('2.3'!O166/'2.1'!O177,"")</f>
        <v>0.87053988417709693</v>
      </c>
      <c r="P179" s="366">
        <f>IFERROR('2.3'!P166/'2.1'!P177,"")</f>
        <v>0.9279651296168846</v>
      </c>
      <c r="Q179" s="366">
        <f>IFERROR('2.3'!Q166/'2.1'!Q177,"")</f>
        <v>0.89631383855024716</v>
      </c>
      <c r="R179" s="366">
        <f>IFERROR('2.3'!R166/'2.1'!R177,"")</f>
        <v>0.9</v>
      </c>
      <c r="S179" s="366">
        <f>IFERROR('2.3'!S166/'2.1'!S177,"")</f>
        <v>0.92990654205607481</v>
      </c>
      <c r="T179" s="366">
        <f>IFERROR('2.3'!T166/'2.1'!T177,"")</f>
        <v>0.91509433962264153</v>
      </c>
      <c r="U179" s="367">
        <f>IFERROR('2.3'!U166/'2.1'!U177,"")</f>
        <v>0.84038595675424321</v>
      </c>
      <c r="V179" s="367">
        <f>IFERROR('2.3'!V166/'2.1'!V177,"")</f>
        <v>0.9159828754905458</v>
      </c>
      <c r="W179" s="367">
        <f>IFERROR('2.3'!W166/'2.1'!W177,"")</f>
        <v>0.870213963963964</v>
      </c>
    </row>
    <row r="180" spans="2:23" hidden="1" outlineLevel="1" x14ac:dyDescent="0.25">
      <c r="B180" s="362">
        <v>43709</v>
      </c>
      <c r="C180" s="366" t="str">
        <f>IFERROR('2.3'!C167/'2.1'!C178,"")</f>
        <v/>
      </c>
      <c r="D180" s="366" t="str">
        <f>IFERROR('2.3'!D167/'2.1'!D178,"")</f>
        <v/>
      </c>
      <c r="E180" s="366" t="str">
        <f>IFERROR('2.3'!E167/'2.1'!E178,"")</f>
        <v/>
      </c>
      <c r="F180" s="366" t="str">
        <f>IFERROR('2.3'!F167/'2.1'!F178,"")</f>
        <v/>
      </c>
      <c r="G180" s="366" t="str">
        <f>IFERROR('2.3'!G167/'2.1'!G178,"")</f>
        <v/>
      </c>
      <c r="H180" s="366" t="str">
        <f>IFERROR('2.3'!H167/'2.1'!H178,"")</f>
        <v/>
      </c>
      <c r="I180" s="366">
        <f>IFERROR('2.3'!I167/'2.1'!I178,"")</f>
        <v>0.89896907216494848</v>
      </c>
      <c r="J180" s="366">
        <f>IFERROR('2.3'!J167/'2.1'!J178,"")</f>
        <v>0.94517958412098302</v>
      </c>
      <c r="K180" s="366">
        <f>IFERROR('2.3'!K167/'2.1'!K178,"")</f>
        <v>0.90886998784933171</v>
      </c>
      <c r="L180" s="366">
        <f>IFERROR('2.3'!L167/'2.1'!L178,"")</f>
        <v>0.5627329192546584</v>
      </c>
      <c r="M180" s="366">
        <f>IFERROR('2.3'!M167/'2.1'!M178,"")</f>
        <v>0.78846153846153844</v>
      </c>
      <c r="N180" s="366">
        <f>IFERROR('2.3'!N167/'2.1'!N178,"")</f>
        <v>0.63963963963963966</v>
      </c>
      <c r="O180" s="366">
        <f>IFERROR('2.3'!O167/'2.1'!O178,"")</f>
        <v>0.88243771875643406</v>
      </c>
      <c r="P180" s="366">
        <f>IFERROR('2.3'!P167/'2.1'!P178,"")</f>
        <v>0.92864398171660745</v>
      </c>
      <c r="Q180" s="366">
        <f>IFERROR('2.3'!Q167/'2.1'!Q178,"")</f>
        <v>0.90312677657760088</v>
      </c>
      <c r="R180" s="366">
        <f>IFERROR('2.3'!R167/'2.1'!R178,"")</f>
        <v>0.90366972477064222</v>
      </c>
      <c r="S180" s="366">
        <f>IFERROR('2.3'!S167/'2.1'!S178,"")</f>
        <v>0.94142259414225937</v>
      </c>
      <c r="T180" s="366">
        <f>IFERROR('2.3'!T167/'2.1'!T178,"")</f>
        <v>0.92341356673960617</v>
      </c>
      <c r="U180" s="367">
        <f>IFERROR('2.3'!U167/'2.1'!U178,"")</f>
        <v>0.8542199488491049</v>
      </c>
      <c r="V180" s="367">
        <f>IFERROR('2.3'!V167/'2.1'!V178,"")</f>
        <v>0.9195626708317064</v>
      </c>
      <c r="W180" s="367">
        <f>IFERROR('2.3'!W167/'2.1'!W178,"")</f>
        <v>0.88008035852263944</v>
      </c>
    </row>
    <row r="181" spans="2:23" hidden="1" outlineLevel="1" x14ac:dyDescent="0.25">
      <c r="B181" s="362">
        <v>43739</v>
      </c>
      <c r="C181" s="366" t="str">
        <f>IFERROR('2.3'!C168/'2.1'!C179,"")</f>
        <v/>
      </c>
      <c r="D181" s="366" t="str">
        <f>IFERROR('2.3'!D168/'2.1'!D179,"")</f>
        <v/>
      </c>
      <c r="E181" s="366" t="str">
        <f>IFERROR('2.3'!E168/'2.1'!E179,"")</f>
        <v/>
      </c>
      <c r="F181" s="366" t="str">
        <f>IFERROR('2.3'!F168/'2.1'!F179,"")</f>
        <v/>
      </c>
      <c r="G181" s="366" t="str">
        <f>IFERROR('2.3'!G168/'2.1'!G179,"")</f>
        <v/>
      </c>
      <c r="H181" s="366" t="str">
        <f>IFERROR('2.3'!H168/'2.1'!H179,"")</f>
        <v/>
      </c>
      <c r="I181" s="366">
        <f>IFERROR('2.3'!I168/'2.1'!I179,"")</f>
        <v>0.8954423592493298</v>
      </c>
      <c r="J181" s="366">
        <f>IFERROR('2.3'!J168/'2.1'!J179,"")</f>
        <v>0.94026974951830444</v>
      </c>
      <c r="K181" s="366">
        <f>IFERROR('2.3'!K168/'2.1'!K179,"")</f>
        <v>0.90520134228187921</v>
      </c>
      <c r="L181" s="366">
        <f>IFERROR('2.3'!L168/'2.1'!L179,"")</f>
        <v>0.56190476190476191</v>
      </c>
      <c r="M181" s="366">
        <f>IFERROR('2.3'!M168/'2.1'!M179,"")</f>
        <v>0.76764705882352946</v>
      </c>
      <c r="N181" s="366">
        <f>IFERROR('2.3'!N168/'2.1'!N179,"")</f>
        <v>0.62118644067796613</v>
      </c>
      <c r="O181" s="366">
        <f>IFERROR('2.3'!O168/'2.1'!O179,"")</f>
        <v>0.88338586222422333</v>
      </c>
      <c r="P181" s="366">
        <f>IFERROR('2.3'!P168/'2.1'!P179,"")</f>
        <v>0.93249192838274142</v>
      </c>
      <c r="Q181" s="366">
        <f>IFERROR('2.3'!Q168/'2.1'!Q179,"")</f>
        <v>0.90470123582621986</v>
      </c>
      <c r="R181" s="366">
        <f>IFERROR('2.3'!R168/'2.1'!R179,"")</f>
        <v>0.91847826086956519</v>
      </c>
      <c r="S181" s="366">
        <f>IFERROR('2.3'!S168/'2.1'!S179,"")</f>
        <v>0.94886363636363635</v>
      </c>
      <c r="T181" s="366">
        <f>IFERROR('2.3'!T168/'2.1'!T179,"")</f>
        <v>0.93333333333333335</v>
      </c>
      <c r="U181" s="367">
        <f>IFERROR('2.3'!U168/'2.1'!U179,"")</f>
        <v>0.85049788569090168</v>
      </c>
      <c r="V181" s="367">
        <f>IFERROR('2.3'!V168/'2.1'!V179,"")</f>
        <v>0.92143178748311572</v>
      </c>
      <c r="W181" s="367">
        <f>IFERROR('2.3'!W168/'2.1'!W179,"")</f>
        <v>0.87726153062091228</v>
      </c>
    </row>
    <row r="182" spans="2:23" hidden="1" outlineLevel="1" x14ac:dyDescent="0.25">
      <c r="B182" s="362">
        <v>43770</v>
      </c>
      <c r="C182" s="366" t="str">
        <f>IFERROR('2.3'!C169/'2.1'!C180,"")</f>
        <v/>
      </c>
      <c r="D182" s="366" t="str">
        <f>IFERROR('2.3'!D169/'2.1'!D180,"")</f>
        <v/>
      </c>
      <c r="E182" s="366" t="str">
        <f>IFERROR('2.3'!E169/'2.1'!E180,"")</f>
        <v/>
      </c>
      <c r="F182" s="366" t="str">
        <f>IFERROR('2.3'!F169/'2.1'!F180,"")</f>
        <v/>
      </c>
      <c r="G182" s="366" t="str">
        <f>IFERROR('2.3'!G169/'2.1'!G180,"")</f>
        <v/>
      </c>
      <c r="H182" s="366" t="str">
        <f>IFERROR('2.3'!H169/'2.1'!H180,"")</f>
        <v/>
      </c>
      <c r="I182" s="366">
        <f>IFERROR('2.3'!I169/'2.1'!I180,"")</f>
        <v>0.90973036342321223</v>
      </c>
      <c r="J182" s="366">
        <f>IFERROR('2.3'!J169/'2.1'!J180,"")</f>
        <v>0.96797153024911031</v>
      </c>
      <c r="K182" s="366">
        <f>IFERROR('2.3'!K169/'2.1'!K180,"")</f>
        <v>0.92416225749559078</v>
      </c>
      <c r="L182" s="366">
        <f>IFERROR('2.3'!L169/'2.1'!L180,"")</f>
        <v>0.63953488372093026</v>
      </c>
      <c r="M182" s="366">
        <f>IFERROR('2.3'!M169/'2.1'!M180,"")</f>
        <v>0.80063291139240511</v>
      </c>
      <c r="N182" s="366">
        <f>IFERROR('2.3'!N169/'2.1'!N180,"")</f>
        <v>0.69023904382470125</v>
      </c>
      <c r="O182" s="366">
        <f>IFERROR('2.3'!O169/'2.1'!O180,"")</f>
        <v>0.90424324937599276</v>
      </c>
      <c r="P182" s="366">
        <f>IFERROR('2.3'!P169/'2.1'!P180,"")</f>
        <v>0.93348689893463865</v>
      </c>
      <c r="Q182" s="366">
        <f>IFERROR('2.3'!Q169/'2.1'!Q180,"")</f>
        <v>0.91713197969543148</v>
      </c>
      <c r="R182" s="366">
        <f>IFERROR('2.3'!R169/'2.1'!R180,"")</f>
        <v>0.91878172588832485</v>
      </c>
      <c r="S182" s="366">
        <f>IFERROR('2.3'!S169/'2.1'!S180,"")</f>
        <v>0.94240837696335078</v>
      </c>
      <c r="T182" s="366">
        <f>IFERROR('2.3'!T169/'2.1'!T180,"")</f>
        <v>0.93041237113402064</v>
      </c>
      <c r="U182" s="367">
        <f>IFERROR('2.3'!U169/'2.1'!U180,"")</f>
        <v>0.87996570448699629</v>
      </c>
      <c r="V182" s="367">
        <f>IFERROR('2.3'!V169/'2.1'!V180,"")</f>
        <v>0.92888595332452661</v>
      </c>
      <c r="W182" s="367">
        <f>IFERROR('2.3'!W169/'2.1'!W180,"")</f>
        <v>0.89922010398613517</v>
      </c>
    </row>
    <row r="183" spans="2:23" hidden="1" outlineLevel="1" x14ac:dyDescent="0.25">
      <c r="B183" s="362">
        <v>43800</v>
      </c>
      <c r="C183" s="366" t="str">
        <f>IFERROR('2.3'!C170/'2.1'!C181,"")</f>
        <v/>
      </c>
      <c r="D183" s="366" t="str">
        <f>IFERROR('2.3'!D170/'2.1'!D181,"")</f>
        <v/>
      </c>
      <c r="E183" s="366" t="str">
        <f>IFERROR('2.3'!E170/'2.1'!E181,"")</f>
        <v/>
      </c>
      <c r="F183" s="366" t="str">
        <f>IFERROR('2.3'!F170/'2.1'!F181,"")</f>
        <v/>
      </c>
      <c r="G183" s="366" t="str">
        <f>IFERROR('2.3'!G170/'2.1'!G181,"")</f>
        <v/>
      </c>
      <c r="H183" s="366" t="str">
        <f>IFERROR('2.3'!H170/'2.1'!H181,"")</f>
        <v/>
      </c>
      <c r="I183" s="366">
        <f>IFERROR('2.3'!I170/'2.1'!I181,"")</f>
        <v>0.87276688453159046</v>
      </c>
      <c r="J183" s="366">
        <f>IFERROR('2.3'!J170/'2.1'!J181,"")</f>
        <v>0.93230769230769228</v>
      </c>
      <c r="K183" s="366">
        <f>IFERROR('2.3'!K170/'2.1'!K181,"")</f>
        <v>0.88590831918505941</v>
      </c>
      <c r="L183" s="366">
        <f>IFERROR('2.3'!L170/'2.1'!L181,"")</f>
        <v>0.57986111111111116</v>
      </c>
      <c r="M183" s="366">
        <f>IFERROR('2.3'!M170/'2.1'!M181,"")</f>
        <v>0.78388998035363455</v>
      </c>
      <c r="N183" s="366">
        <f>IFERROR('2.3'!N170/'2.1'!N181,"")</f>
        <v>0.64238410596026485</v>
      </c>
      <c r="O183" s="366">
        <f>IFERROR('2.3'!O170/'2.1'!O181,"")</f>
        <v>0.87122985814626086</v>
      </c>
      <c r="P183" s="366">
        <f>IFERROR('2.3'!P170/'2.1'!P181,"")</f>
        <v>0.92127490039840643</v>
      </c>
      <c r="Q183" s="366">
        <f>IFERROR('2.3'!Q170/'2.1'!Q181,"")</f>
        <v>0.89442966903073284</v>
      </c>
      <c r="R183" s="366">
        <f>IFERROR('2.3'!R170/'2.1'!R181,"")</f>
        <v>0.88275862068965516</v>
      </c>
      <c r="S183" s="366">
        <f>IFERROR('2.3'!S170/'2.1'!S181,"")</f>
        <v>0.91212121212121211</v>
      </c>
      <c r="T183" s="366">
        <f>IFERROR('2.3'!T170/'2.1'!T181,"")</f>
        <v>0.89838709677419359</v>
      </c>
      <c r="U183" s="367">
        <f>IFERROR('2.3'!U170/'2.1'!U181,"")</f>
        <v>0.84133478814329876</v>
      </c>
      <c r="V183" s="367">
        <f>IFERROR('2.3'!V170/'2.1'!V181,"")</f>
        <v>0.91280267903142709</v>
      </c>
      <c r="W183" s="367">
        <f>IFERROR('2.3'!W170/'2.1'!W181,"")</f>
        <v>0.87090928472444307</v>
      </c>
    </row>
    <row r="184" spans="2:23" collapsed="1" x14ac:dyDescent="0.25">
      <c r="B184" s="364" t="s">
        <v>710</v>
      </c>
      <c r="C184" s="367" t="str">
        <f>IFERROR('2.3'!C171/'2.1'!C182,"")</f>
        <v/>
      </c>
      <c r="D184" s="367" t="str">
        <f>IFERROR('2.3'!D171/'2.1'!D182,"")</f>
        <v/>
      </c>
      <c r="E184" s="367" t="str">
        <f>IFERROR('2.3'!E171/'2.1'!E182,"")</f>
        <v/>
      </c>
      <c r="F184" s="367" t="str">
        <f>IFERROR('2.3'!F171/'2.1'!F182,"")</f>
        <v/>
      </c>
      <c r="G184" s="367" t="str">
        <f>IFERROR('2.3'!G171/'2.1'!G182,"")</f>
        <v/>
      </c>
      <c r="H184" s="367" t="str">
        <f>IFERROR('2.3'!H171/'2.1'!H182,"")</f>
        <v/>
      </c>
      <c r="I184" s="367">
        <f>IFERROR('2.3'!I171/'2.1'!I182,"")</f>
        <v>0.88661417322834646</v>
      </c>
      <c r="J184" s="367">
        <f>IFERROR('2.3'!J171/'2.1'!J182,"")</f>
        <v>0.94415357766143104</v>
      </c>
      <c r="K184" s="367">
        <f>IFERROR('2.3'!K171/'2.1'!K182,"")</f>
        <v>0.89991928974979818</v>
      </c>
      <c r="L184" s="367">
        <f>IFERROR('2.3'!L171/'2.1'!L182,"")</f>
        <v>0.58227848101265822</v>
      </c>
      <c r="M184" s="367">
        <f>IFERROR('2.3'!M171/'2.1'!M182,"")</f>
        <v>0.79271070615034167</v>
      </c>
      <c r="N184" s="367">
        <f>IFERROR('2.3'!N171/'2.1'!N182,"")</f>
        <v>0.64935064935064934</v>
      </c>
      <c r="O184" s="367">
        <f>IFERROR('2.3'!O171/'2.1'!O182,"")</f>
        <v>0.87953924248340487</v>
      </c>
      <c r="P184" s="367">
        <f>IFERROR('2.3'!P171/'2.1'!P182,"")</f>
        <v>0.93300653594771243</v>
      </c>
      <c r="Q184" s="367">
        <f>IFERROR('2.3'!Q171/'2.1'!Q182,"")</f>
        <v>0.90389113331915794</v>
      </c>
      <c r="R184" s="367">
        <f>IFERROR('2.3'!R171/'2.1'!R182,"")</f>
        <v>0.91269841269841268</v>
      </c>
      <c r="S184" s="367">
        <f>IFERROR('2.3'!S171/'2.1'!S182,"")</f>
        <v>0.94094488188976377</v>
      </c>
      <c r="T184" s="367">
        <f>IFERROR('2.3'!T171/'2.1'!T182,"")</f>
        <v>0.9268774703557312</v>
      </c>
      <c r="U184" s="367">
        <f>IFERROR('2.3'!U171/'2.1'!U182,"")</f>
        <v>0.84793971070864227</v>
      </c>
      <c r="V184" s="367">
        <f>IFERROR('2.3'!V171/'2.1'!V182,"")</f>
        <v>0.9235898360064877</v>
      </c>
      <c r="W184" s="367">
        <f>IFERROR('2.3'!W171/'2.1'!W182,"")</f>
        <v>0.87841173054587685</v>
      </c>
    </row>
    <row r="185" spans="2:23" hidden="1" outlineLevel="1" x14ac:dyDescent="0.25">
      <c r="B185" s="362">
        <v>43831</v>
      </c>
      <c r="C185" s="366" t="str">
        <f>IFERROR('2.3'!C172/'2.1'!C183,"")</f>
        <v/>
      </c>
      <c r="D185" s="366" t="str">
        <f>IFERROR('2.3'!D172/'2.1'!D183,"")</f>
        <v/>
      </c>
      <c r="E185" s="366" t="str">
        <f>IFERROR('2.3'!E172/'2.1'!E183,"")</f>
        <v/>
      </c>
      <c r="F185" s="366" t="str">
        <f>IFERROR('2.3'!F172/'2.1'!F183,"")</f>
        <v/>
      </c>
      <c r="G185" s="366" t="str">
        <f>IFERROR('2.3'!G172/'2.1'!G183,"")</f>
        <v/>
      </c>
      <c r="H185" s="366" t="str">
        <f>IFERROR('2.3'!H172/'2.1'!H183,"")</f>
        <v/>
      </c>
      <c r="I185" s="366">
        <f>IFERROR('2.3'!I172/'2.1'!I183,"")</f>
        <v>0.88235294117647056</v>
      </c>
      <c r="J185" s="366">
        <f>IFERROR('2.3'!J172/'2.1'!J183,"")</f>
        <v>0.91833810888252154</v>
      </c>
      <c r="K185" s="366">
        <f>IFERROR('2.3'!K172/'2.1'!K183,"")</f>
        <v>0.8906976744186047</v>
      </c>
      <c r="L185" s="366">
        <f>IFERROR('2.3'!L172/'2.1'!L183,"")</f>
        <v>0.56020066889632103</v>
      </c>
      <c r="M185" s="366">
        <f>IFERROR('2.3'!M172/'2.1'!M183,"")</f>
        <v>0.78815080789946135</v>
      </c>
      <c r="N185" s="366">
        <f>IFERROR('2.3'!N172/'2.1'!N183,"")</f>
        <v>0.63262977752424421</v>
      </c>
      <c r="O185" s="366">
        <f>IFERROR('2.3'!O172/'2.1'!O183,"")</f>
        <v>0.86811580076030803</v>
      </c>
      <c r="P185" s="366">
        <f>IFERROR('2.3'!P172/'2.1'!P183,"")</f>
        <v>0.93801910299003322</v>
      </c>
      <c r="Q185" s="366">
        <f>IFERROR('2.3'!Q172/'2.1'!Q183,"")</f>
        <v>0.90196571313659446</v>
      </c>
      <c r="R185" s="366">
        <f>IFERROR('2.3'!R172/'2.1'!R183,"")</f>
        <v>0.89757412398921832</v>
      </c>
      <c r="S185" s="366">
        <f>IFERROR('2.3'!S172/'2.1'!S183,"")</f>
        <v>0.89459459459459456</v>
      </c>
      <c r="T185" s="366">
        <f>IFERROR('2.3'!T172/'2.1'!T183,"")</f>
        <v>0.89608636977058032</v>
      </c>
      <c r="U185" s="367">
        <f>IFERROR('2.3'!U172/'2.1'!U183,"")</f>
        <v>0.84516904795586367</v>
      </c>
      <c r="V185" s="367">
        <f>IFERROR('2.3'!V172/'2.1'!V183,"")</f>
        <v>0.92795593852713865</v>
      </c>
      <c r="W185" s="367">
        <f>IFERROR('2.3'!W172/'2.1'!W183,"")</f>
        <v>0.88186650915534559</v>
      </c>
    </row>
    <row r="186" spans="2:23" hidden="1" outlineLevel="1" x14ac:dyDescent="0.25">
      <c r="B186" s="362">
        <v>43862</v>
      </c>
      <c r="C186" s="366" t="str">
        <f>IFERROR('2.3'!C173/'2.1'!C184,"")</f>
        <v/>
      </c>
      <c r="D186" s="366" t="str">
        <f>IFERROR('2.3'!D173/'2.1'!D184,"")</f>
        <v/>
      </c>
      <c r="E186" s="366" t="str">
        <f>IFERROR('2.3'!E173/'2.1'!E184,"")</f>
        <v/>
      </c>
      <c r="F186" s="366" t="str">
        <f>IFERROR('2.3'!F173/'2.1'!F184,"")</f>
        <v/>
      </c>
      <c r="G186" s="366" t="str">
        <f>IFERROR('2.3'!G173/'2.1'!G184,"")</f>
        <v/>
      </c>
      <c r="H186" s="366" t="str">
        <f>IFERROR('2.3'!H173/'2.1'!H184,"")</f>
        <v/>
      </c>
      <c r="I186" s="366">
        <f>IFERROR('2.3'!I173/'2.1'!I184,"")</f>
        <v>0.85368366821226171</v>
      </c>
      <c r="J186" s="366">
        <f>IFERROR('2.3'!J173/'2.1'!J184,"")</f>
        <v>0.93287435456110157</v>
      </c>
      <c r="K186" s="366">
        <f>IFERROR('2.3'!K173/'2.1'!K184,"")</f>
        <v>0.87192704203013482</v>
      </c>
      <c r="L186" s="366">
        <f>IFERROR('2.3'!L173/'2.1'!L184,"")</f>
        <v>0.58246936852026387</v>
      </c>
      <c r="M186" s="366">
        <f>IFERROR('2.3'!M173/'2.1'!M184,"")</f>
        <v>0.78915662650602414</v>
      </c>
      <c r="N186" s="366">
        <f>IFERROR('2.3'!N173/'2.1'!N184,"")</f>
        <v>0.64849262347658754</v>
      </c>
      <c r="O186" s="366">
        <f>IFERROR('2.3'!O173/'2.1'!O184,"")</f>
        <v>0.8483063328424153</v>
      </c>
      <c r="P186" s="366">
        <f>IFERROR('2.3'!P173/'2.1'!P184,"")</f>
        <v>0.92636347486232018</v>
      </c>
      <c r="Q186" s="366">
        <f>IFERROR('2.3'!Q173/'2.1'!Q184,"")</f>
        <v>0.88468065731197487</v>
      </c>
      <c r="R186" s="366">
        <f>IFERROR('2.3'!R173/'2.1'!R184,"")</f>
        <v>0.90909090909090906</v>
      </c>
      <c r="S186" s="366">
        <f>IFERROR('2.3'!S173/'2.1'!S184,"")</f>
        <v>0.95768374164810688</v>
      </c>
      <c r="T186" s="366">
        <f>IFERROR('2.3'!T173/'2.1'!T184,"")</f>
        <v>0.9349112426035503</v>
      </c>
      <c r="U186" s="367">
        <f>IFERROR('2.3'!U173/'2.1'!U184,"")</f>
        <v>0.83311859623289775</v>
      </c>
      <c r="V186" s="367">
        <f>IFERROR('2.3'!V173/'2.1'!V184,"")</f>
        <v>0.9224151415610824</v>
      </c>
      <c r="W186" s="367">
        <f>IFERROR('2.3'!W173/'2.1'!W184,"")</f>
        <v>0.87237407598418426</v>
      </c>
    </row>
    <row r="187" spans="2:23" hidden="1" outlineLevel="1" x14ac:dyDescent="0.25">
      <c r="B187" s="362">
        <v>43891</v>
      </c>
      <c r="C187" s="366" t="str">
        <f>IFERROR('2.3'!C174/'2.1'!C185,"")</f>
        <v/>
      </c>
      <c r="D187" s="366" t="str">
        <f>IFERROR('2.3'!D174/'2.1'!D185,"")</f>
        <v/>
      </c>
      <c r="E187" s="366" t="str">
        <f>IFERROR('2.3'!E174/'2.1'!E185,"")</f>
        <v/>
      </c>
      <c r="F187" s="366" t="str">
        <f>IFERROR('2.3'!F174/'2.1'!F185,"")</f>
        <v/>
      </c>
      <c r="G187" s="366" t="str">
        <f>IFERROR('2.3'!G174/'2.1'!G185,"")</f>
        <v/>
      </c>
      <c r="H187" s="366" t="str">
        <f>IFERROR('2.3'!H174/'2.1'!H185,"")</f>
        <v/>
      </c>
      <c r="I187" s="366">
        <f>IFERROR('2.3'!I174/'2.1'!I185,"")</f>
        <v>0.89110225763612216</v>
      </c>
      <c r="J187" s="366">
        <f>IFERROR('2.3'!J174/'2.1'!J185,"")</f>
        <v>0.91902834008097167</v>
      </c>
      <c r="K187" s="366">
        <f>IFERROR('2.3'!K174/'2.1'!K185,"")</f>
        <v>0.89800000000000002</v>
      </c>
      <c r="L187" s="366">
        <f>IFERROR('2.3'!L174/'2.1'!L185,"")</f>
        <v>0.57975034674063797</v>
      </c>
      <c r="M187" s="366">
        <f>IFERROR('2.3'!M174/'2.1'!M185,"")</f>
        <v>0.8040201005025126</v>
      </c>
      <c r="N187" s="366">
        <f>IFERROR('2.3'!N174/'2.1'!N185,"")</f>
        <v>0.65951742627345844</v>
      </c>
      <c r="O187" s="366">
        <f>IFERROR('2.3'!O174/'2.1'!O185,"")</f>
        <v>0.87933934852423923</v>
      </c>
      <c r="P187" s="366">
        <f>IFERROR('2.3'!P174/'2.1'!P185,"")</f>
        <v>0.91586184318219022</v>
      </c>
      <c r="Q187" s="366">
        <f>IFERROR('2.3'!Q174/'2.1'!Q185,"")</f>
        <v>0.89697975964579379</v>
      </c>
      <c r="R187" s="366">
        <f>IFERROR('2.3'!R174/'2.1'!R185,"")</f>
        <v>0.90114068441064643</v>
      </c>
      <c r="S187" s="366">
        <f>IFERROR('2.3'!S174/'2.1'!S185,"")</f>
        <v>0.9242424242424242</v>
      </c>
      <c r="T187" s="366">
        <f>IFERROR('2.3'!T174/'2.1'!T185,"")</f>
        <v>0.91271347248576851</v>
      </c>
      <c r="U187" s="367">
        <f>IFERROR('2.3'!U174/'2.1'!U185,"")</f>
        <v>0.85801306899988927</v>
      </c>
      <c r="V187" s="367">
        <f>IFERROR('2.3'!V174/'2.1'!V185,"")</f>
        <v>0.91025464556090852</v>
      </c>
      <c r="W187" s="367">
        <f>IFERROR('2.3'!W174/'2.1'!W185,"")</f>
        <v>0.88130600220940225</v>
      </c>
    </row>
    <row r="188" spans="2:23" hidden="1" outlineLevel="1" x14ac:dyDescent="0.25">
      <c r="B188" s="362">
        <v>43922</v>
      </c>
      <c r="C188" s="366" t="str">
        <f>IFERROR('2.3'!C175/'2.1'!C186,"")</f>
        <v/>
      </c>
      <c r="D188" s="366" t="str">
        <f>IFERROR('2.3'!D175/'2.1'!D186,"")</f>
        <v/>
      </c>
      <c r="E188" s="366" t="str">
        <f>IFERROR('2.3'!E175/'2.1'!E186,"")</f>
        <v/>
      </c>
      <c r="F188" s="366" t="str">
        <f>IFERROR('2.3'!F175/'2.1'!F186,"")</f>
        <v/>
      </c>
      <c r="G188" s="366" t="str">
        <f>IFERROR('2.3'!G175/'2.1'!G186,"")</f>
        <v/>
      </c>
      <c r="H188" s="366" t="str">
        <f>IFERROR('2.3'!H175/'2.1'!H186,"")</f>
        <v/>
      </c>
      <c r="I188" s="366">
        <f>IFERROR('2.3'!I175/'2.1'!I186,"")</f>
        <v>0.93048659384309829</v>
      </c>
      <c r="J188" s="366">
        <f>IFERROR('2.3'!J175/'2.1'!J186,"")</f>
        <v>0.95013850415512469</v>
      </c>
      <c r="K188" s="366">
        <f>IFERROR('2.3'!K175/'2.1'!K186,"")</f>
        <v>0.93567251461988299</v>
      </c>
      <c r="L188" s="366">
        <f>IFERROR('2.3'!L175/'2.1'!L186,"")</f>
        <v>0.7363344051446945</v>
      </c>
      <c r="M188" s="366">
        <f>IFERROR('2.3'!M175/'2.1'!M186,"")</f>
        <v>0.93377483443708609</v>
      </c>
      <c r="N188" s="366">
        <f>IFERROR('2.3'!N175/'2.1'!N186,"")</f>
        <v>0.80086580086580084</v>
      </c>
      <c r="O188" s="366">
        <f>IFERROR('2.3'!O175/'2.1'!O186,"")</f>
        <v>0.91120943952802358</v>
      </c>
      <c r="P188" s="366">
        <f>IFERROR('2.3'!P175/'2.1'!P186,"")</f>
        <v>0.94047271666180332</v>
      </c>
      <c r="Q188" s="366">
        <f>IFERROR('2.3'!Q175/'2.1'!Q186,"")</f>
        <v>0.92592049288543343</v>
      </c>
      <c r="R188" s="366">
        <f>IFERROR('2.3'!R175/'2.1'!R186,"")</f>
        <v>0.9606986899563319</v>
      </c>
      <c r="S188" s="366">
        <f>IFERROR('2.3'!S175/'2.1'!S186,"")</f>
        <v>0.97285067873303166</v>
      </c>
      <c r="T188" s="366">
        <f>IFERROR('2.3'!T175/'2.1'!T186,"")</f>
        <v>0.96666666666666667</v>
      </c>
      <c r="U188" s="367">
        <f>IFERROR('2.3'!U175/'2.1'!U186,"")</f>
        <v>0.90642090338262105</v>
      </c>
      <c r="V188" s="367">
        <f>IFERROR('2.3'!V175/'2.1'!V186,"")</f>
        <v>0.94278846153846152</v>
      </c>
      <c r="W188" s="367">
        <f>IFERROR('2.3'!W175/'2.1'!W186,"")</f>
        <v>0.92305155545784323</v>
      </c>
    </row>
    <row r="189" spans="2:23" hidden="1" outlineLevel="1" x14ac:dyDescent="0.25">
      <c r="B189" s="362">
        <v>43952</v>
      </c>
      <c r="C189" s="366" t="str">
        <f>IFERROR('2.3'!C176/'2.1'!C187,"")</f>
        <v/>
      </c>
      <c r="D189" s="366" t="str">
        <f>IFERROR('2.3'!D176/'2.1'!D187,"")</f>
        <v/>
      </c>
      <c r="E189" s="366" t="str">
        <f>IFERROR('2.3'!E176/'2.1'!E187,"")</f>
        <v/>
      </c>
      <c r="F189" s="366" t="str">
        <f>IFERROR('2.3'!F176/'2.1'!F187,"")</f>
        <v/>
      </c>
      <c r="G189" s="366" t="str">
        <f>IFERROR('2.3'!G176/'2.1'!G187,"")</f>
        <v/>
      </c>
      <c r="H189" s="366" t="str">
        <f>IFERROR('2.3'!H176/'2.1'!H187,"")</f>
        <v/>
      </c>
      <c r="I189" s="366">
        <f>IFERROR('2.3'!I176/'2.1'!I187,"")</f>
        <v>0.90644753476611883</v>
      </c>
      <c r="J189" s="366">
        <f>IFERROR('2.3'!J176/'2.1'!J187,"")</f>
        <v>0.91596638655462181</v>
      </c>
      <c r="K189" s="366">
        <f>IFERROR('2.3'!K176/'2.1'!K187,"")</f>
        <v>0.90864917395529643</v>
      </c>
      <c r="L189" s="366">
        <f>IFERROR('2.3'!L176/'2.1'!L187,"")</f>
        <v>0.66724738675958184</v>
      </c>
      <c r="M189" s="366">
        <f>IFERROR('2.3'!M176/'2.1'!M187,"")</f>
        <v>0.81040892193308545</v>
      </c>
      <c r="N189" s="366">
        <f>IFERROR('2.3'!N176/'2.1'!N187,"")</f>
        <v>0.71293001186239624</v>
      </c>
      <c r="O189" s="366">
        <f>IFERROR('2.3'!O176/'2.1'!O187,"")</f>
        <v>0.91576138745950064</v>
      </c>
      <c r="P189" s="366">
        <f>IFERROR('2.3'!P176/'2.1'!P187,"")</f>
        <v>0.93388869195320812</v>
      </c>
      <c r="Q189" s="366">
        <f>IFERROR('2.3'!Q176/'2.1'!Q187,"")</f>
        <v>0.92515382496096976</v>
      </c>
      <c r="R189" s="366">
        <f>IFERROR('2.3'!R176/'2.1'!R187,"")</f>
        <v>0.94473684210526321</v>
      </c>
      <c r="S189" s="366">
        <f>IFERROR('2.3'!S176/'2.1'!S187,"")</f>
        <v>0.97928994082840237</v>
      </c>
      <c r="T189" s="366">
        <f>IFERROR('2.3'!T176/'2.1'!T187,"")</f>
        <v>0.96100278551532037</v>
      </c>
      <c r="U189" s="367">
        <f>IFERROR('2.3'!U176/'2.1'!U187,"")</f>
        <v>0.89695490170885261</v>
      </c>
      <c r="V189" s="367">
        <f>IFERROR('2.3'!V176/'2.1'!V187,"")</f>
        <v>0.92996282527881036</v>
      </c>
      <c r="W189" s="367">
        <f>IFERROR('2.3'!W176/'2.1'!W187,"")</f>
        <v>0.91225530741659777</v>
      </c>
    </row>
    <row r="190" spans="2:23" hidden="1" outlineLevel="1" x14ac:dyDescent="0.25">
      <c r="B190" s="362">
        <v>43983</v>
      </c>
      <c r="C190" s="366" t="str">
        <f>IFERROR('2.3'!C177/'2.1'!C188,"")</f>
        <v/>
      </c>
      <c r="D190" s="366" t="str">
        <f>IFERROR('2.3'!D177/'2.1'!D188,"")</f>
        <v/>
      </c>
      <c r="E190" s="366" t="str">
        <f>IFERROR('2.3'!E177/'2.1'!E188,"")</f>
        <v/>
      </c>
      <c r="F190" s="366" t="str">
        <f>IFERROR('2.3'!F177/'2.1'!F188,"")</f>
        <v/>
      </c>
      <c r="G190" s="366" t="str">
        <f>IFERROR('2.3'!G177/'2.1'!G188,"")</f>
        <v/>
      </c>
      <c r="H190" s="366" t="str">
        <f>IFERROR('2.3'!H177/'2.1'!H188,"")</f>
        <v/>
      </c>
      <c r="I190" s="366">
        <f>IFERROR('2.3'!I177/'2.1'!I188,"")</f>
        <v>0.90062111801242239</v>
      </c>
      <c r="J190" s="366">
        <f>IFERROR('2.3'!J177/'2.1'!J188,"")</f>
        <v>0.92340425531914894</v>
      </c>
      <c r="K190" s="366">
        <f>IFERROR('2.3'!K177/'2.1'!K188,"")</f>
        <v>0.90620114643043248</v>
      </c>
      <c r="L190" s="366">
        <f>IFERROR('2.3'!L177/'2.1'!L188,"")</f>
        <v>0.65407554671968193</v>
      </c>
      <c r="M190" s="366">
        <f>IFERROR('2.3'!M177/'2.1'!M188,"")</f>
        <v>0.81851851851851853</v>
      </c>
      <c r="N190" s="366">
        <f>IFERROR('2.3'!N177/'2.1'!N188,"")</f>
        <v>0.71151358344113846</v>
      </c>
      <c r="O190" s="366">
        <f>IFERROR('2.3'!O177/'2.1'!O188,"")</f>
        <v>0.88633540372670805</v>
      </c>
      <c r="P190" s="366">
        <f>IFERROR('2.3'!P177/'2.1'!P188,"")</f>
        <v>0.92328652274156364</v>
      </c>
      <c r="Q190" s="366">
        <f>IFERROR('2.3'!Q177/'2.1'!Q188,"")</f>
        <v>0.90469742735131753</v>
      </c>
      <c r="R190" s="366">
        <f>IFERROR('2.3'!R177/'2.1'!R188,"")</f>
        <v>0.9509803921568627</v>
      </c>
      <c r="S190" s="366">
        <f>IFERROR('2.3'!S177/'2.1'!S188,"")</f>
        <v>0.9546827794561934</v>
      </c>
      <c r="T190" s="366">
        <f>IFERROR('2.3'!T177/'2.1'!T188,"")</f>
        <v>0.95290423861852436</v>
      </c>
      <c r="U190" s="367">
        <f>IFERROR('2.3'!U177/'2.1'!U188,"")</f>
        <v>0.87556433408577883</v>
      </c>
      <c r="V190" s="367">
        <f>IFERROR('2.3'!V177/'2.1'!V188,"")</f>
        <v>0.92023279698733307</v>
      </c>
      <c r="W190" s="367">
        <f>IFERROR('2.3'!W177/'2.1'!W188,"")</f>
        <v>0.89574632637277651</v>
      </c>
    </row>
    <row r="191" spans="2:23" hidden="1" outlineLevel="1" x14ac:dyDescent="0.25">
      <c r="B191" s="362">
        <v>44013</v>
      </c>
      <c r="C191" s="366" t="str">
        <f>IFERROR('2.3'!C178/'2.1'!C189,"")</f>
        <v/>
      </c>
      <c r="D191" s="366" t="str">
        <f>IFERROR('2.3'!D178/'2.1'!D189,"")</f>
        <v/>
      </c>
      <c r="E191" s="366" t="str">
        <f>IFERROR('2.3'!E178/'2.1'!E189,"")</f>
        <v/>
      </c>
      <c r="F191" s="366" t="str">
        <f>IFERROR('2.3'!F178/'2.1'!F189,"")</f>
        <v/>
      </c>
      <c r="G191" s="366" t="str">
        <f>IFERROR('2.3'!G178/'2.1'!G189,"")</f>
        <v/>
      </c>
      <c r="H191" s="366" t="str">
        <f>IFERROR('2.3'!H178/'2.1'!H189,"")</f>
        <v/>
      </c>
      <c r="I191" s="366">
        <f>IFERROR('2.3'!I178/'2.1'!I189,"")</f>
        <v>0.89522918615528535</v>
      </c>
      <c r="J191" s="366">
        <f>IFERROR('2.3'!J178/'2.1'!J189,"")</f>
        <v>0.90412979351032452</v>
      </c>
      <c r="K191" s="366">
        <f>IFERROR('2.3'!K178/'2.1'!K189,"")</f>
        <v>0.89737215909090906</v>
      </c>
      <c r="L191" s="366">
        <f>IFERROR('2.3'!L178/'2.1'!L189,"")</f>
        <v>0.61264181523500816</v>
      </c>
      <c r="M191" s="366">
        <f>IFERROR('2.3'!M178/'2.1'!M189,"")</f>
        <v>0.84161490683229812</v>
      </c>
      <c r="N191" s="366">
        <f>IFERROR('2.3'!N178/'2.1'!N189,"")</f>
        <v>0.69116080937167201</v>
      </c>
      <c r="O191" s="366">
        <f>IFERROR('2.3'!O178/'2.1'!O189,"")</f>
        <v>0.88426966292134834</v>
      </c>
      <c r="P191" s="366">
        <f>IFERROR('2.3'!P178/'2.1'!P189,"")</f>
        <v>0.91859567901234573</v>
      </c>
      <c r="Q191" s="366">
        <f>IFERROR('2.3'!Q178/'2.1'!Q189,"")</f>
        <v>0.89985982127212194</v>
      </c>
      <c r="R191" s="366">
        <f>IFERROR('2.3'!R178/'2.1'!R189,"")</f>
        <v>0.91967871485943775</v>
      </c>
      <c r="S191" s="366">
        <f>IFERROR('2.3'!S178/'2.1'!S189,"")</f>
        <v>0.9537366548042705</v>
      </c>
      <c r="T191" s="366">
        <f>IFERROR('2.3'!T178/'2.1'!T189,"")</f>
        <v>0.93773584905660379</v>
      </c>
      <c r="U191" s="367">
        <f>IFERROR('2.3'!U178/'2.1'!U189,"")</f>
        <v>0.86961230236084042</v>
      </c>
      <c r="V191" s="367">
        <f>IFERROR('2.3'!V178/'2.1'!V189,"")</f>
        <v>0.91477184841453985</v>
      </c>
      <c r="W191" s="367">
        <f>IFERROR('2.3'!W178/'2.1'!W189,"")</f>
        <v>0.88820944009172553</v>
      </c>
    </row>
    <row r="192" spans="2:23" hidden="1" outlineLevel="1" x14ac:dyDescent="0.25">
      <c r="B192" s="362">
        <v>44044</v>
      </c>
      <c r="C192" s="366" t="str">
        <f>IFERROR('2.3'!C179/'2.1'!C190,"")</f>
        <v/>
      </c>
      <c r="D192" s="366" t="str">
        <f>IFERROR('2.3'!D179/'2.1'!D190,"")</f>
        <v/>
      </c>
      <c r="E192" s="366" t="str">
        <f>IFERROR('2.3'!E179/'2.1'!E190,"")</f>
        <v/>
      </c>
      <c r="F192" s="366" t="str">
        <f>IFERROR('2.3'!F179/'2.1'!F190,"")</f>
        <v/>
      </c>
      <c r="G192" s="366" t="str">
        <f>IFERROR('2.3'!G179/'2.1'!G190,"")</f>
        <v/>
      </c>
      <c r="H192" s="366" t="str">
        <f>IFERROR('2.3'!H179/'2.1'!H190,"")</f>
        <v/>
      </c>
      <c r="I192" s="366">
        <f>IFERROR('2.3'!I179/'2.1'!I190,"")</f>
        <v>0.8685883849088597</v>
      </c>
      <c r="J192" s="366">
        <f>IFERROR('2.3'!J179/'2.1'!J190,"")</f>
        <v>0.93635077793493637</v>
      </c>
      <c r="K192" s="366">
        <f>IFERROR('2.3'!K179/'2.1'!K190,"")</f>
        <v>0.88421395955642534</v>
      </c>
      <c r="L192" s="366">
        <f>IFERROR('2.3'!L179/'2.1'!L190,"")</f>
        <v>0.60462130937098846</v>
      </c>
      <c r="M192" s="366">
        <f>IFERROR('2.3'!M179/'2.1'!M190,"")</f>
        <v>0.79601990049751248</v>
      </c>
      <c r="N192" s="366">
        <f>IFERROR('2.3'!N179/'2.1'!N190,"")</f>
        <v>0.66977138018628279</v>
      </c>
      <c r="O192" s="366">
        <f>IFERROR('2.3'!O179/'2.1'!O190,"")</f>
        <v>0.86022982762927802</v>
      </c>
      <c r="P192" s="366">
        <f>IFERROR('2.3'!P179/'2.1'!P190,"")</f>
        <v>0.91202000882742384</v>
      </c>
      <c r="Q192" s="366">
        <f>IFERROR('2.3'!Q179/'2.1'!Q190,"")</f>
        <v>0.88400999797338375</v>
      </c>
      <c r="R192" s="366">
        <f>IFERROR('2.3'!R179/'2.1'!R190,"")</f>
        <v>0.92333333333333334</v>
      </c>
      <c r="S192" s="366">
        <f>IFERROR('2.3'!S179/'2.1'!S190,"")</f>
        <v>0.96636085626911317</v>
      </c>
      <c r="T192" s="366">
        <f>IFERROR('2.3'!T179/'2.1'!T190,"")</f>
        <v>0.94577352472089316</v>
      </c>
      <c r="U192" s="367">
        <f>IFERROR('2.3'!U179/'2.1'!U190,"")</f>
        <v>0.84620761971338698</v>
      </c>
      <c r="V192" s="367">
        <f>IFERROR('2.3'!V179/'2.1'!V190,"")</f>
        <v>0.91060366816470306</v>
      </c>
      <c r="W192" s="367">
        <f>IFERROR('2.3'!W179/'2.1'!W190,"")</f>
        <v>0.87315139502973016</v>
      </c>
    </row>
    <row r="193" spans="2:23" hidden="1" outlineLevel="1" x14ac:dyDescent="0.25">
      <c r="B193" s="362">
        <v>44075</v>
      </c>
      <c r="C193" s="366" t="str">
        <f>IFERROR('2.3'!C180/'2.1'!C191,"")</f>
        <v/>
      </c>
      <c r="D193" s="366" t="str">
        <f>IFERROR('2.3'!D180/'2.1'!D191,"")</f>
        <v/>
      </c>
      <c r="E193" s="366" t="str">
        <f>IFERROR('2.3'!E180/'2.1'!E191,"")</f>
        <v/>
      </c>
      <c r="F193" s="366" t="str">
        <f>IFERROR('2.3'!F180/'2.1'!F191,"")</f>
        <v/>
      </c>
      <c r="G193" s="366" t="str">
        <f>IFERROR('2.3'!G180/'2.1'!G191,"")</f>
        <v/>
      </c>
      <c r="H193" s="366" t="str">
        <f>IFERROR('2.3'!H180/'2.1'!H191,"")</f>
        <v/>
      </c>
      <c r="I193" s="366">
        <f>IFERROR('2.3'!I180/'2.1'!I191,"")</f>
        <v>0.87288851351351349</v>
      </c>
      <c r="J193" s="366">
        <f>IFERROR('2.3'!J180/'2.1'!J191,"")</f>
        <v>0.91744548286604366</v>
      </c>
      <c r="K193" s="366">
        <f>IFERROR('2.3'!K180/'2.1'!K191,"")</f>
        <v>0.88239202657807314</v>
      </c>
      <c r="L193" s="366">
        <f>IFERROR('2.3'!L180/'2.1'!L191,"")</f>
        <v>0.55654101995565408</v>
      </c>
      <c r="M193" s="366">
        <f>IFERROR('2.3'!M180/'2.1'!M191,"")</f>
        <v>0.7961538461538461</v>
      </c>
      <c r="N193" s="366">
        <f>IFERROR('2.3'!N180/'2.1'!N191,"")</f>
        <v>0.64416315049226447</v>
      </c>
      <c r="O193" s="366">
        <f>IFERROR('2.3'!O180/'2.1'!O191,"")</f>
        <v>0.8748629218959425</v>
      </c>
      <c r="P193" s="366">
        <f>IFERROR('2.3'!P180/'2.1'!P191,"")</f>
        <v>0.91508217853689977</v>
      </c>
      <c r="Q193" s="366">
        <f>IFERROR('2.3'!Q180/'2.1'!Q191,"")</f>
        <v>0.89218067022826619</v>
      </c>
      <c r="R193" s="366">
        <f>IFERROR('2.3'!R180/'2.1'!R191,"")</f>
        <v>0.91616766467065869</v>
      </c>
      <c r="S193" s="366">
        <f>IFERROR('2.3'!S180/'2.1'!S191,"")</f>
        <v>0.914572864321608</v>
      </c>
      <c r="T193" s="366">
        <f>IFERROR('2.3'!T180/'2.1'!T191,"")</f>
        <v>0.91530054644808745</v>
      </c>
      <c r="U193" s="367">
        <f>IFERROR('2.3'!U180/'2.1'!U191,"")</f>
        <v>0.85132503598340525</v>
      </c>
      <c r="V193" s="367">
        <f>IFERROR('2.3'!V180/'2.1'!V191,"")</f>
        <v>0.90728817924285343</v>
      </c>
      <c r="W193" s="367">
        <f>IFERROR('2.3'!W180/'2.1'!W191,"")</f>
        <v>0.87352505491137555</v>
      </c>
    </row>
    <row r="194" spans="2:23" hidden="1" outlineLevel="1" x14ac:dyDescent="0.25">
      <c r="B194" s="362">
        <v>44105</v>
      </c>
      <c r="C194" s="366" t="str">
        <f>IFERROR('2.3'!C181/'2.1'!C192,"")</f>
        <v/>
      </c>
      <c r="D194" s="366" t="str">
        <f>IFERROR('2.3'!D181/'2.1'!D192,"")</f>
        <v/>
      </c>
      <c r="E194" s="366" t="str">
        <f>IFERROR('2.3'!E181/'2.1'!E192,"")</f>
        <v/>
      </c>
      <c r="F194" s="366" t="str">
        <f>IFERROR('2.3'!F181/'2.1'!F192,"")</f>
        <v/>
      </c>
      <c r="G194" s="366" t="str">
        <f>IFERROR('2.3'!G181/'2.1'!G192,"")</f>
        <v/>
      </c>
      <c r="H194" s="366" t="str">
        <f>IFERROR('2.3'!H181/'2.1'!H192,"")</f>
        <v/>
      </c>
      <c r="I194" s="366">
        <f>IFERROR('2.3'!I181/'2.1'!I192,"")</f>
        <v>0.86799350121852148</v>
      </c>
      <c r="J194" s="366">
        <f>IFERROR('2.3'!J181/'2.1'!J192,"")</f>
        <v>0.91849935316946962</v>
      </c>
      <c r="K194" s="366">
        <f>IFERROR('2.3'!K181/'2.1'!K192,"")</f>
        <v>0.8800618238021638</v>
      </c>
      <c r="L194" s="366">
        <f>IFERROR('2.3'!L181/'2.1'!L192,"")</f>
        <v>0.54634146341463419</v>
      </c>
      <c r="M194" s="366">
        <f>IFERROR('2.3'!M181/'2.1'!M192,"")</f>
        <v>0.81755593803786575</v>
      </c>
      <c r="N194" s="366">
        <f>IFERROR('2.3'!N181/'2.1'!N192,"")</f>
        <v>0.63335173937051348</v>
      </c>
      <c r="O194" s="366">
        <f>IFERROR('2.3'!O181/'2.1'!O192,"")</f>
        <v>0.88831110106262723</v>
      </c>
      <c r="P194" s="366">
        <f>IFERROR('2.3'!P181/'2.1'!P192,"")</f>
        <v>0.92964824120603018</v>
      </c>
      <c r="Q194" s="366">
        <f>IFERROR('2.3'!Q181/'2.1'!Q192,"")</f>
        <v>0.9059235710114838</v>
      </c>
      <c r="R194" s="366">
        <f>IFERROR('2.3'!R181/'2.1'!R192,"")</f>
        <v>0.8794520547945206</v>
      </c>
      <c r="S194" s="366">
        <f>IFERROR('2.3'!S181/'2.1'!S192,"")</f>
        <v>0.9382978723404255</v>
      </c>
      <c r="T194" s="366">
        <f>IFERROR('2.3'!T181/'2.1'!T192,"")</f>
        <v>0.91257485029940122</v>
      </c>
      <c r="U194" s="367">
        <f>IFERROR('2.3'!U181/'2.1'!U192,"")</f>
        <v>0.8515849027357979</v>
      </c>
      <c r="V194" s="367">
        <f>IFERROR('2.3'!V181/'2.1'!V192,"")</f>
        <v>0.92134429746156599</v>
      </c>
      <c r="W194" s="367">
        <f>IFERROR('2.3'!W181/'2.1'!W192,"")</f>
        <v>0.87907391753545605</v>
      </c>
    </row>
    <row r="195" spans="2:23" hidden="1" outlineLevel="1" x14ac:dyDescent="0.25">
      <c r="B195" s="362">
        <v>44136</v>
      </c>
      <c r="C195" s="366" t="str">
        <f>IFERROR('2.3'!C182/'2.1'!C193,"")</f>
        <v/>
      </c>
      <c r="D195" s="366" t="str">
        <f>IFERROR('2.3'!D182/'2.1'!D193,"")</f>
        <v/>
      </c>
      <c r="E195" s="366" t="str">
        <f>IFERROR('2.3'!E182/'2.1'!E193,"")</f>
        <v/>
      </c>
      <c r="F195" s="366" t="str">
        <f>IFERROR('2.3'!F182/'2.1'!F193,"")</f>
        <v/>
      </c>
      <c r="G195" s="366" t="str">
        <f>IFERROR('2.3'!G182/'2.1'!G193,"")</f>
        <v/>
      </c>
      <c r="H195" s="366" t="str">
        <f>IFERROR('2.3'!H182/'2.1'!H193,"")</f>
        <v/>
      </c>
      <c r="I195" s="366">
        <f>IFERROR('2.3'!I182/'2.1'!I193,"")</f>
        <v>0.86642100414555501</v>
      </c>
      <c r="J195" s="366">
        <f>IFERROR('2.3'!J182/'2.1'!J193,"")</f>
        <v>0.9433139534883721</v>
      </c>
      <c r="K195" s="366">
        <f>IFERROR('2.3'!K182/'2.1'!K193,"")</f>
        <v>0.8849247988807275</v>
      </c>
      <c r="L195" s="366">
        <f>IFERROR('2.3'!L182/'2.1'!L193,"")</f>
        <v>0.51621872103799815</v>
      </c>
      <c r="M195" s="366">
        <f>IFERROR('2.3'!M182/'2.1'!M193,"")</f>
        <v>0.78202676864244747</v>
      </c>
      <c r="N195" s="366">
        <f>IFERROR('2.3'!N182/'2.1'!N193,"")</f>
        <v>0.60299625468164797</v>
      </c>
      <c r="O195" s="366">
        <f>IFERROR('2.3'!O182/'2.1'!O193,"")</f>
        <v>0.87834427057041897</v>
      </c>
      <c r="P195" s="366">
        <f>IFERROR('2.3'!P182/'2.1'!P193,"")</f>
        <v>0.92705066842713324</v>
      </c>
      <c r="Q195" s="366">
        <f>IFERROR('2.3'!Q182/'2.1'!Q193,"")</f>
        <v>0.89944933133090177</v>
      </c>
      <c r="R195" s="366">
        <f>IFERROR('2.3'!R182/'2.1'!R193,"")</f>
        <v>0.83623693379790942</v>
      </c>
      <c r="S195" s="366">
        <f>IFERROR('2.3'!S182/'2.1'!S193,"")</f>
        <v>0.9088050314465409</v>
      </c>
      <c r="T195" s="366">
        <f>IFERROR('2.3'!T182/'2.1'!T193,"")</f>
        <v>0.87438016528925622</v>
      </c>
      <c r="U195" s="367">
        <f>IFERROR('2.3'!U182/'2.1'!U193,"")</f>
        <v>0.84093883605270048</v>
      </c>
      <c r="V195" s="367">
        <f>IFERROR('2.3'!V182/'2.1'!V193,"")</f>
        <v>0.91776489193463362</v>
      </c>
      <c r="W195" s="367">
        <f>IFERROR('2.3'!W182/'2.1'!W193,"")</f>
        <v>0.87154181321854163</v>
      </c>
    </row>
    <row r="196" spans="2:23" hidden="1" outlineLevel="1" x14ac:dyDescent="0.25">
      <c r="B196" s="362">
        <v>44166</v>
      </c>
      <c r="C196" s="366" t="str">
        <f>IFERROR('2.3'!C183/'2.1'!C194,"")</f>
        <v/>
      </c>
      <c r="D196" s="366" t="str">
        <f>IFERROR('2.3'!D183/'2.1'!D194,"")</f>
        <v/>
      </c>
      <c r="E196" s="366" t="str">
        <f>IFERROR('2.3'!E183/'2.1'!E194,"")</f>
        <v/>
      </c>
      <c r="F196" s="366" t="str">
        <f>IFERROR('2.3'!F183/'2.1'!F194,"")</f>
        <v/>
      </c>
      <c r="G196" s="366" t="str">
        <f>IFERROR('2.3'!G183/'2.1'!G194,"")</f>
        <v/>
      </c>
      <c r="H196" s="366" t="str">
        <f>IFERROR('2.3'!H183/'2.1'!H194,"")</f>
        <v/>
      </c>
      <c r="I196" s="366">
        <f>IFERROR('2.3'!I183/'2.1'!I194,"")</f>
        <v>0.861900097943193</v>
      </c>
      <c r="J196" s="366">
        <f>IFERROR('2.3'!J183/'2.1'!J194,"")</f>
        <v>0.91095890410958902</v>
      </c>
      <c r="K196" s="366">
        <f>IFERROR('2.3'!K183/'2.1'!K194,"")</f>
        <v>0.87281035795887285</v>
      </c>
      <c r="L196" s="366">
        <f>IFERROR('2.3'!L183/'2.1'!L194,"")</f>
        <v>0.51603498542274051</v>
      </c>
      <c r="M196" s="366">
        <f>IFERROR('2.3'!M183/'2.1'!M194,"")</f>
        <v>0.80388349514563107</v>
      </c>
      <c r="N196" s="366">
        <f>IFERROR('2.3'!N183/'2.1'!N194,"")</f>
        <v>0.61204663212435229</v>
      </c>
      <c r="O196" s="366">
        <f>IFERROR('2.3'!O183/'2.1'!O194,"")</f>
        <v>0.86543990799309944</v>
      </c>
      <c r="P196" s="366">
        <f>IFERROR('2.3'!P183/'2.1'!P194,"")</f>
        <v>0.91347872720772261</v>
      </c>
      <c r="Q196" s="366">
        <f>IFERROR('2.3'!Q183/'2.1'!Q194,"")</f>
        <v>0.88685258964143421</v>
      </c>
      <c r="R196" s="366">
        <f>IFERROR('2.3'!R183/'2.1'!R194,"")</f>
        <v>0.87179487179487181</v>
      </c>
      <c r="S196" s="366">
        <f>IFERROR('2.3'!S183/'2.1'!S194,"")</f>
        <v>0.9066147859922179</v>
      </c>
      <c r="T196" s="366">
        <f>IFERROR('2.3'!T183/'2.1'!T194,"")</f>
        <v>0.89002036659877803</v>
      </c>
      <c r="U196" s="367">
        <f>IFERROR('2.3'!U183/'2.1'!U194,"")</f>
        <v>0.829841146087126</v>
      </c>
      <c r="V196" s="367">
        <f>IFERROR('2.3'!V183/'2.1'!V194,"")</f>
        <v>0.90489208633093521</v>
      </c>
      <c r="W196" s="367">
        <f>IFERROR('2.3'!W183/'2.1'!W194,"")</f>
        <v>0.86014758003602343</v>
      </c>
    </row>
    <row r="197" spans="2:23" collapsed="1" x14ac:dyDescent="0.25">
      <c r="B197" s="364" t="s">
        <v>711</v>
      </c>
      <c r="C197" s="367" t="str">
        <f>IFERROR('2.3'!C184/'2.1'!C195,"")</f>
        <v/>
      </c>
      <c r="D197" s="367" t="str">
        <f>IFERROR('2.3'!D184/'2.1'!D195,"")</f>
        <v/>
      </c>
      <c r="E197" s="367" t="str">
        <f>IFERROR('2.3'!E184/'2.1'!E195,"")</f>
        <v/>
      </c>
      <c r="F197" s="367" t="str">
        <f>IFERROR('2.3'!F184/'2.1'!F195,"")</f>
        <v/>
      </c>
      <c r="G197" s="367" t="str">
        <f>IFERROR('2.3'!G184/'2.1'!G195,"")</f>
        <v/>
      </c>
      <c r="H197" s="367" t="str">
        <f>IFERROR('2.3'!H184/'2.1'!H195,"")</f>
        <v/>
      </c>
      <c r="I197" s="367">
        <f>IFERROR('2.3'!I184/'2.1'!I195,"")</f>
        <v>0.87917737789203088</v>
      </c>
      <c r="J197" s="367">
        <f>IFERROR('2.3'!J184/'2.1'!J195,"")</f>
        <v>0.92281879194630867</v>
      </c>
      <c r="K197" s="367">
        <f>IFERROR('2.3'!K184/'2.1'!K195,"")</f>
        <v>0.88980716253443526</v>
      </c>
      <c r="L197" s="367">
        <f>IFERROR('2.3'!L184/'2.1'!L195,"")</f>
        <v>0.57553956834532372</v>
      </c>
      <c r="M197" s="367">
        <f>IFERROR('2.3'!M184/'2.1'!M195,"")</f>
        <v>0.80575539568345322</v>
      </c>
      <c r="N197" s="367">
        <f>IFERROR('2.3'!N184/'2.1'!N195,"")</f>
        <v>0.65227817745803363</v>
      </c>
      <c r="O197" s="367">
        <f>IFERROR('2.3'!O184/'2.1'!O195,"")</f>
        <v>0.87521826729348551</v>
      </c>
      <c r="P197" s="367">
        <f>IFERROR('2.3'!P184/'2.1'!P195,"")</f>
        <v>0.92465434208482211</v>
      </c>
      <c r="Q197" s="367">
        <f>IFERROR('2.3'!Q184/'2.1'!Q195,"")</f>
        <v>0.89814147817317391</v>
      </c>
      <c r="R197" s="367">
        <f>IFERROR('2.3'!R184/'2.1'!R195,"")</f>
        <v>0.90645161290322585</v>
      </c>
      <c r="S197" s="367">
        <f>IFERROR('2.3'!S184/'2.1'!S195,"")</f>
        <v>0.94029850746268662</v>
      </c>
      <c r="T197" s="367">
        <f>IFERROR('2.3'!T184/'2.1'!T195,"")</f>
        <v>0.92403100775193803</v>
      </c>
      <c r="U197" s="367">
        <f>IFERROR('2.3'!U184/'2.1'!U195,"")</f>
        <v>0.85330421572350934</v>
      </c>
      <c r="V197" s="367">
        <f>IFERROR('2.3'!V184/'2.1'!V195,"")</f>
        <v>0.9188286668379142</v>
      </c>
      <c r="W197" s="367">
        <f>IFERROR('2.3'!W184/'2.1'!W195,"")</f>
        <v>0.88115514794191507</v>
      </c>
    </row>
    <row r="198" spans="2:23" hidden="1" outlineLevel="1" x14ac:dyDescent="0.25">
      <c r="B198" s="362">
        <v>44197</v>
      </c>
      <c r="C198" s="366" t="str">
        <f>IFERROR('2.3'!C185/'2.1'!C196,"")</f>
        <v/>
      </c>
      <c r="D198" s="366" t="str">
        <f>IFERROR('2.3'!D185/'2.1'!D196,"")</f>
        <v/>
      </c>
      <c r="E198" s="366" t="str">
        <f>IFERROR('2.3'!E185/'2.1'!E196,"")</f>
        <v/>
      </c>
      <c r="F198" s="366" t="str">
        <f>IFERROR('2.3'!F185/'2.1'!F196,"")</f>
        <v/>
      </c>
      <c r="G198" s="366" t="str">
        <f>IFERROR('2.3'!G185/'2.1'!G196,"")</f>
        <v/>
      </c>
      <c r="H198" s="366" t="str">
        <f>IFERROR('2.3'!H185/'2.1'!H196,"")</f>
        <v/>
      </c>
      <c r="I198" s="366">
        <f>IFERROR('2.3'!I185/'2.1'!I196,"")</f>
        <v>0.84718100890207715</v>
      </c>
      <c r="J198" s="366">
        <f>IFERROR('2.3'!J185/'2.1'!J196,"")</f>
        <v>0.93046357615894038</v>
      </c>
      <c r="K198" s="366">
        <f>IFERROR('2.3'!K185/'2.1'!K196,"")</f>
        <v>0.86633663366336633</v>
      </c>
      <c r="L198" s="366">
        <f>IFERROR('2.3'!L185/'2.1'!L196,"")</f>
        <v>0.57718696397941682</v>
      </c>
      <c r="M198" s="366">
        <f>IFERROR('2.3'!M185/'2.1'!M196,"")</f>
        <v>0.84027777777777779</v>
      </c>
      <c r="N198" s="366">
        <f>IFERROR('2.3'!N185/'2.1'!N196,"")</f>
        <v>0.67762460233297983</v>
      </c>
      <c r="O198" s="366">
        <f>IFERROR('2.3'!O185/'2.1'!O196,"")</f>
        <v>0.87501701837985024</v>
      </c>
      <c r="P198" s="366">
        <f>IFERROR('2.3'!P185/'2.1'!P196,"")</f>
        <v>0.92301943198804182</v>
      </c>
      <c r="Q198" s="366">
        <f>IFERROR('2.3'!Q185/'2.1'!Q196,"")</f>
        <v>0.89525084665669052</v>
      </c>
      <c r="R198" s="366">
        <f>IFERROR('2.3'!R185/'2.1'!R196,"")</f>
        <v>0.86915887850467288</v>
      </c>
      <c r="S198" s="366">
        <f>IFERROR('2.3'!S185/'2.1'!S196,"")</f>
        <v>0.95357833655705992</v>
      </c>
      <c r="T198" s="366">
        <f>IFERROR('2.3'!T185/'2.1'!T196,"")</f>
        <v>0.91534391534391535</v>
      </c>
      <c r="U198" s="367">
        <f>IFERROR('2.3'!U185/'2.1'!U196,"")</f>
        <v>0.83797098804853576</v>
      </c>
      <c r="V198" s="367">
        <f>IFERROR('2.3'!V185/'2.1'!V196,"")</f>
        <v>0.91755873766161544</v>
      </c>
      <c r="W198" s="367">
        <f>IFERROR('2.3'!W185/'2.1'!W196,"")</f>
        <v>0.86950534317505779</v>
      </c>
    </row>
    <row r="199" spans="2:23" hidden="1" outlineLevel="1" x14ac:dyDescent="0.25">
      <c r="B199" s="362">
        <v>44228</v>
      </c>
      <c r="C199" s="366" t="str">
        <f>IFERROR('2.3'!C186/'2.1'!C197,"")</f>
        <v/>
      </c>
      <c r="D199" s="366" t="str">
        <f>IFERROR('2.3'!D186/'2.1'!D197,"")</f>
        <v/>
      </c>
      <c r="E199" s="366" t="str">
        <f>IFERROR('2.3'!E186/'2.1'!E197,"")</f>
        <v/>
      </c>
      <c r="F199" s="366" t="str">
        <f>IFERROR('2.3'!F186/'2.1'!F197,"")</f>
        <v/>
      </c>
      <c r="G199" s="366" t="str">
        <f>IFERROR('2.3'!G186/'2.1'!G197,"")</f>
        <v/>
      </c>
      <c r="H199" s="366" t="str">
        <f>IFERROR('2.3'!H186/'2.1'!H197,"")</f>
        <v/>
      </c>
      <c r="I199" s="366">
        <f>IFERROR('2.3'!I186/'2.1'!I197,"")</f>
        <v>0.83860414394765537</v>
      </c>
      <c r="J199" s="366">
        <f>IFERROR('2.3'!J186/'2.1'!J197,"")</f>
        <v>0.91714836223506746</v>
      </c>
      <c r="K199" s="366">
        <f>IFERROR('2.3'!K186/'2.1'!K197,"")</f>
        <v>0.85592860178495533</v>
      </c>
      <c r="L199" s="366">
        <f>IFERROR('2.3'!L186/'2.1'!L197,"")</f>
        <v>0.55856727976766696</v>
      </c>
      <c r="M199" s="366">
        <f>IFERROR('2.3'!M186/'2.1'!M197,"")</f>
        <v>0.84146341463414631</v>
      </c>
      <c r="N199" s="366">
        <f>IFERROR('2.3'!N186/'2.1'!N197,"")</f>
        <v>0.65961418792781579</v>
      </c>
      <c r="O199" s="366">
        <f>IFERROR('2.3'!O186/'2.1'!O197,"")</f>
        <v>0.86807580174927113</v>
      </c>
      <c r="P199" s="366">
        <f>IFERROR('2.3'!P186/'2.1'!P197,"")</f>
        <v>0.9184284377923293</v>
      </c>
      <c r="Q199" s="366">
        <f>IFERROR('2.3'!Q186/'2.1'!Q197,"")</f>
        <v>0.89012699713232279</v>
      </c>
      <c r="R199" s="366">
        <f>IFERROR('2.3'!R186/'2.1'!R197,"")</f>
        <v>0.87810945273631846</v>
      </c>
      <c r="S199" s="366">
        <f>IFERROR('2.3'!S186/'2.1'!S197,"")</f>
        <v>0.95652173913043481</v>
      </c>
      <c r="T199" s="366">
        <f>IFERROR('2.3'!T186/'2.1'!T197,"")</f>
        <v>0.91995359628770301</v>
      </c>
      <c r="U199" s="367">
        <f>IFERROR('2.3'!U186/'2.1'!U197,"")</f>
        <v>0.83157271201500638</v>
      </c>
      <c r="V199" s="367">
        <f>IFERROR('2.3'!V186/'2.1'!V197,"")</f>
        <v>0.91446796172803713</v>
      </c>
      <c r="W199" s="367">
        <f>IFERROR('2.3'!W186/'2.1'!W197,"")</f>
        <v>0.86515534151641516</v>
      </c>
    </row>
    <row r="200" spans="2:23" hidden="1" outlineLevel="1" x14ac:dyDescent="0.25">
      <c r="B200" s="362">
        <v>44256</v>
      </c>
      <c r="C200" s="366" t="str">
        <f>IFERROR('2.3'!C187/'2.1'!C198,"")</f>
        <v/>
      </c>
      <c r="D200" s="366" t="str">
        <f>IFERROR('2.3'!D187/'2.1'!D198,"")</f>
        <v/>
      </c>
      <c r="E200" s="366" t="str">
        <f>IFERROR('2.3'!E187/'2.1'!E198,"")</f>
        <v/>
      </c>
      <c r="F200" s="366" t="str">
        <f>IFERROR('2.3'!F187/'2.1'!F198,"")</f>
        <v/>
      </c>
      <c r="G200" s="366" t="str">
        <f>IFERROR('2.3'!G187/'2.1'!G198,"")</f>
        <v/>
      </c>
      <c r="H200" s="366" t="str">
        <f>IFERROR('2.3'!H187/'2.1'!H198,"")</f>
        <v/>
      </c>
      <c r="I200" s="366">
        <f>IFERROR('2.3'!I187/'2.1'!I198,"")</f>
        <v>0.85943775100401609</v>
      </c>
      <c r="J200" s="366">
        <f>IFERROR('2.3'!J187/'2.1'!J198,"")</f>
        <v>0.90524781341107874</v>
      </c>
      <c r="K200" s="366">
        <f>IFERROR('2.3'!K187/'2.1'!K198,"")</f>
        <v>0.87117251680358476</v>
      </c>
      <c r="L200" s="366">
        <f>IFERROR('2.3'!L187/'2.1'!L198,"")</f>
        <v>0.52231793265465931</v>
      </c>
      <c r="M200" s="366">
        <f>IFERROR('2.3'!M187/'2.1'!M198,"")</f>
        <v>0.78899082568807344</v>
      </c>
      <c r="N200" s="366">
        <f>IFERROR('2.3'!N187/'2.1'!N198,"")</f>
        <v>0.61263593992749865</v>
      </c>
      <c r="O200" s="366">
        <f>IFERROR('2.3'!O187/'2.1'!O198,"")</f>
        <v>0.86121887123013385</v>
      </c>
      <c r="P200" s="366">
        <f>IFERROR('2.3'!P187/'2.1'!P198,"")</f>
        <v>0.91397849462365588</v>
      </c>
      <c r="Q200" s="366">
        <f>IFERROR('2.3'!Q187/'2.1'!Q198,"")</f>
        <v>0.88508976291626695</v>
      </c>
      <c r="R200" s="366">
        <f>IFERROR('2.3'!R187/'2.1'!R198,"")</f>
        <v>0.96680497925311204</v>
      </c>
      <c r="S200" s="366">
        <f>IFERROR('2.3'!S187/'2.1'!S198,"")</f>
        <v>0.97931034482758617</v>
      </c>
      <c r="T200" s="366">
        <f>IFERROR('2.3'!T187/'2.1'!T198,"")</f>
        <v>0.97392857142857148</v>
      </c>
      <c r="U200" s="367">
        <f>IFERROR('2.3'!U187/'2.1'!U198,"")</f>
        <v>0.83642198154833536</v>
      </c>
      <c r="V200" s="367">
        <f>IFERROR('2.3'!V187/'2.1'!V198,"")</f>
        <v>0.91570559865799961</v>
      </c>
      <c r="W200" s="367">
        <f>IFERROR('2.3'!W187/'2.1'!W198,"")</f>
        <v>0.87079034677089484</v>
      </c>
    </row>
    <row r="201" spans="2:23" hidden="1" outlineLevel="1" x14ac:dyDescent="0.25">
      <c r="B201" s="362">
        <v>44287</v>
      </c>
      <c r="C201" s="366" t="str">
        <f>IFERROR('2.3'!C188/'2.1'!C199,"")</f>
        <v/>
      </c>
      <c r="D201" s="366" t="str">
        <f>IFERROR('2.3'!D188/'2.1'!D199,"")</f>
        <v/>
      </c>
      <c r="E201" s="366" t="str">
        <f>IFERROR('2.3'!E188/'2.1'!E199,"")</f>
        <v/>
      </c>
      <c r="F201" s="366" t="str">
        <f>IFERROR('2.3'!F188/'2.1'!F199,"")</f>
        <v/>
      </c>
      <c r="G201" s="366" t="str">
        <f>IFERROR('2.3'!G188/'2.1'!G199,"")</f>
        <v/>
      </c>
      <c r="H201" s="366" t="str">
        <f>IFERROR('2.3'!H188/'2.1'!H199,"")</f>
        <v/>
      </c>
      <c r="I201" s="366">
        <f>IFERROR('2.3'!I188/'2.1'!I199,"")</f>
        <v>0.82912793271359009</v>
      </c>
      <c r="J201" s="366">
        <f>IFERROR('2.3'!J188/'2.1'!J199,"")</f>
        <v>0.92074927953890495</v>
      </c>
      <c r="K201" s="366">
        <f>IFERROR('2.3'!K188/'2.1'!K199,"")</f>
        <v>0.85066034541144597</v>
      </c>
      <c r="L201" s="366">
        <f>IFERROR('2.3'!L188/'2.1'!L199,"")</f>
        <v>0.49686847599164929</v>
      </c>
      <c r="M201" s="366">
        <f>IFERROR('2.3'!M188/'2.1'!M199,"")</f>
        <v>0.73913043478260865</v>
      </c>
      <c r="N201" s="366">
        <f>IFERROR('2.3'!N188/'2.1'!N199,"")</f>
        <v>0.57545839210155147</v>
      </c>
      <c r="O201" s="366">
        <f>IFERROR('2.3'!O188/'2.1'!O199,"")</f>
        <v>0.84463130659767138</v>
      </c>
      <c r="P201" s="366">
        <f>IFERROR('2.3'!P188/'2.1'!P199,"")</f>
        <v>0.88958990536277605</v>
      </c>
      <c r="Q201" s="366">
        <f>IFERROR('2.3'!Q188/'2.1'!Q199,"")</f>
        <v>0.86432051188831527</v>
      </c>
      <c r="R201" s="366">
        <f>IFERROR('2.3'!R188/'2.1'!R199,"")</f>
        <v>0.96150999259807546</v>
      </c>
      <c r="S201" s="366">
        <f>IFERROR('2.3'!S188/'2.1'!S199,"")</f>
        <v>0.97137850467289721</v>
      </c>
      <c r="T201" s="366">
        <f>IFERROR('2.3'!T188/'2.1'!T199,"")</f>
        <v>0.96702579170747638</v>
      </c>
      <c r="U201" s="367">
        <f>IFERROR('2.3'!U188/'2.1'!U199,"")</f>
        <v>0.81513657353056268</v>
      </c>
      <c r="V201" s="367">
        <f>IFERROR('2.3'!V188/'2.1'!V199,"")</f>
        <v>0.8959315714442373</v>
      </c>
      <c r="W201" s="367">
        <f>IFERROR('2.3'!W188/'2.1'!W199,"")</f>
        <v>0.84878516624040923</v>
      </c>
    </row>
    <row r="202" spans="2:23" hidden="1" outlineLevel="1" x14ac:dyDescent="0.25">
      <c r="B202" s="362">
        <v>44317</v>
      </c>
      <c r="C202" s="366" t="str">
        <f>IFERROR('2.3'!C189/'2.1'!C200,"")</f>
        <v/>
      </c>
      <c r="D202" s="366" t="str">
        <f>IFERROR('2.3'!D189/'2.1'!D200,"")</f>
        <v/>
      </c>
      <c r="E202" s="366" t="str">
        <f>IFERROR('2.3'!E189/'2.1'!E200,"")</f>
        <v/>
      </c>
      <c r="F202" s="366" t="str">
        <f>IFERROR('2.3'!F189/'2.1'!F200,"")</f>
        <v/>
      </c>
      <c r="G202" s="366" t="str">
        <f>IFERROR('2.3'!G189/'2.1'!G200,"")</f>
        <v/>
      </c>
      <c r="H202" s="366" t="str">
        <f>IFERROR('2.3'!H189/'2.1'!H200,"")</f>
        <v/>
      </c>
      <c r="I202" s="366">
        <f>IFERROR('2.3'!I189/'2.1'!I200,"")</f>
        <v>0.82079999999999997</v>
      </c>
      <c r="J202" s="366">
        <f>IFERROR('2.3'!J189/'2.1'!J200,"")</f>
        <v>0.92089728453364816</v>
      </c>
      <c r="K202" s="366">
        <f>IFERROR('2.3'!K189/'2.1'!K200,"")</f>
        <v>0.84613086345981481</v>
      </c>
      <c r="L202" s="366">
        <f>IFERROR('2.3'!L189/'2.1'!L200,"")</f>
        <v>0.5328767123287671</v>
      </c>
      <c r="M202" s="366">
        <f>IFERROR('2.3'!M189/'2.1'!M200,"")</f>
        <v>0.7686658506731946</v>
      </c>
      <c r="N202" s="366">
        <f>IFERROR('2.3'!N189/'2.1'!N200,"")</f>
        <v>0.61747913921826969</v>
      </c>
      <c r="O202" s="366">
        <f>IFERROR('2.3'!O189/'2.1'!O200,"")</f>
        <v>0.82461971110827048</v>
      </c>
      <c r="P202" s="366">
        <f>IFERROR('2.3'!P189/'2.1'!P200,"")</f>
        <v>0.88162574089754442</v>
      </c>
      <c r="Q202" s="366">
        <f>IFERROR('2.3'!Q189/'2.1'!Q200,"")</f>
        <v>0.84914044289044288</v>
      </c>
      <c r="R202" s="366">
        <f>IFERROR('2.3'!R189/'2.1'!R200,"")</f>
        <v>0.93928980526918671</v>
      </c>
      <c r="S202" s="366">
        <f>IFERROR('2.3'!S189/'2.1'!S200,"")</f>
        <v>0.9534510433386838</v>
      </c>
      <c r="T202" s="366">
        <f>IFERROR('2.3'!T189/'2.1'!T200,"")</f>
        <v>0.94761680037753659</v>
      </c>
      <c r="U202" s="367">
        <f>IFERROR('2.3'!U189/'2.1'!U200,"")</f>
        <v>0.79811946902654862</v>
      </c>
      <c r="V202" s="367">
        <f>IFERROR('2.3'!V189/'2.1'!V200,"")</f>
        <v>0.88508224617129894</v>
      </c>
      <c r="W202" s="367">
        <f>IFERROR('2.3'!W189/'2.1'!W200,"")</f>
        <v>0.83382236505053331</v>
      </c>
    </row>
    <row r="203" spans="2:23" hidden="1" outlineLevel="1" x14ac:dyDescent="0.25">
      <c r="B203" s="362">
        <v>44348</v>
      </c>
      <c r="C203" s="366" t="str">
        <f>IFERROR('2.3'!C190/'2.1'!C201,"")</f>
        <v/>
      </c>
      <c r="D203" s="366" t="str">
        <f>IFERROR('2.3'!D190/'2.1'!D201,"")</f>
        <v/>
      </c>
      <c r="E203" s="366" t="str">
        <f>IFERROR('2.3'!E190/'2.1'!E201,"")</f>
        <v/>
      </c>
      <c r="F203" s="366" t="str">
        <f>IFERROR('2.3'!F190/'2.1'!F201,"")</f>
        <v/>
      </c>
      <c r="G203" s="366" t="str">
        <f>IFERROR('2.3'!G190/'2.1'!G201,"")</f>
        <v/>
      </c>
      <c r="H203" s="366" t="str">
        <f>IFERROR('2.3'!H190/'2.1'!H201,"")</f>
        <v/>
      </c>
      <c r="I203" s="366">
        <f>IFERROR('2.3'!I190/'2.1'!I201,"")</f>
        <v>0.79970271274619098</v>
      </c>
      <c r="J203" s="366">
        <f>IFERROR('2.3'!J190/'2.1'!J201,"")</f>
        <v>0.92511013215859028</v>
      </c>
      <c r="K203" s="366">
        <f>IFERROR('2.3'!K190/'2.1'!K201,"")</f>
        <v>0.8313420394554043</v>
      </c>
      <c r="L203" s="366">
        <f>IFERROR('2.3'!L190/'2.1'!L201,"")</f>
        <v>0.53304597701149425</v>
      </c>
      <c r="M203" s="366">
        <f>IFERROR('2.3'!M190/'2.1'!M201,"")</f>
        <v>0.73669849931787179</v>
      </c>
      <c r="N203" s="366">
        <f>IFERROR('2.3'!N190/'2.1'!N201,"")</f>
        <v>0.60329411764705887</v>
      </c>
      <c r="O203" s="366">
        <f>IFERROR('2.3'!O190/'2.1'!O201,"")</f>
        <v>0.8290631469979296</v>
      </c>
      <c r="P203" s="366">
        <f>IFERROR('2.3'!P190/'2.1'!P201,"")</f>
        <v>0.89495579823192928</v>
      </c>
      <c r="Q203" s="366">
        <f>IFERROR('2.3'!Q190/'2.1'!Q201,"")</f>
        <v>0.85722753204415791</v>
      </c>
      <c r="R203" s="366">
        <f>IFERROR('2.3'!R190/'2.1'!R201,"")</f>
        <v>0.87977369165487973</v>
      </c>
      <c r="S203" s="366">
        <f>IFERROR('2.3'!S190/'2.1'!S201,"")</f>
        <v>0.93016488845780798</v>
      </c>
      <c r="T203" s="366">
        <f>IFERROR('2.3'!T190/'2.1'!T201,"")</f>
        <v>0.90966628308400466</v>
      </c>
      <c r="U203" s="367">
        <f>IFERROR('2.3'!U190/'2.1'!U201,"")</f>
        <v>0.79269851413963888</v>
      </c>
      <c r="V203" s="367">
        <f>IFERROR('2.3'!V190/'2.1'!V201,"")</f>
        <v>0.88875725624925961</v>
      </c>
      <c r="W203" s="367">
        <f>IFERROR('2.3'!W190/'2.1'!W201,"")</f>
        <v>0.83138508516627707</v>
      </c>
    </row>
    <row r="204" spans="2:23" hidden="1" outlineLevel="1" x14ac:dyDescent="0.25">
      <c r="B204" s="362">
        <v>44378</v>
      </c>
      <c r="C204" s="366" t="str">
        <f>IFERROR('2.3'!C191/'2.1'!C202,"")</f>
        <v/>
      </c>
      <c r="D204" s="366" t="str">
        <f>IFERROR('2.3'!D191/'2.1'!D202,"")</f>
        <v/>
      </c>
      <c r="E204" s="366" t="str">
        <f>IFERROR('2.3'!E191/'2.1'!E202,"")</f>
        <v/>
      </c>
      <c r="F204" s="366" t="str">
        <f>IFERROR('2.3'!F191/'2.1'!F202,"")</f>
        <v/>
      </c>
      <c r="G204" s="366" t="str">
        <f>IFERROR('2.3'!G191/'2.1'!G202,"")</f>
        <v/>
      </c>
      <c r="H204" s="366" t="str">
        <f>IFERROR('2.3'!H191/'2.1'!H202,"")</f>
        <v/>
      </c>
      <c r="I204" s="366">
        <f>IFERROR('2.3'!I191/'2.1'!I202,"")</f>
        <v>0.8279392338177014</v>
      </c>
      <c r="J204" s="366">
        <f>IFERROR('2.3'!J191/'2.1'!J202,"")</f>
        <v>0.92916283348666051</v>
      </c>
      <c r="K204" s="366">
        <f>IFERROR('2.3'!K191/'2.1'!K202,"")</f>
        <v>0.854678007290401</v>
      </c>
      <c r="L204" s="366">
        <f>IFERROR('2.3'!L191/'2.1'!L202,"")</f>
        <v>0.52143757881462804</v>
      </c>
      <c r="M204" s="366">
        <f>IFERROR('2.3'!M191/'2.1'!M202,"")</f>
        <v>0.7399756986634265</v>
      </c>
      <c r="N204" s="366">
        <f>IFERROR('2.3'!N191/'2.1'!N202,"")</f>
        <v>0.59609796596097964</v>
      </c>
      <c r="O204" s="366">
        <f>IFERROR('2.3'!O191/'2.1'!O202,"")</f>
        <v>0.8479378623782956</v>
      </c>
      <c r="P204" s="366">
        <f>IFERROR('2.3'!P191/'2.1'!P202,"")</f>
        <v>0.90275284260921607</v>
      </c>
      <c r="Q204" s="366">
        <f>IFERROR('2.3'!Q191/'2.1'!Q202,"")</f>
        <v>0.87109004739336493</v>
      </c>
      <c r="R204" s="366">
        <f>IFERROR('2.3'!R191/'2.1'!R202,"")</f>
        <v>0.88607594936708856</v>
      </c>
      <c r="S204" s="366">
        <f>IFERROR('2.3'!S191/'2.1'!S202,"")</f>
        <v>0.93244626407369502</v>
      </c>
      <c r="T204" s="366">
        <f>IFERROR('2.3'!T191/'2.1'!T202,"")</f>
        <v>0.91423244251087632</v>
      </c>
      <c r="U204" s="367">
        <f>IFERROR('2.3'!U191/'2.1'!U202,"")</f>
        <v>0.80941127406686597</v>
      </c>
      <c r="V204" s="367">
        <f>IFERROR('2.3'!V191/'2.1'!V202,"")</f>
        <v>0.89478633371643501</v>
      </c>
      <c r="W204" s="367">
        <f>IFERROR('2.3'!W191/'2.1'!W202,"")</f>
        <v>0.84351782285666588</v>
      </c>
    </row>
    <row r="205" spans="2:23" hidden="1" outlineLevel="1" x14ac:dyDescent="0.25">
      <c r="B205" s="362">
        <v>44409</v>
      </c>
      <c r="C205" s="366" t="str">
        <f>IFERROR('2.3'!C192/'2.1'!C203,"")</f>
        <v/>
      </c>
      <c r="D205" s="366" t="str">
        <f>IFERROR('2.3'!D192/'2.1'!D203,"")</f>
        <v/>
      </c>
      <c r="E205" s="366" t="str">
        <f>IFERROR('2.3'!E192/'2.1'!E203,"")</f>
        <v/>
      </c>
      <c r="F205" s="366" t="str">
        <f>IFERROR('2.3'!F192/'2.1'!F203,"")</f>
        <v/>
      </c>
      <c r="G205" s="366" t="str">
        <f>IFERROR('2.3'!G192/'2.1'!G203,"")</f>
        <v/>
      </c>
      <c r="H205" s="366" t="str">
        <f>IFERROR('2.3'!H192/'2.1'!H203,"")</f>
        <v/>
      </c>
      <c r="I205" s="366">
        <f>IFERROR('2.3'!I192/'2.1'!I203,"")</f>
        <v>0.81973556917123513</v>
      </c>
      <c r="J205" s="366">
        <f>IFERROR('2.3'!J192/'2.1'!J203,"")</f>
        <v>0.93065998329156219</v>
      </c>
      <c r="K205" s="366">
        <f>IFERROR('2.3'!K192/'2.1'!K203,"")</f>
        <v>0.85062819916240107</v>
      </c>
      <c r="L205" s="366">
        <f>IFERROR('2.3'!L192/'2.1'!L203,"")</f>
        <v>0.52906976744186052</v>
      </c>
      <c r="M205" s="366">
        <f>IFERROR('2.3'!M192/'2.1'!M203,"")</f>
        <v>0.72095548317046687</v>
      </c>
      <c r="N205" s="366">
        <f>IFERROR('2.3'!N192/'2.1'!N203,"")</f>
        <v>0.59598636879969713</v>
      </c>
      <c r="O205" s="366">
        <f>IFERROR('2.3'!O192/'2.1'!O203,"")</f>
        <v>0.83675063464167154</v>
      </c>
      <c r="P205" s="366">
        <f>IFERROR('2.3'!P192/'2.1'!P203,"")</f>
        <v>0.90289437413857909</v>
      </c>
      <c r="Q205" s="366">
        <f>IFERROR('2.3'!Q192/'2.1'!Q203,"")</f>
        <v>0.86571914613400647</v>
      </c>
      <c r="R205" s="366">
        <f>IFERROR('2.3'!R192/'2.1'!R203,"")</f>
        <v>0.87461300309597523</v>
      </c>
      <c r="S205" s="366">
        <f>IFERROR('2.3'!S192/'2.1'!S203,"")</f>
        <v>0.92833517089305406</v>
      </c>
      <c r="T205" s="366">
        <f>IFERROR('2.3'!T192/'2.1'!T203,"")</f>
        <v>0.90598840952994208</v>
      </c>
      <c r="U205" s="367">
        <f>IFERROR('2.3'!U192/'2.1'!U203,"")</f>
        <v>0.80126042396078678</v>
      </c>
      <c r="V205" s="367">
        <f>IFERROR('2.3'!V192/'2.1'!V203,"")</f>
        <v>0.89278575322551335</v>
      </c>
      <c r="W205" s="367">
        <f>IFERROR('2.3'!W192/'2.1'!W203,"")</f>
        <v>0.83896687254351487</v>
      </c>
    </row>
    <row r="206" spans="2:23" hidden="1" outlineLevel="1" x14ac:dyDescent="0.25">
      <c r="B206" s="362">
        <v>44440</v>
      </c>
      <c r="C206" s="366" t="str">
        <f>IFERROR('2.3'!C193/'2.1'!C204,"")</f>
        <v/>
      </c>
      <c r="D206" s="366" t="str">
        <f>IFERROR('2.3'!D193/'2.1'!D204,"")</f>
        <v/>
      </c>
      <c r="E206" s="366" t="str">
        <f>IFERROR('2.3'!E193/'2.1'!E204,"")</f>
        <v/>
      </c>
      <c r="F206" s="366" t="str">
        <f>IFERROR('2.3'!F193/'2.1'!F204,"")</f>
        <v/>
      </c>
      <c r="G206" s="366" t="str">
        <f>IFERROR('2.3'!G193/'2.1'!G204,"")</f>
        <v/>
      </c>
      <c r="H206" s="366" t="str">
        <f>IFERROR('2.3'!H193/'2.1'!H204,"")</f>
        <v/>
      </c>
      <c r="I206" s="366">
        <f>IFERROR('2.3'!I193/'2.1'!I204,"")</f>
        <v>0.83645707376058043</v>
      </c>
      <c r="J206" s="366">
        <f>IFERROR('2.3'!J193/'2.1'!J204,"")</f>
        <v>0.93278688524590159</v>
      </c>
      <c r="K206" s="366">
        <f>IFERROR('2.3'!K193/'2.1'!K204,"")</f>
        <v>0.86241166077738518</v>
      </c>
      <c r="L206" s="366">
        <f>IFERROR('2.3'!L193/'2.1'!L204,"")</f>
        <v>0.51957070707070707</v>
      </c>
      <c r="M206" s="366">
        <f>IFERROR('2.3'!M193/'2.1'!M204,"")</f>
        <v>0.75469168900804284</v>
      </c>
      <c r="N206" s="366">
        <f>IFERROR('2.3'!N193/'2.1'!N204,"")</f>
        <v>0.59484978540772537</v>
      </c>
      <c r="O206" s="366">
        <f>IFERROR('2.3'!O193/'2.1'!O204,"")</f>
        <v>0.85221056407497087</v>
      </c>
      <c r="P206" s="366">
        <f>IFERROR('2.3'!P193/'2.1'!P204,"")</f>
        <v>0.90954194069458871</v>
      </c>
      <c r="Q206" s="366">
        <f>IFERROR('2.3'!Q193/'2.1'!Q204,"")</f>
        <v>0.87728327782823701</v>
      </c>
      <c r="R206" s="366">
        <f>IFERROR('2.3'!R193/'2.1'!R204,"")</f>
        <v>0.82421227197346603</v>
      </c>
      <c r="S206" s="366">
        <f>IFERROR('2.3'!S193/'2.1'!S204,"")</f>
        <v>0.91319857312722952</v>
      </c>
      <c r="T206" s="366">
        <f>IFERROR('2.3'!T193/'2.1'!T204,"")</f>
        <v>0.87603878116343492</v>
      </c>
      <c r="U206" s="367">
        <f>IFERROR('2.3'!U193/'2.1'!U204,"")</f>
        <v>0.81641235131563139</v>
      </c>
      <c r="V206" s="367">
        <f>IFERROR('2.3'!V193/'2.1'!V204,"")</f>
        <v>0.9022137005403521</v>
      </c>
      <c r="W206" s="367">
        <f>IFERROR('2.3'!W193/'2.1'!W204,"")</f>
        <v>0.85142247510668567</v>
      </c>
    </row>
    <row r="207" spans="2:23" hidden="1" outlineLevel="1" x14ac:dyDescent="0.25">
      <c r="B207" s="362">
        <v>44470</v>
      </c>
      <c r="C207" s="366" t="str">
        <f>IFERROR('2.3'!C194/'2.1'!C205,"")</f>
        <v/>
      </c>
      <c r="D207" s="366" t="str">
        <f>IFERROR('2.3'!D194/'2.1'!D205,"")</f>
        <v/>
      </c>
      <c r="E207" s="366" t="str">
        <f>IFERROR('2.3'!E194/'2.1'!E205,"")</f>
        <v/>
      </c>
      <c r="F207" s="366" t="str">
        <f>IFERROR('2.3'!F194/'2.1'!F205,"")</f>
        <v/>
      </c>
      <c r="G207" s="366" t="str">
        <f>IFERROR('2.3'!G194/'2.1'!G205,"")</f>
        <v/>
      </c>
      <c r="H207" s="366" t="str">
        <f>IFERROR('2.3'!H194/'2.1'!H205,"")</f>
        <v/>
      </c>
      <c r="I207" s="366">
        <f>IFERROR('2.3'!I194/'2.1'!I205,"")</f>
        <v>0.80692675159235672</v>
      </c>
      <c r="J207" s="366">
        <f>IFERROR('2.3'!J194/'2.1'!J205,"")</f>
        <v>0.91398963730569949</v>
      </c>
      <c r="K207" s="366">
        <f>IFERROR('2.3'!K194/'2.1'!K205,"")</f>
        <v>0.83664078228357774</v>
      </c>
      <c r="L207" s="366">
        <f>IFERROR('2.3'!L194/'2.1'!L205,"")</f>
        <v>0.49584816132858839</v>
      </c>
      <c r="M207" s="366">
        <f>IFERROR('2.3'!M194/'2.1'!M205,"")</f>
        <v>0.71096774193548384</v>
      </c>
      <c r="N207" s="366">
        <f>IFERROR('2.3'!N194/'2.1'!N205,"")</f>
        <v>0.56359203575782202</v>
      </c>
      <c r="O207" s="366">
        <f>IFERROR('2.3'!O194/'2.1'!O205,"")</f>
        <v>0.85310621242484974</v>
      </c>
      <c r="P207" s="366">
        <f>IFERROR('2.3'!P194/'2.1'!P205,"")</f>
        <v>0.90920865172905063</v>
      </c>
      <c r="Q207" s="366">
        <f>IFERROR('2.3'!Q194/'2.1'!Q205,"")</f>
        <v>0.87757753799220384</v>
      </c>
      <c r="R207" s="366">
        <f>IFERROR('2.3'!R194/'2.1'!R205,"")</f>
        <v>0.85943060498220636</v>
      </c>
      <c r="S207" s="366">
        <f>IFERROR('2.3'!S194/'2.1'!S205,"")</f>
        <v>0.94387170675830467</v>
      </c>
      <c r="T207" s="366">
        <f>IFERROR('2.3'!T194/'2.1'!T205,"")</f>
        <v>0.910801393728223</v>
      </c>
      <c r="U207" s="367">
        <f>IFERROR('2.3'!U194/'2.1'!U205,"")</f>
        <v>0.80461329715061058</v>
      </c>
      <c r="V207" s="367">
        <f>IFERROR('2.3'!V194/'2.1'!V205,"")</f>
        <v>0.89771627636926654</v>
      </c>
      <c r="W207" s="367">
        <f>IFERROR('2.3'!W194/'2.1'!W205,"")</f>
        <v>0.84298476509531783</v>
      </c>
    </row>
    <row r="208" spans="2:23" hidden="1" outlineLevel="1" x14ac:dyDescent="0.25">
      <c r="B208" s="362">
        <v>44501</v>
      </c>
      <c r="C208" s="366" t="str">
        <f>IFERROR('2.3'!C195/'2.1'!C206,"")</f>
        <v/>
      </c>
      <c r="D208" s="366" t="str">
        <f>IFERROR('2.3'!D195/'2.1'!D206,"")</f>
        <v/>
      </c>
      <c r="E208" s="366" t="str">
        <f>IFERROR('2.3'!E195/'2.1'!E206,"")</f>
        <v/>
      </c>
      <c r="F208" s="366" t="str">
        <f>IFERROR('2.3'!F195/'2.1'!F206,"")</f>
        <v/>
      </c>
      <c r="G208" s="366" t="str">
        <f>IFERROR('2.3'!G195/'2.1'!G206,"")</f>
        <v/>
      </c>
      <c r="H208" s="366" t="str">
        <f>IFERROR('2.3'!H195/'2.1'!H206,"")</f>
        <v/>
      </c>
      <c r="I208" s="366">
        <f>IFERROR('2.3'!I195/'2.1'!I206,"")</f>
        <v>0.84237995824634659</v>
      </c>
      <c r="J208" s="366">
        <f>IFERROR('2.3'!J195/'2.1'!J206,"")</f>
        <v>0.94543650793650791</v>
      </c>
      <c r="K208" s="366">
        <f>IFERROR('2.3'!K195/'2.1'!K206,"")</f>
        <v>0.86913961875321999</v>
      </c>
      <c r="L208" s="366">
        <f>IFERROR('2.3'!L195/'2.1'!L206,"")</f>
        <v>0.49702219815917703</v>
      </c>
      <c r="M208" s="366">
        <f>IFERROR('2.3'!M195/'2.1'!M206,"")</f>
        <v>0.74691358024691357</v>
      </c>
      <c r="N208" s="366">
        <f>IFERROR('2.3'!N195/'2.1'!N206,"")</f>
        <v>0.57320286036883705</v>
      </c>
      <c r="O208" s="366">
        <f>IFERROR('2.3'!O195/'2.1'!O206,"")</f>
        <v>0.84178847807394674</v>
      </c>
      <c r="P208" s="366">
        <f>IFERROR('2.3'!P195/'2.1'!P206,"")</f>
        <v>0.90187573270808907</v>
      </c>
      <c r="Q208" s="366">
        <f>IFERROR('2.3'!Q195/'2.1'!Q206,"")</f>
        <v>0.86721230158730156</v>
      </c>
      <c r="R208" s="366">
        <f>IFERROR('2.3'!R195/'2.1'!R206,"")</f>
        <v>0.86956521739130432</v>
      </c>
      <c r="S208" s="366">
        <f>IFERROR('2.3'!S195/'2.1'!S206,"")</f>
        <v>0.92741061755146259</v>
      </c>
      <c r="T208" s="366">
        <f>IFERROR('2.3'!T195/'2.1'!T206,"")</f>
        <v>0.90520694259012013</v>
      </c>
      <c r="U208" s="367">
        <f>IFERROR('2.3'!U195/'2.1'!U206,"")</f>
        <v>0.80521091811414391</v>
      </c>
      <c r="V208" s="367">
        <f>IFERROR('2.3'!V195/'2.1'!V206,"")</f>
        <v>0.89672611125898327</v>
      </c>
      <c r="W208" s="367">
        <f>IFERROR('2.3'!W195/'2.1'!W206,"")</f>
        <v>0.84179167996595383</v>
      </c>
    </row>
    <row r="209" spans="2:23" hidden="1" outlineLevel="1" x14ac:dyDescent="0.25">
      <c r="B209" s="362">
        <v>44531</v>
      </c>
      <c r="C209" s="366" t="str">
        <f>IFERROR('2.3'!C196/'2.1'!C207,"")</f>
        <v/>
      </c>
      <c r="D209" s="366" t="str">
        <f>IFERROR('2.3'!D196/'2.1'!D207,"")</f>
        <v/>
      </c>
      <c r="E209" s="366" t="str">
        <f>IFERROR('2.3'!E196/'2.1'!E207,"")</f>
        <v/>
      </c>
      <c r="F209" s="366" t="str">
        <f>IFERROR('2.3'!F196/'2.1'!F207,"")</f>
        <v/>
      </c>
      <c r="G209" s="366" t="str">
        <f>IFERROR('2.3'!G196/'2.1'!G207,"")</f>
        <v/>
      </c>
      <c r="H209" s="366" t="str">
        <f>IFERROR('2.3'!H196/'2.1'!H207,"")</f>
        <v/>
      </c>
      <c r="I209" s="366">
        <f>IFERROR('2.3'!I196/'2.1'!I207,"")</f>
        <v>0.80653357531760439</v>
      </c>
      <c r="J209" s="366">
        <f>IFERROR('2.3'!J196/'2.1'!J207,"")</f>
        <v>0.92704280155642027</v>
      </c>
      <c r="K209" s="366">
        <f>IFERROR('2.3'!K196/'2.1'!K207,"")</f>
        <v>0.83928099392016919</v>
      </c>
      <c r="L209" s="366">
        <f>IFERROR('2.3'!L196/'2.1'!L207,"")</f>
        <v>0.47725964306275187</v>
      </c>
      <c r="M209" s="366">
        <f>IFERROR('2.3'!M196/'2.1'!M207,"")</f>
        <v>0.68434670116429497</v>
      </c>
      <c r="N209" s="366">
        <f>IFERROR('2.3'!N196/'2.1'!N207,"")</f>
        <v>0.54103585657370523</v>
      </c>
      <c r="O209" s="366">
        <f>IFERROR('2.3'!O196/'2.1'!O207,"")</f>
        <v>0.83040201005025127</v>
      </c>
      <c r="P209" s="366">
        <f>IFERROR('2.3'!P196/'2.1'!P207,"")</f>
        <v>0.89573348918760953</v>
      </c>
      <c r="Q209" s="366">
        <f>IFERROR('2.3'!Q196/'2.1'!Q207,"")</f>
        <v>0.85996931703962332</v>
      </c>
      <c r="R209" s="366">
        <f>IFERROR('2.3'!R196/'2.1'!R207,"")</f>
        <v>0.88448844884488453</v>
      </c>
      <c r="S209" s="366">
        <f>IFERROR('2.3'!S196/'2.1'!S207,"")</f>
        <v>0.93617021276595747</v>
      </c>
      <c r="T209" s="366">
        <f>IFERROR('2.3'!T196/'2.1'!T207,"")</f>
        <v>0.91460055096418735</v>
      </c>
      <c r="U209" s="367">
        <f>IFERROR('2.3'!U196/'2.1'!U207,"")</f>
        <v>0.78855367085329531</v>
      </c>
      <c r="V209" s="367">
        <f>IFERROR('2.3'!V196/'2.1'!V207,"")</f>
        <v>0.8870737368327084</v>
      </c>
      <c r="W209" s="367">
        <f>IFERROR('2.3'!W196/'2.1'!W207,"")</f>
        <v>0.82996847793455419</v>
      </c>
    </row>
    <row r="210" spans="2:23" collapsed="1" x14ac:dyDescent="0.25">
      <c r="B210" s="364" t="s">
        <v>712</v>
      </c>
      <c r="C210" s="367" t="str">
        <f>IFERROR('2.3'!C197/'2.1'!C208,"")</f>
        <v/>
      </c>
      <c r="D210" s="367" t="str">
        <f>IFERROR('2.3'!D197/'2.1'!D208,"")</f>
        <v/>
      </c>
      <c r="E210" s="367" t="str">
        <f>IFERROR('2.3'!E197/'2.1'!E208,"")</f>
        <v/>
      </c>
      <c r="F210" s="367" t="str">
        <f>IFERROR('2.3'!F197/'2.1'!F208,"")</f>
        <v/>
      </c>
      <c r="G210" s="367" t="str">
        <f>IFERROR('2.3'!G197/'2.1'!G208,"")</f>
        <v/>
      </c>
      <c r="H210" s="367" t="str">
        <f>IFERROR('2.3'!H197/'2.1'!H208,"")</f>
        <v/>
      </c>
      <c r="I210" s="367">
        <f>IFERROR('2.3'!I197/'2.1'!I208,"")</f>
        <v>0.82666148464827049</v>
      </c>
      <c r="J210" s="367">
        <f>IFERROR('2.3'!J197/'2.1'!J208,"")</f>
        <v>0.9264214046822743</v>
      </c>
      <c r="K210" s="367">
        <f>IFERROR('2.3'!K197/'2.1'!K208,"")</f>
        <v>0.8524495677233429</v>
      </c>
      <c r="L210" s="367">
        <f>IFERROR('2.3'!L197/'2.1'!L208,"")</f>
        <v>0.51874163319946454</v>
      </c>
      <c r="M210" s="367">
        <f>IFERROR('2.3'!M197/'2.1'!M208,"")</f>
        <v>0.75298804780876494</v>
      </c>
      <c r="N210" s="367">
        <f>IFERROR('2.3'!N197/'2.1'!N208,"")</f>
        <v>0.59679572763684918</v>
      </c>
      <c r="O210" s="367">
        <f>IFERROR('2.3'!O197/'2.1'!O208,"")</f>
        <v>0.8462820940313438</v>
      </c>
      <c r="P210" s="367">
        <f>IFERROR('2.3'!P197/'2.1'!P208,"")</f>
        <v>0.90343533487297922</v>
      </c>
      <c r="Q210" s="367">
        <f>IFERROR('2.3'!Q197/'2.1'!Q208,"")</f>
        <v>0.87120879120879124</v>
      </c>
      <c r="R210" s="367">
        <f>IFERROR('2.3'!R197/'2.1'!R208,"")</f>
        <v>0.9050279329608939</v>
      </c>
      <c r="S210" s="367">
        <f>IFERROR('2.3'!S197/'2.1'!S208,"")</f>
        <v>0.9476861167002012</v>
      </c>
      <c r="T210" s="367">
        <f>IFERROR('2.3'!T197/'2.1'!T208,"")</f>
        <v>0.92923976608187131</v>
      </c>
      <c r="U210" s="367">
        <f>IFERROR('2.3'!U197/'2.1'!U208,"")</f>
        <v>0.81015965166908566</v>
      </c>
      <c r="V210" s="367">
        <f>IFERROR('2.3'!V197/'2.1'!V208,"")</f>
        <v>0.89824488090263266</v>
      </c>
      <c r="W210" s="367">
        <f>IFERROR('2.3'!W197/'2.1'!W208,"")</f>
        <v>0.84626584446728337</v>
      </c>
    </row>
    <row r="211" spans="2:23" hidden="1" outlineLevel="1" x14ac:dyDescent="0.25">
      <c r="B211" s="362">
        <v>44562</v>
      </c>
      <c r="C211" s="366" t="str">
        <f>IFERROR('2.3'!C198/'2.1'!C209,"")</f>
        <v/>
      </c>
      <c r="D211" s="366" t="str">
        <f>IFERROR('2.3'!D198/'2.1'!D209,"")</f>
        <v/>
      </c>
      <c r="E211" s="366" t="str">
        <f>IFERROR('2.3'!E198/'2.1'!E209,"")</f>
        <v/>
      </c>
      <c r="F211" s="366" t="str">
        <f>IFERROR('2.3'!F198/'2.1'!F209,"")</f>
        <v/>
      </c>
      <c r="G211" s="366" t="str">
        <f>IFERROR('2.3'!G198/'2.1'!G209,"")</f>
        <v/>
      </c>
      <c r="H211" s="366" t="str">
        <f>IFERROR('2.3'!H198/'2.1'!H209,"")</f>
        <v/>
      </c>
      <c r="I211" s="366">
        <f>IFERROR('2.3'!I198/'2.1'!I209,"")</f>
        <v>0.92942515651679003</v>
      </c>
      <c r="J211" s="366">
        <f>IFERROR('2.3'!J198/'2.1'!J209,"")</f>
        <v>0.94690265486725667</v>
      </c>
      <c r="K211" s="366">
        <f>IFERROR('2.3'!K198/'2.1'!K209,"")</f>
        <v>0.93399201177212532</v>
      </c>
      <c r="L211" s="366">
        <f>IFERROR('2.3'!L198/'2.1'!L209,"")</f>
        <v>0.46640141467727675</v>
      </c>
      <c r="M211" s="366">
        <f>IFERROR('2.3'!M198/'2.1'!M209,"")</f>
        <v>0.69722814498933905</v>
      </c>
      <c r="N211" s="366">
        <f>IFERROR('2.3'!N198/'2.1'!N209,"")</f>
        <v>0.5340625</v>
      </c>
      <c r="O211" s="366">
        <f>IFERROR('2.3'!O198/'2.1'!O209,"")</f>
        <v>0.93052256532066513</v>
      </c>
      <c r="P211" s="366">
        <f>IFERROR('2.3'!P198/'2.1'!P209,"")</f>
        <v>0.94760333786143991</v>
      </c>
      <c r="Q211" s="366">
        <f>IFERROR('2.3'!Q198/'2.1'!Q209,"")</f>
        <v>0.93849008780664434</v>
      </c>
      <c r="R211" s="366">
        <f>IFERROR('2.3'!R198/'2.1'!R209,"")</f>
        <v>0.84795321637426901</v>
      </c>
      <c r="S211" s="366">
        <f>IFERROR('2.3'!S198/'2.1'!S209,"")</f>
        <v>0.91581342434584756</v>
      </c>
      <c r="T211" s="366">
        <f>IFERROR('2.3'!T198/'2.1'!T209,"")</f>
        <v>0.88611644273832368</v>
      </c>
      <c r="U211" s="367">
        <f>IFERROR('2.3'!U198/'2.1'!U209,"")</f>
        <v>0.86968434896975011</v>
      </c>
      <c r="V211" s="367">
        <f>IFERROR('2.3'!V198/'2.1'!V209,"")</f>
        <v>0.92787670207990425</v>
      </c>
      <c r="W211" s="367">
        <f>IFERROR('2.3'!W198/'2.1'!W209,"")</f>
        <v>0.89428734105143293</v>
      </c>
    </row>
    <row r="212" spans="2:23" hidden="1" outlineLevel="1" x14ac:dyDescent="0.25">
      <c r="B212" s="362">
        <v>44593</v>
      </c>
      <c r="C212" s="366">
        <f>IFERROR('2.3'!C199/'2.1'!C210,"")</f>
        <v>0.7871739714977144</v>
      </c>
      <c r="D212" s="366">
        <f>IFERROR('2.3'!D199/'2.1'!D210,"")</f>
        <v>0.68181818181818177</v>
      </c>
      <c r="E212" s="366">
        <f>IFERROR('2.3'!E199/'2.1'!E210,"")</f>
        <v>0.76131061067153583</v>
      </c>
      <c r="F212" s="366">
        <f>IFERROR('2.3'!F199/'2.1'!F210,"")</f>
        <v>0.86042134749496657</v>
      </c>
      <c r="G212" s="366">
        <f>IFERROR('2.3'!G199/'2.1'!G210,"")</f>
        <v>0.85804264934331309</v>
      </c>
      <c r="H212" s="366">
        <f>IFERROR('2.3'!H199/'2.1'!H210,"")</f>
        <v>0.85921264136862052</v>
      </c>
      <c r="I212" s="366" t="str">
        <f>IFERROR('2.3'!I199/'2.1'!I210,"")</f>
        <v/>
      </c>
      <c r="J212" s="366" t="str">
        <f>IFERROR('2.3'!J199/'2.1'!J210,"")</f>
        <v/>
      </c>
      <c r="K212" s="366" t="str">
        <f>IFERROR('2.3'!K199/'2.1'!K210,"")</f>
        <v/>
      </c>
      <c r="L212" s="366">
        <f>IFERROR('2.3'!L199/'2.1'!L210,"")</f>
        <v>0.51525762881440718</v>
      </c>
      <c r="M212" s="366">
        <f>IFERROR('2.3'!M199/'2.1'!M210,"")</f>
        <v>0.73178137651821862</v>
      </c>
      <c r="N212" s="366">
        <f>IFERROR('2.3'!N199/'2.1'!N210,"")</f>
        <v>0.58687646468028121</v>
      </c>
      <c r="O212" s="366" t="str">
        <f>IFERROR('2.3'!O199/'2.1'!O210,"")</f>
        <v/>
      </c>
      <c r="P212" s="366" t="str">
        <f>IFERROR('2.3'!P199/'2.1'!P210,"")</f>
        <v/>
      </c>
      <c r="Q212" s="366" t="str">
        <f>IFERROR('2.3'!Q199/'2.1'!Q210,"")</f>
        <v/>
      </c>
      <c r="R212" s="366">
        <f>IFERROR('2.3'!R199/'2.1'!R210,"")</f>
        <v>0.77677224736048267</v>
      </c>
      <c r="S212" s="366">
        <f>IFERROR('2.3'!S199/'2.1'!S210,"")</f>
        <v>0.79271294928606595</v>
      </c>
      <c r="T212" s="366">
        <f>IFERROR('2.3'!T199/'2.1'!T210,"")</f>
        <v>0.78641644325290438</v>
      </c>
      <c r="U212" s="367">
        <f>IFERROR('2.3'!U199/'2.1'!U210,"")</f>
        <v>0.84345249353760798</v>
      </c>
      <c r="V212" s="367">
        <f>IFERROR('2.3'!V199/'2.1'!V210,"")</f>
        <v>0.8490734304712193</v>
      </c>
      <c r="W212" s="367">
        <f>IFERROR('2.3'!W199/'2.1'!W210,"")</f>
        <v>0.84620774779176366</v>
      </c>
    </row>
    <row r="213" spans="2:23" hidden="1" outlineLevel="1" x14ac:dyDescent="0.25">
      <c r="B213" s="362">
        <v>44621</v>
      </c>
      <c r="C213" s="366">
        <f>IFERROR('2.3'!C200/'2.1'!C211,"")</f>
        <v>0.8239625167336011</v>
      </c>
      <c r="D213" s="366">
        <f>IFERROR('2.3'!D200/'2.1'!D211,"")</f>
        <v>0.80590717299578063</v>
      </c>
      <c r="E213" s="366">
        <f>IFERROR('2.3'!E200/'2.1'!E211,"")</f>
        <v>0.81961382113821135</v>
      </c>
      <c r="F213" s="366">
        <f>IFERROR('2.3'!F200/'2.1'!F211,"")</f>
        <v>0.89383086442902682</v>
      </c>
      <c r="G213" s="366">
        <f>IFERROR('2.3'!G200/'2.1'!G211,"")</f>
        <v>0.88441558441558443</v>
      </c>
      <c r="H213" s="366">
        <f>IFERROR('2.3'!H200/'2.1'!H211,"")</f>
        <v>0.88890478319177468</v>
      </c>
      <c r="I213" s="366" t="str">
        <f>IFERROR('2.3'!I200/'2.1'!I211,"")</f>
        <v/>
      </c>
      <c r="J213" s="366" t="str">
        <f>IFERROR('2.3'!J200/'2.1'!J211,"")</f>
        <v/>
      </c>
      <c r="K213" s="366" t="str">
        <f>IFERROR('2.3'!K200/'2.1'!K211,"")</f>
        <v/>
      </c>
      <c r="L213" s="366">
        <f>IFERROR('2.3'!L200/'2.1'!L211,"")</f>
        <v>0.4781115879828326</v>
      </c>
      <c r="M213" s="366">
        <f>IFERROR('2.3'!M200/'2.1'!M211,"")</f>
        <v>0.70360110803324105</v>
      </c>
      <c r="N213" s="366">
        <f>IFERROR('2.3'!N200/'2.1'!N211,"")</f>
        <v>0.54966305303252272</v>
      </c>
      <c r="O213" s="366" t="str">
        <f>IFERROR('2.3'!O200/'2.1'!O211,"")</f>
        <v/>
      </c>
      <c r="P213" s="366" t="str">
        <f>IFERROR('2.3'!P200/'2.1'!P211,"")</f>
        <v/>
      </c>
      <c r="Q213" s="366" t="str">
        <f>IFERROR('2.3'!Q200/'2.1'!Q211,"")</f>
        <v/>
      </c>
      <c r="R213" s="366">
        <f>IFERROR('2.3'!R200/'2.1'!R211,"")</f>
        <v>0.82727272727272727</v>
      </c>
      <c r="S213" s="366">
        <f>IFERROR('2.3'!S200/'2.1'!S211,"")</f>
        <v>0.89496157130657561</v>
      </c>
      <c r="T213" s="366">
        <f>IFERROR('2.3'!T200/'2.1'!T211,"")</f>
        <v>0.86810922205048946</v>
      </c>
      <c r="U213" s="367">
        <f>IFERROR('2.3'!U200/'2.1'!U211,"")</f>
        <v>0.85786493489874915</v>
      </c>
      <c r="V213" s="367">
        <f>IFERROR('2.3'!V200/'2.1'!V211,"")</f>
        <v>0.87751656871326744</v>
      </c>
      <c r="W213" s="367">
        <f>IFERROR('2.3'!W200/'2.1'!W211,"")</f>
        <v>0.86780400651414291</v>
      </c>
    </row>
    <row r="214" spans="2:23" hidden="1" outlineLevel="1" x14ac:dyDescent="0.25">
      <c r="B214" s="362">
        <v>44652</v>
      </c>
      <c r="C214" s="366">
        <f>IFERROR('2.3'!C201/'2.1'!C212,"")</f>
        <v>0.89522258414766553</v>
      </c>
      <c r="D214" s="366">
        <f>IFERROR('2.3'!D201/'2.1'!D212,"")</f>
        <v>0.89258312020460362</v>
      </c>
      <c r="E214" s="366">
        <f>IFERROR('2.3'!E201/'2.1'!E212,"")</f>
        <v>0.89443597560975607</v>
      </c>
      <c r="F214" s="366">
        <f>IFERROR('2.3'!F201/'2.1'!F212,"")</f>
        <v>0.89161775963255929</v>
      </c>
      <c r="G214" s="366">
        <f>IFERROR('2.3'!G201/'2.1'!G212,"")</f>
        <v>0.88519062381030078</v>
      </c>
      <c r="H214" s="366">
        <f>IFERROR('2.3'!H201/'2.1'!H212,"")</f>
        <v>0.88814843084872153</v>
      </c>
      <c r="I214" s="366" t="str">
        <f>IFERROR('2.3'!I201/'2.1'!I212,"")</f>
        <v/>
      </c>
      <c r="J214" s="366" t="str">
        <f>IFERROR('2.3'!J201/'2.1'!J212,"")</f>
        <v/>
      </c>
      <c r="K214" s="366" t="str">
        <f>IFERROR('2.3'!K201/'2.1'!K212,"")</f>
        <v/>
      </c>
      <c r="L214" s="366">
        <f>IFERROR('2.3'!L201/'2.1'!L212,"")</f>
        <v>0.47088961341406615</v>
      </c>
      <c r="M214" s="366">
        <f>IFERROR('2.3'!M201/'2.1'!M212,"")</f>
        <v>0.68965517241379315</v>
      </c>
      <c r="N214" s="366">
        <f>IFERROR('2.3'!N201/'2.1'!N212,"")</f>
        <v>0.53833762886597936</v>
      </c>
      <c r="O214" s="366" t="str">
        <f>IFERROR('2.3'!O201/'2.1'!O212,"")</f>
        <v/>
      </c>
      <c r="P214" s="366" t="str">
        <f>IFERROR('2.3'!P201/'2.1'!P212,"")</f>
        <v/>
      </c>
      <c r="Q214" s="366" t="str">
        <f>IFERROR('2.3'!Q201/'2.1'!Q212,"")</f>
        <v/>
      </c>
      <c r="R214" s="366">
        <f>IFERROR('2.3'!R201/'2.1'!R212,"")</f>
        <v>0.80070546737213399</v>
      </c>
      <c r="S214" s="366">
        <f>IFERROR('2.3'!S201/'2.1'!S212,"")</f>
        <v>0.89860583016476547</v>
      </c>
      <c r="T214" s="366">
        <f>IFERROR('2.3'!T201/'2.1'!T212,"")</f>
        <v>0.85766961651917406</v>
      </c>
      <c r="U214" s="367">
        <f>IFERROR('2.3'!U201/'2.1'!U212,"")</f>
        <v>0.84475088967971534</v>
      </c>
      <c r="V214" s="367">
        <f>IFERROR('2.3'!V201/'2.1'!V212,"")</f>
        <v>0.87702605785321541</v>
      </c>
      <c r="W214" s="367">
        <f>IFERROR('2.3'!W201/'2.1'!W212,"")</f>
        <v>0.86115634189612855</v>
      </c>
    </row>
    <row r="215" spans="2:23" hidden="1" outlineLevel="1" x14ac:dyDescent="0.25">
      <c r="B215" s="362">
        <v>44682</v>
      </c>
      <c r="C215" s="366">
        <f>IFERROR('2.3'!C202/'2.1'!C213,"")</f>
        <v>0.90935779816513762</v>
      </c>
      <c r="D215" s="366">
        <f>IFERROR('2.3'!D202/'2.1'!D213,"")</f>
        <v>0.88888888888888884</v>
      </c>
      <c r="E215" s="366">
        <f>IFERROR('2.3'!E202/'2.1'!E213,"")</f>
        <v>0.90257668711656447</v>
      </c>
      <c r="F215" s="366">
        <f>IFERROR('2.3'!F202/'2.1'!F213,"")</f>
        <v>0.89052404881550606</v>
      </c>
      <c r="G215" s="366">
        <f>IFERROR('2.3'!G202/'2.1'!G213,"")</f>
        <v>0.88103767044141434</v>
      </c>
      <c r="H215" s="366">
        <f>IFERROR('2.3'!H202/'2.1'!H213,"")</f>
        <v>0.88526794289006983</v>
      </c>
      <c r="I215" s="366" t="str">
        <f>IFERROR('2.3'!I202/'2.1'!I213,"")</f>
        <v/>
      </c>
      <c r="J215" s="366" t="str">
        <f>IFERROR('2.3'!J202/'2.1'!J213,"")</f>
        <v/>
      </c>
      <c r="K215" s="366" t="str">
        <f>IFERROR('2.3'!K202/'2.1'!K213,"")</f>
        <v/>
      </c>
      <c r="L215" s="366">
        <f>IFERROR('2.3'!L202/'2.1'!L213,"")</f>
        <v>0.47383047707271886</v>
      </c>
      <c r="M215" s="366">
        <f>IFERROR('2.3'!M202/'2.1'!M213,"")</f>
        <v>0.69690265486725667</v>
      </c>
      <c r="N215" s="366">
        <f>IFERROR('2.3'!N202/'2.1'!N213,"")</f>
        <v>0.53966699314397648</v>
      </c>
      <c r="O215" s="366" t="str">
        <f>IFERROR('2.3'!O202/'2.1'!O213,"")</f>
        <v/>
      </c>
      <c r="P215" s="366" t="str">
        <f>IFERROR('2.3'!P202/'2.1'!P213,"")</f>
        <v/>
      </c>
      <c r="Q215" s="366" t="str">
        <f>IFERROR('2.3'!Q202/'2.1'!Q213,"")</f>
        <v/>
      </c>
      <c r="R215" s="366">
        <f>IFERROR('2.3'!R202/'2.1'!R213,"")</f>
        <v>0.7649186256781193</v>
      </c>
      <c r="S215" s="366">
        <f>IFERROR('2.3'!S202/'2.1'!S213,"")</f>
        <v>0.8409893992932862</v>
      </c>
      <c r="T215" s="366">
        <f>IFERROR('2.3'!T202/'2.1'!T213,"")</f>
        <v>0.81098430813124112</v>
      </c>
      <c r="U215" s="367">
        <f>IFERROR('2.3'!U202/'2.1'!U213,"")</f>
        <v>0.8431352300304642</v>
      </c>
      <c r="V215" s="367">
        <f>IFERROR('2.3'!V202/'2.1'!V213,"")</f>
        <v>0.87173582871980793</v>
      </c>
      <c r="W215" s="367">
        <f>IFERROR('2.3'!W202/'2.1'!W213,"")</f>
        <v>0.85781085021871384</v>
      </c>
    </row>
    <row r="216" spans="2:23" hidden="1" outlineLevel="1" x14ac:dyDescent="0.25">
      <c r="B216" s="362">
        <v>44713</v>
      </c>
      <c r="C216" s="366">
        <f>IFERROR('2.3'!C203/'2.1'!C214,"")</f>
        <v>0.91807591131153699</v>
      </c>
      <c r="D216" s="366">
        <f>IFERROR('2.3'!D203/'2.1'!D214,"")</f>
        <v>0.87755102040816324</v>
      </c>
      <c r="E216" s="366">
        <f>IFERROR('2.3'!E203/'2.1'!E214,"")</f>
        <v>0.90428961071162905</v>
      </c>
      <c r="F216" s="366">
        <f>IFERROR('2.3'!F203/'2.1'!F214,"")</f>
        <v>0.88446017699115043</v>
      </c>
      <c r="G216" s="366">
        <f>IFERROR('2.3'!G203/'2.1'!G214,"")</f>
        <v>0.85298243645137761</v>
      </c>
      <c r="H216" s="366">
        <f>IFERROR('2.3'!H203/'2.1'!H214,"")</f>
        <v>0.86690039441557631</v>
      </c>
      <c r="I216" s="366" t="str">
        <f>IFERROR('2.3'!I203/'2.1'!I214,"")</f>
        <v/>
      </c>
      <c r="J216" s="366" t="str">
        <f>IFERROR('2.3'!J203/'2.1'!J214,"")</f>
        <v/>
      </c>
      <c r="K216" s="366" t="str">
        <f>IFERROR('2.3'!K203/'2.1'!K214,"")</f>
        <v/>
      </c>
      <c r="L216" s="366">
        <f>IFERROR('2.3'!L203/'2.1'!L214,"")</f>
        <v>0.44587352625937837</v>
      </c>
      <c r="M216" s="366">
        <f>IFERROR('2.3'!M203/'2.1'!M214,"")</f>
        <v>0.6642246642246642</v>
      </c>
      <c r="N216" s="366">
        <f>IFERROR('2.3'!N203/'2.1'!N214,"")</f>
        <v>0.51247672253258847</v>
      </c>
      <c r="O216" s="366" t="str">
        <f>IFERROR('2.3'!O203/'2.1'!O214,"")</f>
        <v/>
      </c>
      <c r="P216" s="366" t="str">
        <f>IFERROR('2.3'!P203/'2.1'!P214,"")</f>
        <v/>
      </c>
      <c r="Q216" s="366" t="str">
        <f>IFERROR('2.3'!Q203/'2.1'!Q214,"")</f>
        <v/>
      </c>
      <c r="R216" s="366">
        <f>IFERROR('2.3'!R203/'2.1'!R214,"")</f>
        <v>0.78195488721804507</v>
      </c>
      <c r="S216" s="366">
        <f>IFERROR('2.3'!S203/'2.1'!S214,"")</f>
        <v>0.87228915662650608</v>
      </c>
      <c r="T216" s="366">
        <f>IFERROR('2.3'!T203/'2.1'!T214,"")</f>
        <v>0.83700440528634357</v>
      </c>
      <c r="U216" s="367">
        <f>IFERROR('2.3'!U203/'2.1'!U214,"")</f>
        <v>0.8436196830692243</v>
      </c>
      <c r="V216" s="367">
        <f>IFERROR('2.3'!V203/'2.1'!V214,"")</f>
        <v>0.84795125227905188</v>
      </c>
      <c r="W216" s="367">
        <f>IFERROR('2.3'!W203/'2.1'!W214,"")</f>
        <v>0.84587518113226401</v>
      </c>
    </row>
    <row r="217" spans="2:23" hidden="1" outlineLevel="1" x14ac:dyDescent="0.25">
      <c r="B217" s="362">
        <v>44743</v>
      </c>
      <c r="C217" s="366">
        <f>IFERROR('2.3'!C204/'2.1'!C215,"")</f>
        <v>0.88912207065407489</v>
      </c>
      <c r="D217" s="366">
        <f>IFERROR('2.3'!D204/'2.1'!D215,"")</f>
        <v>0.83892617449664431</v>
      </c>
      <c r="E217" s="366">
        <f>IFERROR('2.3'!E204/'2.1'!E215,"")</f>
        <v>0.87192458036330189</v>
      </c>
      <c r="F217" s="366">
        <f>IFERROR('2.3'!F204/'2.1'!F215,"")</f>
        <v>0.86961707470182048</v>
      </c>
      <c r="G217" s="366">
        <f>IFERROR('2.3'!G204/'2.1'!G215,"")</f>
        <v>0.81429164935604492</v>
      </c>
      <c r="H217" s="366">
        <f>IFERROR('2.3'!H204/'2.1'!H215,"")</f>
        <v>0.83933951003239926</v>
      </c>
      <c r="I217" s="366" t="str">
        <f>IFERROR('2.3'!I204/'2.1'!I215,"")</f>
        <v/>
      </c>
      <c r="J217" s="366" t="str">
        <f>IFERROR('2.3'!J204/'2.1'!J215,"")</f>
        <v/>
      </c>
      <c r="K217" s="366" t="str">
        <f>IFERROR('2.3'!K204/'2.1'!K215,"")</f>
        <v/>
      </c>
      <c r="L217" s="366">
        <f>IFERROR('2.3'!L204/'2.1'!L215,"")</f>
        <v>0.43775838309600368</v>
      </c>
      <c r="M217" s="366">
        <f>IFERROR('2.3'!M204/'2.1'!M215,"")</f>
        <v>0.6464208242950108</v>
      </c>
      <c r="N217" s="366">
        <f>IFERROR('2.3'!N204/'2.1'!N215,"")</f>
        <v>0.49983865763149404</v>
      </c>
      <c r="O217" s="366" t="str">
        <f>IFERROR('2.3'!O204/'2.1'!O215,"")</f>
        <v/>
      </c>
      <c r="P217" s="366" t="str">
        <f>IFERROR('2.3'!P204/'2.1'!P215,"")</f>
        <v/>
      </c>
      <c r="Q217" s="366" t="str">
        <f>IFERROR('2.3'!Q204/'2.1'!Q215,"")</f>
        <v/>
      </c>
      <c r="R217" s="366">
        <f>IFERROR('2.3'!R204/'2.1'!R215,"")</f>
        <v>0.77371048252911812</v>
      </c>
      <c r="S217" s="366">
        <f>IFERROR('2.3'!S204/'2.1'!S215,"")</f>
        <v>0.88553590010405825</v>
      </c>
      <c r="T217" s="366">
        <f>IFERROR('2.3'!T204/'2.1'!T215,"")</f>
        <v>0.84250960307298339</v>
      </c>
      <c r="U217" s="367">
        <f>IFERROR('2.3'!U204/'2.1'!U215,"")</f>
        <v>0.8259377753048639</v>
      </c>
      <c r="V217" s="367">
        <f>IFERROR('2.3'!V204/'2.1'!V215,"")</f>
        <v>0.81209951831720362</v>
      </c>
      <c r="W217" s="367">
        <f>IFERROR('2.3'!W204/'2.1'!W215,"")</f>
        <v>0.81885238483120648</v>
      </c>
    </row>
    <row r="218" spans="2:23" hidden="1" outlineLevel="1" x14ac:dyDescent="0.25">
      <c r="B218" s="362">
        <v>44774</v>
      </c>
      <c r="C218" s="366">
        <f>IFERROR('2.3'!C205/'2.1'!C216,"")</f>
        <v>0.87173396674584325</v>
      </c>
      <c r="D218" s="366">
        <f>IFERROR('2.3'!D205/'2.1'!D216,"")</f>
        <v>0.82764505119453924</v>
      </c>
      <c r="E218" s="366">
        <f>IFERROR('2.3'!E205/'2.1'!E216,"")</f>
        <v>0.85776095186587342</v>
      </c>
      <c r="F218" s="366">
        <f>IFERROR('2.3'!F205/'2.1'!F216,"")</f>
        <v>0.81513115109473233</v>
      </c>
      <c r="G218" s="366">
        <f>IFERROR('2.3'!G205/'2.1'!G216,"")</f>
        <v>0.7975206611570248</v>
      </c>
      <c r="H218" s="366">
        <f>IFERROR('2.3'!H205/'2.1'!H216,"")</f>
        <v>0.80531618846559827</v>
      </c>
      <c r="I218" s="366" t="str">
        <f>IFERROR('2.3'!I205/'2.1'!I216,"")</f>
        <v/>
      </c>
      <c r="J218" s="366" t="str">
        <f>IFERROR('2.3'!J205/'2.1'!J216,"")</f>
        <v/>
      </c>
      <c r="K218" s="366" t="str">
        <f>IFERROR('2.3'!K205/'2.1'!K216,"")</f>
        <v/>
      </c>
      <c r="L218" s="366">
        <f>IFERROR('2.3'!L205/'2.1'!L216,"")</f>
        <v>0.40383877159309023</v>
      </c>
      <c r="M218" s="366">
        <f>IFERROR('2.3'!M205/'2.1'!M216,"")</f>
        <v>0.64915758176412286</v>
      </c>
      <c r="N218" s="366">
        <f>IFERROR('2.3'!N205/'2.1'!N216,"")</f>
        <v>0.47232982844493637</v>
      </c>
      <c r="O218" s="366" t="str">
        <f>IFERROR('2.3'!O205/'2.1'!O216,"")</f>
        <v/>
      </c>
      <c r="P218" s="366" t="str">
        <f>IFERROR('2.3'!P205/'2.1'!P216,"")</f>
        <v/>
      </c>
      <c r="Q218" s="366" t="str">
        <f>IFERROR('2.3'!Q205/'2.1'!Q216,"")</f>
        <v/>
      </c>
      <c r="R218" s="366">
        <f>IFERROR('2.3'!R205/'2.1'!R216,"")</f>
        <v>0.81898734177215193</v>
      </c>
      <c r="S218" s="366">
        <f>IFERROR('2.3'!S205/'2.1'!S216,"")</f>
        <v>0.86408566721581548</v>
      </c>
      <c r="T218" s="366">
        <f>IFERROR('2.3'!T205/'2.1'!T216,"")</f>
        <v>0.84630738522954096</v>
      </c>
      <c r="U218" s="367">
        <f>IFERROR('2.3'!U205/'2.1'!U216,"")</f>
        <v>0.78690204634863958</v>
      </c>
      <c r="V218" s="367">
        <f>IFERROR('2.3'!V205/'2.1'!V216,"")</f>
        <v>0.79703824838738979</v>
      </c>
      <c r="W218" s="367">
        <f>IFERROR('2.3'!W205/'2.1'!W216,"")</f>
        <v>0.79219219219219217</v>
      </c>
    </row>
    <row r="219" spans="2:23" hidden="1" outlineLevel="1" x14ac:dyDescent="0.25">
      <c r="B219" s="362">
        <v>44805</v>
      </c>
      <c r="C219" s="366">
        <f>IFERROR('2.3'!C206/'2.1'!C217,"")</f>
        <v>0.87521136286777135</v>
      </c>
      <c r="D219" s="366">
        <f>IFERROR('2.3'!D206/'2.1'!D217,"")</f>
        <v>0.6580056179775281</v>
      </c>
      <c r="E219" s="366">
        <f>IFERROR('2.3'!E206/'2.1'!E217,"")</f>
        <v>0.8046108194476147</v>
      </c>
      <c r="F219" s="366">
        <f>IFERROR('2.3'!F206/'2.1'!F217,"")</f>
        <v>0.8417966054919277</v>
      </c>
      <c r="G219" s="366">
        <f>IFERROR('2.3'!G206/'2.1'!G217,"")</f>
        <v>0.8264023837284622</v>
      </c>
      <c r="H219" s="366">
        <f>IFERROR('2.3'!H206/'2.1'!H217,"")</f>
        <v>0.83385674194841641</v>
      </c>
      <c r="I219" s="366" t="str">
        <f>IFERROR('2.3'!I206/'2.1'!I217,"")</f>
        <v/>
      </c>
      <c r="J219" s="366" t="str">
        <f>IFERROR('2.3'!J206/'2.1'!J217,"")</f>
        <v/>
      </c>
      <c r="K219" s="366" t="str">
        <f>IFERROR('2.3'!K206/'2.1'!K217,"")</f>
        <v/>
      </c>
      <c r="L219" s="366">
        <f>IFERROR('2.3'!L206/'2.1'!L217,"")</f>
        <v>0.42691903259726605</v>
      </c>
      <c r="M219" s="366">
        <f>IFERROR('2.3'!M206/'2.1'!M217,"")</f>
        <v>0.63231552162849869</v>
      </c>
      <c r="N219" s="366">
        <f>IFERROR('2.3'!N206/'2.1'!N217,"")</f>
        <v>0.48697916666666669</v>
      </c>
      <c r="O219" s="366" t="str">
        <f>IFERROR('2.3'!O206/'2.1'!O217,"")</f>
        <v/>
      </c>
      <c r="P219" s="366" t="str">
        <f>IFERROR('2.3'!P206/'2.1'!P217,"")</f>
        <v/>
      </c>
      <c r="Q219" s="366" t="str">
        <f>IFERROR('2.3'!Q206/'2.1'!Q217,"")</f>
        <v/>
      </c>
      <c r="R219" s="366">
        <f>IFERROR('2.3'!R206/'2.1'!R217,"")</f>
        <v>0.77165354330708658</v>
      </c>
      <c r="S219" s="366">
        <f>IFERROR('2.3'!S206/'2.1'!S217,"")</f>
        <v>0.86700125470514433</v>
      </c>
      <c r="T219" s="366">
        <f>IFERROR('2.3'!T206/'2.1'!T217,"")</f>
        <v>0.8298850574712644</v>
      </c>
      <c r="U219" s="367">
        <f>IFERROR('2.3'!U206/'2.1'!U217,"")</f>
        <v>0.80524646291727509</v>
      </c>
      <c r="V219" s="367">
        <f>IFERROR('2.3'!V206/'2.1'!V217,"")</f>
        <v>0.80688533477907287</v>
      </c>
      <c r="W219" s="367">
        <f>IFERROR('2.3'!W206/'2.1'!W217,"")</f>
        <v>0.80603560799874696</v>
      </c>
    </row>
    <row r="220" spans="2:23" hidden="1" outlineLevel="1" x14ac:dyDescent="0.25">
      <c r="B220" s="362">
        <v>44835</v>
      </c>
      <c r="C220" s="366">
        <f>IFERROR('2.3'!C207/'2.1'!C218,"")</f>
        <v>0.82681883024251068</v>
      </c>
      <c r="D220" s="366">
        <f>IFERROR('2.3'!D207/'2.1'!D218,"")</f>
        <v>0.55727155727155731</v>
      </c>
      <c r="E220" s="366">
        <f>IFERROR('2.3'!E207/'2.1'!E218,"")</f>
        <v>0.74402055742241546</v>
      </c>
      <c r="F220" s="366">
        <f>IFERROR('2.3'!F207/'2.1'!F218,"")</f>
        <v>0.84848927875243663</v>
      </c>
      <c r="G220" s="366">
        <f>IFERROR('2.3'!G207/'2.1'!G218,"")</f>
        <v>0.84597712630474953</v>
      </c>
      <c r="H220" s="366">
        <f>IFERROR('2.3'!H207/'2.1'!H218,"")</f>
        <v>0.84724860025158477</v>
      </c>
      <c r="I220" s="366" t="str">
        <f>IFERROR('2.3'!I207/'2.1'!I218,"")</f>
        <v/>
      </c>
      <c r="J220" s="366" t="str">
        <f>IFERROR('2.3'!J207/'2.1'!J218,"")</f>
        <v/>
      </c>
      <c r="K220" s="366" t="str">
        <f>IFERROR('2.3'!K207/'2.1'!K218,"")</f>
        <v/>
      </c>
      <c r="L220" s="366">
        <f>IFERROR('2.3'!L207/'2.1'!L218,"")</f>
        <v>0.37525354969574037</v>
      </c>
      <c r="M220" s="366">
        <f>IFERROR('2.3'!M207/'2.1'!M218,"")</f>
        <v>0.63849154746423931</v>
      </c>
      <c r="N220" s="366">
        <f>IFERROR('2.3'!N207/'2.1'!N218,"")</f>
        <v>0.44910616563298067</v>
      </c>
      <c r="O220" s="366" t="str">
        <f>IFERROR('2.3'!O207/'2.1'!O218,"")</f>
        <v/>
      </c>
      <c r="P220" s="366" t="str">
        <f>IFERROR('2.3'!P207/'2.1'!P218,"")</f>
        <v/>
      </c>
      <c r="Q220" s="366" t="str">
        <f>IFERROR('2.3'!Q207/'2.1'!Q218,"")</f>
        <v/>
      </c>
      <c r="R220" s="366">
        <f>IFERROR('2.3'!R207/'2.1'!R218,"")</f>
        <v>0.79</v>
      </c>
      <c r="S220" s="366">
        <f>IFERROR('2.3'!S207/'2.1'!S218,"")</f>
        <v>0.83711615487316426</v>
      </c>
      <c r="T220" s="366">
        <f>IFERROR('2.3'!T207/'2.1'!T218,"")</f>
        <v>0.81825460368294634</v>
      </c>
      <c r="U220" s="367">
        <f>IFERROR('2.3'!U207/'2.1'!U218,"")</f>
        <v>0.8092991659433143</v>
      </c>
      <c r="V220" s="367">
        <f>IFERROR('2.3'!V207/'2.1'!V218,"")</f>
        <v>0.8193548387096774</v>
      </c>
      <c r="W220" s="367">
        <f>IFERROR('2.3'!W207/'2.1'!W218,"")</f>
        <v>0.81398209388611065</v>
      </c>
    </row>
    <row r="221" spans="2:23" hidden="1" outlineLevel="1" x14ac:dyDescent="0.25">
      <c r="B221" s="362">
        <v>44866</v>
      </c>
      <c r="C221" s="366">
        <f>IFERROR('2.3'!C208/'2.1'!C219,"")</f>
        <v>0.8775780010576415</v>
      </c>
      <c r="D221" s="366">
        <f>IFERROR('2.3'!D208/'2.1'!D219,"")</f>
        <v>0.6123188405797102</v>
      </c>
      <c r="E221" s="366">
        <f>IFERROR('2.3'!E208/'2.1'!E219,"")</f>
        <v>0.80666408368849285</v>
      </c>
      <c r="F221" s="366">
        <f>IFERROR('2.3'!F208/'2.1'!F219,"")</f>
        <v>0.87629629629629635</v>
      </c>
      <c r="G221" s="366">
        <f>IFERROR('2.3'!G208/'2.1'!G219,"")</f>
        <v>0.86417030007694284</v>
      </c>
      <c r="H221" s="366">
        <f>IFERROR('2.3'!H208/'2.1'!H219,"")</f>
        <v>0.87013934106003388</v>
      </c>
      <c r="I221" s="366" t="str">
        <f>IFERROR('2.3'!I208/'2.1'!I219,"")</f>
        <v/>
      </c>
      <c r="J221" s="366" t="str">
        <f>IFERROR('2.3'!J208/'2.1'!J219,"")</f>
        <v/>
      </c>
      <c r="K221" s="366" t="str">
        <f>IFERROR('2.3'!K208/'2.1'!K219,"")</f>
        <v/>
      </c>
      <c r="L221" s="366">
        <f>IFERROR('2.3'!L208/'2.1'!L219,"")</f>
        <v>0.39069557362240287</v>
      </c>
      <c r="M221" s="366">
        <f>IFERROR('2.3'!M208/'2.1'!M219,"")</f>
        <v>0.60430839002267578</v>
      </c>
      <c r="N221" s="366">
        <f>IFERROR('2.3'!N208/'2.1'!N219,"")</f>
        <v>0.45155038759689925</v>
      </c>
      <c r="O221" s="366" t="str">
        <f>IFERROR('2.3'!O208/'2.1'!O219,"")</f>
        <v/>
      </c>
      <c r="P221" s="366" t="str">
        <f>IFERROR('2.3'!P208/'2.1'!P219,"")</f>
        <v/>
      </c>
      <c r="Q221" s="366" t="str">
        <f>IFERROR('2.3'!Q208/'2.1'!Q219,"")</f>
        <v/>
      </c>
      <c r="R221" s="366">
        <f>IFERROR('2.3'!R208/'2.1'!R219,"")</f>
        <v>0.77864077669902909</v>
      </c>
      <c r="S221" s="366">
        <f>IFERROR('2.3'!S208/'2.1'!S219,"")</f>
        <v>0.86255924170616116</v>
      </c>
      <c r="T221" s="366">
        <f>IFERROR('2.3'!T208/'2.1'!T219,"")</f>
        <v>0.83075791022810885</v>
      </c>
      <c r="U221" s="367">
        <f>IFERROR('2.3'!U208/'2.1'!U219,"")</f>
        <v>0.83219865412616578</v>
      </c>
      <c r="V221" s="367">
        <f>IFERROR('2.3'!V208/'2.1'!V219,"")</f>
        <v>0.8385912127781957</v>
      </c>
      <c r="W221" s="367">
        <f>IFERROR('2.3'!W208/'2.1'!W219,"")</f>
        <v>0.83520786470049158</v>
      </c>
    </row>
    <row r="222" spans="2:23" hidden="1" outlineLevel="1" x14ac:dyDescent="0.25">
      <c r="B222" s="362">
        <v>44896</v>
      </c>
      <c r="C222" s="366">
        <f>IFERROR('2.3'!C209/'2.1'!C220,"")</f>
        <v>0.93620899149453218</v>
      </c>
      <c r="D222" s="366">
        <f>IFERROR('2.3'!D209/'2.1'!D220,"")</f>
        <v>0.75327771156138257</v>
      </c>
      <c r="E222" s="366">
        <f>IFERROR('2.3'!E209/'2.1'!E220,"")</f>
        <v>0.89905591866376178</v>
      </c>
      <c r="F222" s="366">
        <f>IFERROR('2.3'!F209/'2.1'!F220,"")</f>
        <v>0.92442563482466744</v>
      </c>
      <c r="G222" s="366">
        <f>IFERROR('2.3'!G209/'2.1'!G220,"")</f>
        <v>0.9047355132705216</v>
      </c>
      <c r="H222" s="366">
        <f>IFERROR('2.3'!H209/'2.1'!H220,"")</f>
        <v>0.9141526104417671</v>
      </c>
      <c r="I222" s="366" t="str">
        <f>IFERROR('2.3'!I209/'2.1'!I220,"")</f>
        <v/>
      </c>
      <c r="J222" s="366" t="str">
        <f>IFERROR('2.3'!J209/'2.1'!J220,"")</f>
        <v/>
      </c>
      <c r="K222" s="366" t="str">
        <f>IFERROR('2.3'!K209/'2.1'!K220,"")</f>
        <v/>
      </c>
      <c r="L222" s="366">
        <f>IFERROR('2.3'!L209/'2.1'!L220,"")</f>
        <v>0.36854599406528188</v>
      </c>
      <c r="M222" s="366">
        <f>IFERROR('2.3'!M209/'2.1'!M220,"")</f>
        <v>0.54509283819628651</v>
      </c>
      <c r="N222" s="366">
        <f>IFERROR('2.3'!N209/'2.1'!N220,"")</f>
        <v>0.42312423124231241</v>
      </c>
      <c r="O222" s="366" t="str">
        <f>IFERROR('2.3'!O209/'2.1'!O220,"")</f>
        <v/>
      </c>
      <c r="P222" s="366" t="str">
        <f>IFERROR('2.3'!P209/'2.1'!P220,"")</f>
        <v/>
      </c>
      <c r="Q222" s="366" t="str">
        <f>IFERROR('2.3'!Q209/'2.1'!Q220,"")</f>
        <v/>
      </c>
      <c r="R222" s="366">
        <f>IFERROR('2.3'!R209/'2.1'!R220,"")</f>
        <v>0.80443548387096775</v>
      </c>
      <c r="S222" s="366">
        <f>IFERROR('2.3'!S209/'2.1'!S220,"")</f>
        <v>0.8605577689243028</v>
      </c>
      <c r="T222" s="366">
        <f>IFERROR('2.3'!T209/'2.1'!T220,"")</f>
        <v>0.83827061649319456</v>
      </c>
      <c r="U222" s="367">
        <f>IFERROR('2.3'!U209/'2.1'!U220,"")</f>
        <v>0.877400658185569</v>
      </c>
      <c r="V222" s="367">
        <f>IFERROR('2.3'!V209/'2.1'!V220,"")</f>
        <v>0.88151735270379339</v>
      </c>
      <c r="W222" s="367">
        <f>IFERROR('2.3'!W209/'2.1'!W220,"")</f>
        <v>0.87936524239934266</v>
      </c>
    </row>
    <row r="223" spans="2:23" collapsed="1" x14ac:dyDescent="0.25">
      <c r="B223" s="364" t="s">
        <v>713</v>
      </c>
      <c r="C223" s="367">
        <f>IFERROR('2.3'!C210/'2.1'!C221,"")</f>
        <v>0.86349878934624702</v>
      </c>
      <c r="D223" s="367">
        <f>IFERROR('2.3'!D210/'2.1'!D221,"")</f>
        <v>0.74944403261675319</v>
      </c>
      <c r="E223" s="367">
        <f>IFERROR('2.3'!E210/'2.1'!E221,"")</f>
        <v>0.83043197936814961</v>
      </c>
      <c r="F223" s="367">
        <f>IFERROR('2.3'!F210/'2.1'!F221,"")</f>
        <v>0.86843513152028529</v>
      </c>
      <c r="G223" s="367">
        <f>IFERROR('2.3'!G210/'2.1'!G221,"")</f>
        <v>0.8548640483383686</v>
      </c>
      <c r="H223" s="367">
        <f>IFERROR('2.3'!H210/'2.1'!H221,"")</f>
        <v>0.86130568193841917</v>
      </c>
      <c r="I223" s="367">
        <f>IFERROR('2.3'!I210/'2.1'!I221,"")</f>
        <v>0.92942515651679003</v>
      </c>
      <c r="J223" s="367">
        <f>IFERROR('2.3'!J210/'2.1'!J221,"")</f>
        <v>0.94690265486725667</v>
      </c>
      <c r="K223" s="367">
        <f>IFERROR('2.3'!K210/'2.1'!K221,"")</f>
        <v>0.93399201177212532</v>
      </c>
      <c r="L223" s="367">
        <f>IFERROR('2.3'!L210/'2.1'!L221,"")</f>
        <v>0.43886255924170614</v>
      </c>
      <c r="M223" s="367">
        <f>IFERROR('2.3'!M210/'2.1'!M221,"")</f>
        <v>0.66148723640399554</v>
      </c>
      <c r="N223" s="367">
        <f>IFERROR('2.3'!N210/'2.1'!N221,"")</f>
        <v>0.50547990700763867</v>
      </c>
      <c r="O223" s="367">
        <f>IFERROR('2.3'!O210/'2.1'!O221,"")</f>
        <v>0.93052256532066513</v>
      </c>
      <c r="P223" s="367">
        <f>IFERROR('2.3'!P210/'2.1'!P221,"")</f>
        <v>0.94760333786143991</v>
      </c>
      <c r="Q223" s="367">
        <f>IFERROR('2.3'!Q210/'2.1'!Q221,"")</f>
        <v>0.93849008780664434</v>
      </c>
      <c r="R223" s="367">
        <f>IFERROR('2.3'!R210/'2.1'!R221,"")</f>
        <v>0.7951070336391437</v>
      </c>
      <c r="S223" s="367">
        <f>IFERROR('2.3'!S210/'2.1'!S221,"")</f>
        <v>0.85945399393326594</v>
      </c>
      <c r="T223" s="367">
        <f>IFERROR('2.3'!T210/'2.1'!T221,"")</f>
        <v>0.83434835566382459</v>
      </c>
      <c r="U223" s="367">
        <f>IFERROR('2.3'!U210/'2.1'!U221,"")</f>
        <v>0.83625307658896775</v>
      </c>
      <c r="V223" s="367">
        <f>IFERROR('2.3'!V210/'2.1'!V221,"")</f>
        <v>0.84697906578261195</v>
      </c>
      <c r="W223" s="367">
        <f>IFERROR('2.3'!W210/'2.1'!W221,"")</f>
        <v>0.84153908286522006</v>
      </c>
    </row>
    <row r="224" spans="2:23" outlineLevel="1" x14ac:dyDescent="0.25">
      <c r="B224" s="362">
        <v>44927</v>
      </c>
      <c r="C224" s="366">
        <f>IFERROR('2.3'!C211/'2.1'!C222,"")</f>
        <v>0.8571428571428571</v>
      </c>
      <c r="D224" s="366">
        <f>IFERROR('2.3'!D211/'2.1'!D222,"")</f>
        <v>0.61859582542694502</v>
      </c>
      <c r="E224" s="366">
        <f>IFERROR('2.3'!E211/'2.1'!E222,"")</f>
        <v>0.79306829765545361</v>
      </c>
      <c r="F224" s="366">
        <f>IFERROR('2.3'!F211/'2.1'!F222,"")</f>
        <v>0.87923416789396169</v>
      </c>
      <c r="G224" s="366">
        <f>IFERROR('2.3'!G211/'2.1'!G222,"")</f>
        <v>0.86112974641084128</v>
      </c>
      <c r="H224" s="366">
        <f>IFERROR('2.3'!H211/'2.1'!H222,"")</f>
        <v>0.87019166331590936</v>
      </c>
      <c r="I224" s="366" t="str">
        <f>IFERROR('2.3'!I211/'2.1'!I222,"")</f>
        <v/>
      </c>
      <c r="J224" s="366" t="str">
        <f>IFERROR('2.3'!J211/'2.1'!J222,"")</f>
        <v/>
      </c>
      <c r="K224" s="366" t="str">
        <f>IFERROR('2.3'!K211/'2.1'!K222,"")</f>
        <v/>
      </c>
      <c r="L224" s="366">
        <f>IFERROR('2.3'!L211/'2.1'!L222,"")</f>
        <v>0.32761998041136142</v>
      </c>
      <c r="M224" s="366">
        <f>IFERROR('2.3'!M211/'2.1'!M222,"")</f>
        <v>0.51490825688073394</v>
      </c>
      <c r="N224" s="366">
        <f>IFERROR('2.3'!N211/'2.1'!N222,"")</f>
        <v>0.38366506520247085</v>
      </c>
      <c r="O224" s="366" t="str">
        <f>IFERROR('2.3'!O211/'2.1'!O222,"")</f>
        <v/>
      </c>
      <c r="P224" s="366" t="str">
        <f>IFERROR('2.3'!P211/'2.1'!P222,"")</f>
        <v/>
      </c>
      <c r="Q224" s="366" t="str">
        <f>IFERROR('2.3'!Q211/'2.1'!Q222,"")</f>
        <v/>
      </c>
      <c r="R224" s="366">
        <f>IFERROR('2.3'!R211/'2.1'!R222,"")</f>
        <v>0.75095785440613028</v>
      </c>
      <c r="S224" s="366">
        <f>IFERROR('2.3'!S211/'2.1'!S222,"")</f>
        <v>0.86021505376344087</v>
      </c>
      <c r="T224" s="366">
        <f>IFERROR('2.3'!T211/'2.1'!T222,"")</f>
        <v>0.81824871228844742</v>
      </c>
      <c r="U224" s="367">
        <f>IFERROR('2.3'!U211/'2.1'!U222,"")</f>
        <v>0.81454295822992029</v>
      </c>
      <c r="V224" s="367">
        <f>IFERROR('2.3'!V211/'2.1'!V222,"")</f>
        <v>0.83601680084004204</v>
      </c>
      <c r="W224" s="367">
        <f>IFERROR('2.3'!W211/'2.1'!W222,"")</f>
        <v>0.82474569694281996</v>
      </c>
    </row>
    <row r="225" spans="2:23" outlineLevel="1" x14ac:dyDescent="0.25">
      <c r="B225" s="362">
        <v>44958</v>
      </c>
      <c r="C225" s="366">
        <f>IFERROR('2.3'!C212/'2.1'!C223,"")</f>
        <v>0.77656405163853026</v>
      </c>
      <c r="D225" s="366">
        <f>IFERROR('2.3'!D212/'2.1'!D223,"")</f>
        <v>0.48760330578512395</v>
      </c>
      <c r="E225" s="366">
        <f>IFERROR('2.3'!E212/'2.1'!E223,"")</f>
        <v>0.7</v>
      </c>
      <c r="F225" s="366">
        <f>IFERROR('2.3'!F212/'2.1'!F223,"")</f>
        <v>0.87721540558963873</v>
      </c>
      <c r="G225" s="366">
        <f>IFERROR('2.3'!G212/'2.1'!G223,"")</f>
        <v>0.85427535591122117</v>
      </c>
      <c r="H225" s="366">
        <f>IFERROR('2.3'!H212/'2.1'!H223,"")</f>
        <v>0.86595790844000864</v>
      </c>
      <c r="I225" s="366" t="str">
        <f>IFERROR('2.3'!I212/'2.1'!I223,"")</f>
        <v/>
      </c>
      <c r="J225" s="366" t="str">
        <f>IFERROR('2.3'!J212/'2.1'!J223,"")</f>
        <v/>
      </c>
      <c r="K225" s="366" t="str">
        <f>IFERROR('2.3'!K212/'2.1'!K223,"")</f>
        <v/>
      </c>
      <c r="L225" s="366">
        <f>IFERROR('2.3'!L212/'2.1'!L223,"")</f>
        <v>0.28579643473260496</v>
      </c>
      <c r="M225" s="366">
        <f>IFERROR('2.3'!M212/'2.1'!M223,"")</f>
        <v>0.43031123139377536</v>
      </c>
      <c r="N225" s="366">
        <f>IFERROR('2.3'!N212/'2.1'!N223,"")</f>
        <v>0.32889426957223566</v>
      </c>
      <c r="O225" s="366" t="str">
        <f>IFERROR('2.3'!O212/'2.1'!O223,"")</f>
        <v/>
      </c>
      <c r="P225" s="366" t="str">
        <f>IFERROR('2.3'!P212/'2.1'!P223,"")</f>
        <v/>
      </c>
      <c r="Q225" s="366" t="str">
        <f>IFERROR('2.3'!Q212/'2.1'!Q223,"")</f>
        <v/>
      </c>
      <c r="R225" s="366">
        <f>IFERROR('2.3'!R212/'2.1'!R223,"")</f>
        <v>0.76305970149253732</v>
      </c>
      <c r="S225" s="366">
        <f>IFERROR('2.3'!S212/'2.1'!S223,"")</f>
        <v>0.84260515603799191</v>
      </c>
      <c r="T225" s="366">
        <f>IFERROR('2.3'!T212/'2.1'!T223,"")</f>
        <v>0.80911233307148467</v>
      </c>
      <c r="U225" s="367">
        <f>IFERROR('2.3'!U212/'2.1'!U223,"")</f>
        <v>0.7979091756558796</v>
      </c>
      <c r="V225" s="367">
        <f>IFERROR('2.3'!V212/'2.1'!V223,"")</f>
        <v>0.81966839062975361</v>
      </c>
      <c r="W225" s="367">
        <f>IFERROR('2.3'!W212/'2.1'!W223,"")</f>
        <v>0.80806646311155295</v>
      </c>
    </row>
    <row r="226" spans="2:23" outlineLevel="1" x14ac:dyDescent="0.25">
      <c r="B226" s="362">
        <v>44986</v>
      </c>
      <c r="C226" s="366">
        <f>IFERROR('2.3'!C213/'2.1'!C224,"")</f>
        <v>0.84737678855325915</v>
      </c>
      <c r="D226" s="366">
        <f>IFERROR('2.3'!D213/'2.1'!D224,"")</f>
        <v>0.66531440162271804</v>
      </c>
      <c r="E226" s="366">
        <f>IFERROR('2.3'!E213/'2.1'!E224,"")</f>
        <v>0.79611650485436891</v>
      </c>
      <c r="F226" s="366">
        <f>IFERROR('2.3'!F213/'2.1'!F224,"")</f>
        <v>0.89605641159571692</v>
      </c>
      <c r="G226" s="366">
        <f>IFERROR('2.3'!G213/'2.1'!G224,"")</f>
        <v>0.87147109227022634</v>
      </c>
      <c r="H226" s="366">
        <f>IFERROR('2.3'!H213/'2.1'!H224,"")</f>
        <v>0.88398157171967751</v>
      </c>
      <c r="I226" s="366" t="str">
        <f>IFERROR('2.3'!I213/'2.1'!I224,"")</f>
        <v/>
      </c>
      <c r="J226" s="366" t="str">
        <f>IFERROR('2.3'!J213/'2.1'!J224,"")</f>
        <v/>
      </c>
      <c r="K226" s="366" t="str">
        <f>IFERROR('2.3'!K213/'2.1'!K224,"")</f>
        <v/>
      </c>
      <c r="L226" s="366">
        <f>IFERROR('2.3'!L213/'2.1'!L224,"")</f>
        <v>0.22245236122618062</v>
      </c>
      <c r="M226" s="366">
        <f>IFERROR('2.3'!M213/'2.1'!M224,"")</f>
        <v>0.37649619151251362</v>
      </c>
      <c r="N226" s="366">
        <f>IFERROR('2.3'!N213/'2.1'!N224,"")</f>
        <v>0.26492649264926493</v>
      </c>
      <c r="O226" s="366" t="str">
        <f>IFERROR('2.3'!O213/'2.1'!O224,"")</f>
        <v/>
      </c>
      <c r="P226" s="366" t="str">
        <f>IFERROR('2.3'!P213/'2.1'!P224,"")</f>
        <v/>
      </c>
      <c r="Q226" s="366" t="str">
        <f>IFERROR('2.3'!Q213/'2.1'!Q224,"")</f>
        <v/>
      </c>
      <c r="R226" s="366">
        <f>IFERROR('2.3'!R213/'2.1'!R224,"")</f>
        <v>0.75119617224880386</v>
      </c>
      <c r="S226" s="366">
        <f>IFERROR('2.3'!S213/'2.1'!S224,"")</f>
        <v>0.89317889317889321</v>
      </c>
      <c r="T226" s="366">
        <f>IFERROR('2.3'!T213/'2.1'!T224,"")</f>
        <v>0.82977207977207978</v>
      </c>
      <c r="U226" s="367">
        <f>IFERROR('2.3'!U213/'2.1'!U224,"")</f>
        <v>0.78341568478398582</v>
      </c>
      <c r="V226" s="367">
        <f>IFERROR('2.3'!V213/'2.1'!V224,"")</f>
        <v>0.83082253690870744</v>
      </c>
      <c r="W226" s="367">
        <f>IFERROR('2.3'!W213/'2.1'!W224,"")</f>
        <v>0.80507191521574561</v>
      </c>
    </row>
    <row r="227" spans="2:23" outlineLevel="1" x14ac:dyDescent="0.25">
      <c r="B227" s="362">
        <v>45017</v>
      </c>
      <c r="C227" s="366">
        <f>IFERROR('2.3'!C214/'2.1'!C225,"")</f>
        <v>0.78916372202591278</v>
      </c>
      <c r="D227" s="366">
        <f>IFERROR('2.3'!D214/'2.1'!D225,"")</f>
        <v>0.53581661891117482</v>
      </c>
      <c r="E227" s="366">
        <f>IFERROR('2.3'!E214/'2.1'!E225,"")</f>
        <v>0.71535893155258767</v>
      </c>
      <c r="F227" s="366">
        <f>IFERROR('2.3'!F214/'2.1'!F225,"")</f>
        <v>0.83047370384185004</v>
      </c>
      <c r="G227" s="366">
        <f>IFERROR('2.3'!G214/'2.1'!G225,"")</f>
        <v>0.78870796801233256</v>
      </c>
      <c r="H227" s="366">
        <f>IFERROR('2.3'!H214/'2.1'!H225,"")</f>
        <v>0.80993223712268403</v>
      </c>
      <c r="I227" s="366" t="str">
        <f>IFERROR('2.3'!I214/'2.1'!I225,"")</f>
        <v/>
      </c>
      <c r="J227" s="366" t="str">
        <f>IFERROR('2.3'!J214/'2.1'!J225,"")</f>
        <v/>
      </c>
      <c r="K227" s="366" t="str">
        <f>IFERROR('2.3'!K214/'2.1'!K225,"")</f>
        <v/>
      </c>
      <c r="L227" s="366">
        <f>IFERROR('2.3'!L214/'2.1'!L225,"")</f>
        <v>0.17199148029818956</v>
      </c>
      <c r="M227" s="366">
        <f>IFERROR('2.3'!M214/'2.1'!M225,"")</f>
        <v>0.28249336870026526</v>
      </c>
      <c r="N227" s="366">
        <f>IFERROR('2.3'!N214/'2.1'!N225,"")</f>
        <v>0.20364741641337386</v>
      </c>
      <c r="O227" s="366" t="str">
        <f>IFERROR('2.3'!O214/'2.1'!O225,"")</f>
        <v/>
      </c>
      <c r="P227" s="366" t="str">
        <f>IFERROR('2.3'!P214/'2.1'!P225,"")</f>
        <v/>
      </c>
      <c r="Q227" s="366" t="str">
        <f>IFERROR('2.3'!Q214/'2.1'!Q225,"")</f>
        <v/>
      </c>
      <c r="R227" s="366">
        <f>IFERROR('2.3'!R214/'2.1'!R225,"")</f>
        <v>0.71182795698924728</v>
      </c>
      <c r="S227" s="366">
        <f>IFERROR('2.3'!S214/'2.1'!S225,"")</f>
        <v>0.86943620178041547</v>
      </c>
      <c r="T227" s="366">
        <f>IFERROR('2.3'!T214/'2.1'!T225,"")</f>
        <v>0.80509218612818256</v>
      </c>
      <c r="U227" s="367">
        <f>IFERROR('2.3'!U214/'2.1'!U225,"")</f>
        <v>0.73512503592986489</v>
      </c>
      <c r="V227" s="367">
        <f>IFERROR('2.3'!V214/'2.1'!V225,"")</f>
        <v>0.75452451464297465</v>
      </c>
      <c r="W227" s="367">
        <f>IFERROR('2.3'!W214/'2.1'!W225,"")</f>
        <v>0.74416999079472235</v>
      </c>
    </row>
    <row r="228" spans="2:23" outlineLevel="1" x14ac:dyDescent="0.25">
      <c r="B228" s="362">
        <v>45047</v>
      </c>
      <c r="C228" s="366">
        <f>IFERROR('2.3'!C215/'2.1'!C226,"")</f>
        <v>0.81891348088531191</v>
      </c>
      <c r="D228" s="366">
        <f>IFERROR('2.3'!D215/'2.1'!D226,"")</f>
        <v>0.6071428571428571</v>
      </c>
      <c r="E228" s="366">
        <f>IFERROR('2.3'!E215/'2.1'!E226,"")</f>
        <v>0.75312066574202496</v>
      </c>
      <c r="F228" s="366">
        <f>IFERROR('2.3'!F215/'2.1'!F226,"")</f>
        <v>0.85483098726419615</v>
      </c>
      <c r="G228" s="366">
        <f>IFERROR('2.3'!G215/'2.1'!G226,"")</f>
        <v>0.82143202241762492</v>
      </c>
      <c r="H228" s="366">
        <f>IFERROR('2.3'!H215/'2.1'!H226,"")</f>
        <v>0.83820700269334358</v>
      </c>
      <c r="I228" s="366" t="str">
        <f>IFERROR('2.3'!I215/'2.1'!I226,"")</f>
        <v/>
      </c>
      <c r="J228" s="366" t="str">
        <f>IFERROR('2.3'!J215/'2.1'!J226,"")</f>
        <v/>
      </c>
      <c r="K228" s="366" t="str">
        <f>IFERROR('2.3'!K215/'2.1'!K226,"")</f>
        <v/>
      </c>
      <c r="L228" s="366">
        <f>IFERROR('2.3'!L215/'2.1'!L226,"")</f>
        <v>0.15722952477249746</v>
      </c>
      <c r="M228" s="366">
        <f>IFERROR('2.3'!M215/'2.1'!M226,"")</f>
        <v>0.24539170506912442</v>
      </c>
      <c r="N228" s="366">
        <f>IFERROR('2.3'!N215/'2.1'!N226,"")</f>
        <v>0.18411806043569923</v>
      </c>
      <c r="O228" s="366" t="str">
        <f>IFERROR('2.3'!O215/'2.1'!O226,"")</f>
        <v/>
      </c>
      <c r="P228" s="366" t="str">
        <f>IFERROR('2.3'!P215/'2.1'!P226,"")</f>
        <v/>
      </c>
      <c r="Q228" s="366" t="str">
        <f>IFERROR('2.3'!Q215/'2.1'!Q226,"")</f>
        <v/>
      </c>
      <c r="R228" s="366">
        <f>IFERROR('2.3'!R215/'2.1'!R226,"")</f>
        <v>0.74579439252336444</v>
      </c>
      <c r="S228" s="366">
        <f>IFERROR('2.3'!S215/'2.1'!S226,"")</f>
        <v>0.8648310387984981</v>
      </c>
      <c r="T228" s="366">
        <f>IFERROR('2.3'!T215/'2.1'!T226,"")</f>
        <v>0.81709145427286356</v>
      </c>
      <c r="U228" s="367">
        <f>IFERROR('2.3'!U215/'2.1'!U226,"")</f>
        <v>0.74917562724014342</v>
      </c>
      <c r="V228" s="367">
        <f>IFERROR('2.3'!V215/'2.1'!V226,"")</f>
        <v>0.7763960205391528</v>
      </c>
      <c r="W228" s="367">
        <f>IFERROR('2.3'!W215/'2.1'!W226,"")</f>
        <v>0.76202014083440595</v>
      </c>
    </row>
    <row r="229" spans="2:23" outlineLevel="1" x14ac:dyDescent="0.25">
      <c r="B229" s="362">
        <v>45078</v>
      </c>
      <c r="C229" s="366">
        <f>IFERROR('2.3'!C216/'2.1'!C227,"")</f>
        <v>0.90113636363636362</v>
      </c>
      <c r="D229" s="366">
        <f>IFERROR('2.3'!D216/'2.1'!D227,"")</f>
        <v>0.82825484764542934</v>
      </c>
      <c r="E229" s="366">
        <f>IFERROR('2.3'!E216/'2.1'!E227,"")</f>
        <v>0.87993553585817885</v>
      </c>
      <c r="F229" s="366">
        <f>IFERROR('2.3'!F216/'2.1'!F227,"")</f>
        <v>0.87927461139896368</v>
      </c>
      <c r="G229" s="366">
        <f>IFERROR('2.3'!G216/'2.1'!G227,"")</f>
        <v>0.82932364956876981</v>
      </c>
      <c r="H229" s="366">
        <f>IFERROR('2.3'!H216/'2.1'!H227,"")</f>
        <v>0.85543278084714547</v>
      </c>
      <c r="I229" s="366" t="str">
        <f>IFERROR('2.3'!I216/'2.1'!I227,"")</f>
        <v/>
      </c>
      <c r="J229" s="366" t="str">
        <f>IFERROR('2.3'!J216/'2.1'!J227,"")</f>
        <v/>
      </c>
      <c r="K229" s="366" t="str">
        <f>IFERROR('2.3'!K216/'2.1'!K227,"")</f>
        <v/>
      </c>
      <c r="L229" s="366">
        <f>IFERROR('2.3'!L216/'2.1'!L227,"")</f>
        <v>0.10699588477366255</v>
      </c>
      <c r="M229" s="366">
        <f>IFERROR('2.3'!M216/'2.1'!M227,"")</f>
        <v>0.2176696542893726</v>
      </c>
      <c r="N229" s="366">
        <f>IFERROR('2.3'!N216/'2.1'!N227,"")</f>
        <v>0.14182111200644643</v>
      </c>
      <c r="O229" s="366" t="str">
        <f>IFERROR('2.3'!O216/'2.1'!O227,"")</f>
        <v/>
      </c>
      <c r="P229" s="366" t="str">
        <f>IFERROR('2.3'!P216/'2.1'!P227,"")</f>
        <v/>
      </c>
      <c r="Q229" s="366" t="str">
        <f>IFERROR('2.3'!Q216/'2.1'!Q227,"")</f>
        <v/>
      </c>
      <c r="R229" s="366">
        <f>IFERROR('2.3'!R216/'2.1'!R227,"")</f>
        <v>0.7165991902834008</v>
      </c>
      <c r="S229" s="366">
        <f>IFERROR('2.3'!S216/'2.1'!S227,"")</f>
        <v>0.88921282798833823</v>
      </c>
      <c r="T229" s="366">
        <f>IFERROR('2.3'!T216/'2.1'!T227,"")</f>
        <v>0.81694915254237288</v>
      </c>
      <c r="U229" s="367">
        <f>IFERROR('2.3'!U216/'2.1'!U227,"")</f>
        <v>0.77123772102161103</v>
      </c>
      <c r="V229" s="367">
        <f>IFERROR('2.3'!V216/'2.1'!V227,"")</f>
        <v>0.78825187969924815</v>
      </c>
      <c r="W229" s="367">
        <f>IFERROR('2.3'!W216/'2.1'!W227,"")</f>
        <v>0.77898566231542909</v>
      </c>
    </row>
    <row r="230" spans="2:23" outlineLevel="1" x14ac:dyDescent="0.25">
      <c r="B230" s="362">
        <v>45108</v>
      </c>
      <c r="C230" s="366">
        <f>IFERROR('2.3'!C217/'2.1'!C228,"")</f>
        <v>0.91534883720930238</v>
      </c>
      <c r="D230" s="366">
        <f>IFERROR('2.3'!D217/'2.1'!D228,"")</f>
        <v>0.86491935483870963</v>
      </c>
      <c r="E230" s="366">
        <f>IFERROR('2.3'!E217/'2.1'!E228,"")</f>
        <v>0.89942711648631446</v>
      </c>
      <c r="F230" s="366">
        <f>IFERROR('2.3'!F217/'2.1'!F228,"")</f>
        <v>0.88108392528282031</v>
      </c>
      <c r="G230" s="366">
        <f>IFERROR('2.3'!G217/'2.1'!G228,"")</f>
        <v>0.8435107009621049</v>
      </c>
      <c r="H230" s="366">
        <f>IFERROR('2.3'!H217/'2.1'!H228,"")</f>
        <v>0.86335633887627961</v>
      </c>
      <c r="I230" s="366" t="str">
        <f>IFERROR('2.3'!I217/'2.1'!I228,"")</f>
        <v/>
      </c>
      <c r="J230" s="366" t="str">
        <f>IFERROR('2.3'!J217/'2.1'!J228,"")</f>
        <v/>
      </c>
      <c r="K230" s="366" t="str">
        <f>IFERROR('2.3'!K217/'2.1'!K228,"")</f>
        <v/>
      </c>
      <c r="L230" s="366">
        <f>IFERROR('2.3'!L217/'2.1'!L228,"")</f>
        <v>0.11186617877679038</v>
      </c>
      <c r="M230" s="366">
        <f>IFERROR('2.3'!M217/'2.1'!M228,"")</f>
        <v>0.19906868451688009</v>
      </c>
      <c r="N230" s="366">
        <f>IFERROR('2.3'!N217/'2.1'!N228,"")</f>
        <v>0.1388888888888889</v>
      </c>
      <c r="O230" s="366" t="str">
        <f>IFERROR('2.3'!O217/'2.1'!O228,"")</f>
        <v/>
      </c>
      <c r="P230" s="366" t="str">
        <f>IFERROR('2.3'!P217/'2.1'!P228,"")</f>
        <v/>
      </c>
      <c r="Q230" s="366" t="str">
        <f>IFERROR('2.3'!Q217/'2.1'!Q228,"")</f>
        <v/>
      </c>
      <c r="R230" s="366">
        <f>IFERROR('2.3'!R217/'2.1'!R228,"")</f>
        <v>0.73516949152542377</v>
      </c>
      <c r="S230" s="366">
        <f>IFERROR('2.3'!S217/'2.1'!S228,"")</f>
        <v>0.85215053763440862</v>
      </c>
      <c r="T230" s="366">
        <f>IFERROR('2.3'!T217/'2.1'!T228,"")</f>
        <v>0.80674342105263153</v>
      </c>
      <c r="U230" s="367">
        <f>IFERROR('2.3'!U217/'2.1'!U228,"")</f>
        <v>0.77992329946847883</v>
      </c>
      <c r="V230" s="367">
        <f>IFERROR('2.3'!V217/'2.1'!V228,"")</f>
        <v>0.79983719983719981</v>
      </c>
      <c r="W230" s="367">
        <f>IFERROR('2.3'!W217/'2.1'!W228,"")</f>
        <v>0.78893472815677035</v>
      </c>
    </row>
    <row r="231" spans="2:23" outlineLevel="1" x14ac:dyDescent="0.25">
      <c r="B231" s="362">
        <v>45139</v>
      </c>
      <c r="C231" s="366">
        <f>IFERROR('2.3'!C218/'2.1'!C229,"")</f>
        <v>0.91848450057405284</v>
      </c>
      <c r="D231" s="366">
        <f>IFERROR('2.3'!D218/'2.1'!D229,"")</f>
        <v>0.78220858895705525</v>
      </c>
      <c r="E231" s="366">
        <f>IFERROR('2.3'!E218/'2.1'!E229,"")</f>
        <v>0.88137009189640769</v>
      </c>
      <c r="F231" s="366">
        <f>IFERROR('2.3'!F218/'2.1'!F229,"")</f>
        <v>0.66730506155950753</v>
      </c>
      <c r="G231" s="366">
        <f>IFERROR('2.3'!G218/'2.1'!G229,"")</f>
        <v>0.70055696202531648</v>
      </c>
      <c r="H231" s="366">
        <f>IFERROR('2.3'!H218/'2.1'!H229,"")</f>
        <v>0.68306142034548945</v>
      </c>
      <c r="I231" s="366" t="str">
        <f>IFERROR('2.3'!I218/'2.1'!I229,"")</f>
        <v/>
      </c>
      <c r="J231" s="366" t="str">
        <f>IFERROR('2.3'!J218/'2.1'!J229,"")</f>
        <v/>
      </c>
      <c r="K231" s="366" t="str">
        <f>IFERROR('2.3'!K218/'2.1'!K229,"")</f>
        <v/>
      </c>
      <c r="L231" s="366">
        <f>IFERROR('2.3'!L218/'2.1'!L229,"")</f>
        <v>1.3278855975485188E-2</v>
      </c>
      <c r="M231" s="366">
        <f>IFERROR('2.3'!M218/'2.1'!M229,"")</f>
        <v>3.580246913580247E-2</v>
      </c>
      <c r="N231" s="366">
        <f>IFERROR('2.3'!N218/'2.1'!N229,"")</f>
        <v>1.9869942196531792E-2</v>
      </c>
      <c r="O231" s="366" t="str">
        <f>IFERROR('2.3'!O218/'2.1'!O229,"")</f>
        <v/>
      </c>
      <c r="P231" s="366" t="str">
        <f>IFERROR('2.3'!P218/'2.1'!P229,"")</f>
        <v/>
      </c>
      <c r="Q231" s="366" t="str">
        <f>IFERROR('2.3'!Q218/'2.1'!Q229,"")</f>
        <v/>
      </c>
      <c r="R231" s="366">
        <f>IFERROR('2.3'!R218/'2.1'!R229,"")</f>
        <v>0.39285714285714285</v>
      </c>
      <c r="S231" s="366">
        <f>IFERROR('2.3'!S218/'2.1'!S229,"")</f>
        <v>0.48451053283767037</v>
      </c>
      <c r="T231" s="366">
        <f>IFERROR('2.3'!T218/'2.1'!T229,"")</f>
        <v>0.44927536231884058</v>
      </c>
      <c r="U231" s="367">
        <f>IFERROR('2.3'!U218/'2.1'!U229,"")</f>
        <v>0.58336830325919709</v>
      </c>
      <c r="V231" s="367">
        <f>IFERROR('2.3'!V218/'2.1'!V229,"")</f>
        <v>0.64249449991538332</v>
      </c>
      <c r="W231" s="367">
        <f>IFERROR('2.3'!W218/'2.1'!W229,"")</f>
        <v>0.61012406187777612</v>
      </c>
    </row>
    <row r="232" spans="2:23" outlineLevel="1" x14ac:dyDescent="0.25">
      <c r="B232" s="362">
        <v>45170</v>
      </c>
      <c r="C232" s="366">
        <f>IFERROR('2.3'!C219/'2.1'!C230,"")</f>
        <v>9.9664736360865591E-2</v>
      </c>
      <c r="D232" s="366">
        <f>IFERROR('2.3'!D219/'2.1'!D230,"")</f>
        <v>3.0777999430037048E-2</v>
      </c>
      <c r="E232" s="366">
        <f>IFERROR('2.3'!E219/'2.1'!E230,"")</f>
        <v>6.4064801178203234E-2</v>
      </c>
      <c r="F232" s="366">
        <f>IFERROR('2.3'!F219/'2.1'!F230,"")</f>
        <v>0.33795927653281765</v>
      </c>
      <c r="G232" s="366">
        <f>IFERROR('2.3'!G219/'2.1'!G230,"")</f>
        <v>0.30376610505450941</v>
      </c>
      <c r="H232" s="366">
        <f>IFERROR('2.3'!H219/'2.1'!H230,"")</f>
        <v>0.32401481980464802</v>
      </c>
      <c r="I232" s="366" t="str">
        <f>IFERROR('2.3'!I219/'2.1'!I230,"")</f>
        <v/>
      </c>
      <c r="J232" s="366" t="str">
        <f>IFERROR('2.3'!J219/'2.1'!J230,"")</f>
        <v/>
      </c>
      <c r="K232" s="366" t="str">
        <f>IFERROR('2.3'!K219/'2.1'!K230,"")</f>
        <v/>
      </c>
      <c r="L232" s="366">
        <f>IFERROR('2.3'!L219/'2.1'!L230,"")</f>
        <v>4.623513870541612E-3</v>
      </c>
      <c r="M232" s="366">
        <f>IFERROR('2.3'!M219/'2.1'!M230,"")</f>
        <v>1.059001512859304E-2</v>
      </c>
      <c r="N232" s="366">
        <f>IFERROR('2.3'!N219/'2.1'!N230,"")</f>
        <v>6.4367816091954024E-3</v>
      </c>
      <c r="O232" s="366" t="str">
        <f>IFERROR('2.3'!O219/'2.1'!O230,"")</f>
        <v/>
      </c>
      <c r="P232" s="366" t="str">
        <f>IFERROR('2.3'!P219/'2.1'!P230,"")</f>
        <v/>
      </c>
      <c r="Q232" s="366" t="str">
        <f>IFERROR('2.3'!Q219/'2.1'!Q230,"")</f>
        <v/>
      </c>
      <c r="R232" s="366">
        <f>IFERROR('2.3'!R219/'2.1'!R230,"")</f>
        <v>0.14910536779324055</v>
      </c>
      <c r="S232" s="366">
        <f>IFERROR('2.3'!S219/'2.1'!S230,"")</f>
        <v>0.12820512820512819</v>
      </c>
      <c r="T232" s="366">
        <f>IFERROR('2.3'!T219/'2.1'!T230,"")</f>
        <v>0.13665594855305466</v>
      </c>
      <c r="U232" s="367">
        <f>IFERROR('2.3'!U219/'2.1'!U230,"")</f>
        <v>0.2399034707928171</v>
      </c>
      <c r="V232" s="367">
        <f>IFERROR('2.3'!V219/'2.1'!V230,"")</f>
        <v>0.18686730506155952</v>
      </c>
      <c r="W232" s="367">
        <f>IFERROR('2.3'!W219/'2.1'!W230,"")</f>
        <v>0.21669194539794046</v>
      </c>
    </row>
    <row r="233" spans="2:23" ht="30" x14ac:dyDescent="0.25">
      <c r="B233" s="364" t="s">
        <v>864</v>
      </c>
      <c r="C233" s="367">
        <f>IFERROR('2.3'!C220/'2.1'!C231,"")</f>
        <v>0.64142194744976821</v>
      </c>
      <c r="D233" s="367">
        <f>IFERROR('2.3'!D220/'2.1'!D231,"")</f>
        <v>0.34685863874345552</v>
      </c>
      <c r="E233" s="367">
        <f>IFERROR('2.3'!E220/'2.1'!E231,"")</f>
        <v>0.53158406219630705</v>
      </c>
      <c r="F233" s="367">
        <f>IFERROR('2.3'!F220/'2.1'!F231,"")</f>
        <v>0.80271436275390973</v>
      </c>
      <c r="G233" s="367">
        <f>IFERROR('2.3'!G220/'2.1'!G231,"")</f>
        <v>0.79068641688449992</v>
      </c>
      <c r="H233" s="367">
        <f>IFERROR('2.3'!H220/'2.1'!H231,"")</f>
        <v>0.79692379398741553</v>
      </c>
      <c r="I233" s="367" t="str">
        <f>IFERROR('2.3'!I220/'2.1'!I231,"")</f>
        <v/>
      </c>
      <c r="J233" s="367" t="str">
        <f>IFERROR('2.3'!J220/'2.1'!J231,"")</f>
        <v/>
      </c>
      <c r="K233" s="367" t="str">
        <f>IFERROR('2.3'!K220/'2.1'!K231,"")</f>
        <v/>
      </c>
      <c r="L233" s="367">
        <f>IFERROR('2.3'!L220/'2.1'!L231,"")</f>
        <v>0.16123949579831934</v>
      </c>
      <c r="M233" s="367">
        <f>IFERROR('2.3'!M220/'2.1'!M231,"")</f>
        <v>0.26394052044609667</v>
      </c>
      <c r="N233" s="367">
        <f>IFERROR('2.3'!N220/'2.1'!N231,"")</f>
        <v>0.19181113980081152</v>
      </c>
      <c r="O233" s="367" t="str">
        <f>IFERROR('2.3'!O220/'2.1'!O231,"")</f>
        <v/>
      </c>
      <c r="P233" s="367" t="str">
        <f>IFERROR('2.3'!P220/'2.1'!P231,"")</f>
        <v/>
      </c>
      <c r="Q233" s="367" t="str">
        <f>IFERROR('2.3'!Q220/'2.1'!Q231,"")</f>
        <v/>
      </c>
      <c r="R233" s="367">
        <f>IFERROR('2.3'!R220/'2.1'!R231,"")</f>
        <v>0.63899613899613905</v>
      </c>
      <c r="S233" s="367">
        <f>IFERROR('2.3'!S220/'2.1'!S231,"")</f>
        <v>0.7407407407407407</v>
      </c>
      <c r="T233" s="367">
        <f>IFERROR('2.3'!T220/'2.1'!T231,"")</f>
        <v>0.69992144540455614</v>
      </c>
      <c r="U233" s="367">
        <f>IFERROR('2.3'!U220/'2.1'!U231,"")</f>
        <v>0.70057943673359391</v>
      </c>
      <c r="V233" s="367">
        <f>IFERROR('2.3'!V220/'2.1'!V231,"")</f>
        <v>0.72738048202291583</v>
      </c>
      <c r="W233" s="367">
        <f>IFERROR('2.3'!W220/'2.1'!W231,"")</f>
        <v>0.71291413608757315</v>
      </c>
    </row>
    <row r="234" spans="2:23" ht="30" x14ac:dyDescent="0.25">
      <c r="B234" s="364" t="s">
        <v>806</v>
      </c>
      <c r="C234" s="367">
        <f>IFERROR('2.3'!C221/'2.1'!C232,"")</f>
        <v>0.80955952827436761</v>
      </c>
      <c r="D234" s="367">
        <f>IFERROR('2.3'!D221/'2.1'!D232,"")</f>
        <v>0.62169007598434267</v>
      </c>
      <c r="E234" s="367">
        <f>IFERROR('2.3'!E221/'2.1'!E232,"")</f>
        <v>0.75103645153423515</v>
      </c>
      <c r="F234" s="367">
        <f>IFERROR('2.3'!F221/'2.1'!F232,"")</f>
        <v>0.84944791997001756</v>
      </c>
      <c r="G234" s="367">
        <f>IFERROR('2.3'!G221/'2.1'!G232,"")</f>
        <v>0.83855871312501029</v>
      </c>
      <c r="H234" s="367">
        <f>IFERROR('2.3'!H221/'2.1'!H232,"")</f>
        <v>0.84385695689742235</v>
      </c>
      <c r="I234" s="367">
        <f>IFERROR('2.3'!I221/'2.1'!I232,"")</f>
        <v>0.88003187964037533</v>
      </c>
      <c r="J234" s="367">
        <f>IFERROR('2.3'!J221/'2.1'!J232,"")</f>
        <v>0.92334473537859107</v>
      </c>
      <c r="K234" s="367">
        <f>IFERROR('2.3'!K221/'2.1'!K232,"")</f>
        <v>0.89017750550076113</v>
      </c>
      <c r="L234" s="367">
        <f>IFERROR('2.3'!L221/'2.1'!L232,"")</f>
        <v>0.49333399910121334</v>
      </c>
      <c r="M234" s="367">
        <f>IFERROR('2.3'!M221/'2.1'!M232,"")</f>
        <v>0.70732201427744545</v>
      </c>
      <c r="N234" s="367">
        <f>IFERROR('2.3'!N221/'2.1'!N232,"")</f>
        <v>0.55427171156915589</v>
      </c>
      <c r="O234" s="367">
        <f>IFERROR('2.3'!O221/'2.1'!O232,"")</f>
        <v>0.83705232783095651</v>
      </c>
      <c r="P234" s="367">
        <f>IFERROR('2.3'!P221/'2.1'!P232,"")</f>
        <v>0.87713940626787867</v>
      </c>
      <c r="Q234" s="367">
        <f>IFERROR('2.3'!Q221/'2.1'!Q232,"")</f>
        <v>0.85459770082962228</v>
      </c>
      <c r="R234" s="367">
        <f>IFERROR('2.3'!R221/'2.1'!R232,"")</f>
        <v>0.79430357469694624</v>
      </c>
      <c r="S234" s="367">
        <f>IFERROR('2.3'!S221/'2.1'!S232,"")</f>
        <v>0.86664967936467485</v>
      </c>
      <c r="T234" s="367">
        <f>IFERROR('2.3'!T221/'2.1'!T232,"")</f>
        <v>0.83037806702995731</v>
      </c>
      <c r="U234" s="367">
        <f>IFERROR('2.3'!U221/'2.1'!U232,"")</f>
        <v>0.80422496259041898</v>
      </c>
      <c r="V234" s="367">
        <f>IFERROR('2.3'!V221/'2.1'!V232,"")</f>
        <v>0.85555081787976317</v>
      </c>
      <c r="W234" s="367">
        <f>IFERROR('2.3'!W221/'2.1'!W232,"")</f>
        <v>0.82505886302743581</v>
      </c>
    </row>
    <row r="235" spans="2:23" ht="99.75" customHeight="1" x14ac:dyDescent="0.25">
      <c r="B235" s="428" t="s">
        <v>814</v>
      </c>
      <c r="C235" s="428"/>
      <c r="D235" s="428"/>
      <c r="E235" s="428"/>
      <c r="F235" s="428"/>
      <c r="G235" s="428"/>
      <c r="H235" s="428"/>
      <c r="I235" s="428"/>
      <c r="J235" s="428"/>
      <c r="K235" s="428"/>
      <c r="L235" s="428"/>
      <c r="M235" s="428"/>
      <c r="N235" s="428"/>
      <c r="O235" s="428"/>
      <c r="P235" s="428"/>
      <c r="Q235" s="428"/>
      <c r="R235" s="428"/>
      <c r="S235" s="428"/>
      <c r="T235" s="428"/>
      <c r="U235" s="428"/>
      <c r="V235" s="428"/>
      <c r="W235" s="428"/>
    </row>
    <row r="244" spans="10:11" ht="18" customHeight="1" x14ac:dyDescent="0.25">
      <c r="J244" s="125"/>
      <c r="K244" s="125"/>
    </row>
  </sheetData>
  <mergeCells count="18">
    <mergeCell ref="B7:B9"/>
    <mergeCell ref="C7:N7"/>
    <mergeCell ref="B32:B34"/>
    <mergeCell ref="C32:T32"/>
    <mergeCell ref="B27:Q27"/>
    <mergeCell ref="O7:Q8"/>
    <mergeCell ref="C8:E8"/>
    <mergeCell ref="F8:H8"/>
    <mergeCell ref="I8:K8"/>
    <mergeCell ref="L8:N8"/>
    <mergeCell ref="B235:W235"/>
    <mergeCell ref="U32:W33"/>
    <mergeCell ref="C33:E33"/>
    <mergeCell ref="F33:H33"/>
    <mergeCell ref="I33:K33"/>
    <mergeCell ref="L33:N33"/>
    <mergeCell ref="O33:Q33"/>
    <mergeCell ref="R33:T33"/>
  </mergeCells>
  <phoneticPr fontId="27" type="noConversion"/>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heetView workbookViewId="1"/>
  </sheetViews>
  <sheetFormatPr baseColWidth="10" defaultRowHeight="15" x14ac:dyDescent="0.25"/>
  <cols>
    <col min="1" max="1" width="14.42578125" customWidth="1"/>
  </cols>
  <sheetData>
    <row r="1" spans="2:13" x14ac:dyDescent="0.25">
      <c r="B1" s="388" t="s">
        <v>715</v>
      </c>
      <c r="C1" s="389"/>
      <c r="D1" s="389"/>
      <c r="E1" s="389"/>
      <c r="F1" s="389"/>
      <c r="G1" s="389"/>
      <c r="H1" s="389"/>
      <c r="I1" s="389"/>
      <c r="J1" s="389"/>
      <c r="K1" s="389"/>
      <c r="L1" s="389"/>
      <c r="M1" s="389"/>
    </row>
    <row r="2" spans="2:13" x14ac:dyDescent="0.25">
      <c r="B2" s="389"/>
      <c r="C2" s="389"/>
      <c r="D2" s="389"/>
      <c r="E2" s="389"/>
      <c r="F2" s="389"/>
      <c r="G2" s="389"/>
      <c r="H2" s="389"/>
      <c r="I2" s="389"/>
      <c r="J2" s="389"/>
      <c r="K2" s="389"/>
      <c r="L2" s="389"/>
      <c r="M2" s="389"/>
    </row>
    <row r="3" spans="2:13" x14ac:dyDescent="0.25">
      <c r="B3" s="389"/>
      <c r="C3" s="389"/>
      <c r="D3" s="389"/>
      <c r="E3" s="389"/>
      <c r="F3" s="389"/>
      <c r="G3" s="389"/>
      <c r="H3" s="389"/>
      <c r="I3" s="389"/>
      <c r="J3" s="389"/>
      <c r="K3" s="389"/>
      <c r="L3" s="389"/>
      <c r="M3" s="389"/>
    </row>
    <row r="4" spans="2:13" x14ac:dyDescent="0.25">
      <c r="B4" s="389"/>
      <c r="C4" s="389"/>
      <c r="D4" s="389"/>
      <c r="E4" s="389"/>
      <c r="F4" s="389"/>
      <c r="G4" s="389"/>
      <c r="H4" s="389"/>
      <c r="I4" s="389"/>
      <c r="J4" s="389"/>
      <c r="K4" s="389"/>
      <c r="L4" s="389"/>
      <c r="M4" s="389"/>
    </row>
    <row r="5" spans="2:13" x14ac:dyDescent="0.25">
      <c r="B5" s="389"/>
      <c r="C5" s="389"/>
      <c r="D5" s="389"/>
      <c r="E5" s="389"/>
      <c r="F5" s="389"/>
      <c r="G5" s="389"/>
      <c r="H5" s="389"/>
      <c r="I5" s="389"/>
      <c r="J5" s="389"/>
      <c r="K5" s="389"/>
      <c r="L5" s="389"/>
      <c r="M5" s="389"/>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72" t="s">
        <v>740</v>
      </c>
      <c r="C9" s="473"/>
      <c r="D9" s="473"/>
      <c r="E9" s="473"/>
      <c r="F9" s="473"/>
      <c r="G9" s="473"/>
      <c r="H9" s="473"/>
      <c r="I9" s="473"/>
      <c r="J9" s="473"/>
      <c r="K9" s="473"/>
      <c r="L9" s="473"/>
      <c r="M9" s="474"/>
    </row>
    <row r="10" spans="2:13" ht="15.75" x14ac:dyDescent="0.25">
      <c r="B10" s="395" t="s">
        <v>856</v>
      </c>
      <c r="C10" s="395"/>
      <c r="D10" s="395"/>
      <c r="E10" s="395"/>
      <c r="F10" s="395"/>
      <c r="G10" s="395"/>
      <c r="H10" s="395"/>
      <c r="I10" s="395"/>
      <c r="J10" s="395"/>
      <c r="K10" s="395"/>
      <c r="L10" s="395"/>
      <c r="M10" s="395"/>
    </row>
    <row r="11" spans="2:13" x14ac:dyDescent="0.25">
      <c r="B11" s="390"/>
      <c r="C11" s="390"/>
      <c r="D11" s="390"/>
      <c r="E11" s="390"/>
      <c r="F11" s="390"/>
      <c r="G11" s="390"/>
      <c r="H11" s="390"/>
      <c r="I11" s="390"/>
      <c r="J11" s="390"/>
      <c r="K11" s="390"/>
      <c r="L11" s="390"/>
      <c r="M11" s="390"/>
    </row>
    <row r="12" spans="2:13" ht="18.75" x14ac:dyDescent="0.3">
      <c r="B12" s="475" t="s">
        <v>741</v>
      </c>
      <c r="C12" s="475"/>
      <c r="D12" s="475"/>
      <c r="E12" s="475"/>
      <c r="F12" s="475"/>
      <c r="G12" s="475"/>
      <c r="H12" s="475"/>
      <c r="I12" s="475"/>
      <c r="J12" s="475"/>
      <c r="K12" s="475"/>
      <c r="L12" s="475"/>
      <c r="M12" s="475"/>
    </row>
    <row r="13" spans="2:13" x14ac:dyDescent="0.25">
      <c r="B13" s="398" t="s">
        <v>849</v>
      </c>
      <c r="C13" s="398"/>
      <c r="D13" s="398"/>
      <c r="E13" s="398"/>
      <c r="F13" s="398"/>
      <c r="G13" s="398"/>
      <c r="H13" s="398"/>
      <c r="I13" s="398"/>
      <c r="J13" s="398"/>
      <c r="K13" s="398"/>
      <c r="L13" s="398"/>
      <c r="M13" s="398"/>
    </row>
    <row r="14" spans="2:13" x14ac:dyDescent="0.25">
      <c r="B14" s="398" t="s">
        <v>742</v>
      </c>
      <c r="C14" s="398"/>
      <c r="D14" s="398"/>
      <c r="E14" s="398"/>
      <c r="F14" s="398"/>
      <c r="G14" s="398"/>
      <c r="H14" s="398"/>
      <c r="I14" s="398"/>
      <c r="J14" s="398"/>
      <c r="K14" s="398"/>
      <c r="L14" s="398"/>
      <c r="M14" s="398"/>
    </row>
    <row r="15" spans="2:13" x14ac:dyDescent="0.25">
      <c r="B15" s="398" t="s">
        <v>743</v>
      </c>
      <c r="C15" s="398"/>
      <c r="D15" s="398"/>
      <c r="E15" s="398"/>
      <c r="F15" s="398"/>
      <c r="G15" s="398"/>
      <c r="H15" s="398"/>
      <c r="I15" s="398"/>
      <c r="J15" s="398"/>
      <c r="K15" s="398"/>
      <c r="L15" s="398"/>
      <c r="M15" s="398"/>
    </row>
  </sheetData>
  <mergeCells count="8">
    <mergeCell ref="B13:M13"/>
    <mergeCell ref="B14:M14"/>
    <mergeCell ref="B15:M15"/>
    <mergeCell ref="B1:M5"/>
    <mergeCell ref="B9:M9"/>
    <mergeCell ref="B10:M10"/>
    <mergeCell ref="B11:M11"/>
    <mergeCell ref="B12:M12"/>
  </mergeCells>
  <hyperlinks>
    <hyperlink ref="B12:M12" location="'3.1'!A1" display="1. Bono por Hijo" xr:uid="{8441B973-5DB1-4981-8D5E-44EC52FCCF3C}"/>
    <hyperlink ref="B13:M13" location="'3.1'!B4" display="i. Concesiones de Bono por Hijo por región, según institución y tipo de beneficio" xr:uid="{05DCD3B7-0398-4247-9FF9-49B375F8E8E6}"/>
    <hyperlink ref="B14:M14" location="'3.1'!B45" display="ii. Serie Resumen de Estado de solicitudes de Bono por Hijo" xr:uid="{ADC9F50E-4542-442F-8428-659E99EFA867}"/>
    <hyperlink ref="B15:M15" location="'3.1'!B181" display="iii. Serie resumen de concesiones de Bono por Hijo por tipo de beneficio" xr:uid="{2FC57C24-059B-4993-B2BE-86B427582261}"/>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34"/>
  <sheetViews>
    <sheetView showGridLines="0" workbookViewId="0"/>
    <sheetView workbookViewId="1"/>
  </sheetViews>
  <sheetFormatPr baseColWidth="10" defaultRowHeight="15" outlineLevelRow="1" x14ac:dyDescent="0.25"/>
  <cols>
    <col min="2" max="2" width="25.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729</v>
      </c>
    </row>
    <row r="4" spans="2:8" ht="18.75" x14ac:dyDescent="0.3">
      <c r="B4" s="2" t="s">
        <v>848</v>
      </c>
      <c r="C4" s="8"/>
      <c r="D4" s="8"/>
    </row>
    <row r="5" spans="2:8" x14ac:dyDescent="0.25">
      <c r="B5" s="15" t="s">
        <v>857</v>
      </c>
      <c r="C5" s="15"/>
      <c r="D5" s="15"/>
      <c r="E5" s="15"/>
      <c r="F5" s="15"/>
      <c r="G5" s="15"/>
      <c r="H5" s="15"/>
    </row>
    <row r="6" spans="2:8" x14ac:dyDescent="0.25">
      <c r="B6" s="15"/>
      <c r="C6" s="15"/>
      <c r="D6" s="15"/>
      <c r="E6" s="15"/>
      <c r="F6" s="15"/>
      <c r="G6" s="15"/>
      <c r="H6" s="15"/>
    </row>
    <row r="7" spans="2:8" x14ac:dyDescent="0.25">
      <c r="B7" s="487" t="s">
        <v>526</v>
      </c>
      <c r="C7" s="476" t="s">
        <v>851</v>
      </c>
      <c r="D7" s="406" t="s">
        <v>36</v>
      </c>
      <c r="E7" s="406"/>
      <c r="F7" s="406" t="s">
        <v>850</v>
      </c>
      <c r="G7" s="406"/>
      <c r="H7" s="486" t="s">
        <v>28</v>
      </c>
    </row>
    <row r="8" spans="2:8" ht="28.5" customHeight="1" x14ac:dyDescent="0.25">
      <c r="B8" s="487"/>
      <c r="C8" s="476"/>
      <c r="D8" s="248" t="s">
        <v>658</v>
      </c>
      <c r="E8" s="379" t="s">
        <v>490</v>
      </c>
      <c r="F8" s="379" t="s">
        <v>490</v>
      </c>
      <c r="G8" s="379" t="s">
        <v>852</v>
      </c>
      <c r="H8" s="486"/>
    </row>
    <row r="9" spans="2:8" x14ac:dyDescent="0.25">
      <c r="B9" s="476" t="s">
        <v>524</v>
      </c>
      <c r="C9" s="381" t="s">
        <v>730</v>
      </c>
      <c r="D9" s="382">
        <v>53</v>
      </c>
      <c r="E9" s="285">
        <v>1</v>
      </c>
      <c r="F9" s="285">
        <v>6</v>
      </c>
      <c r="G9" s="285">
        <v>215</v>
      </c>
      <c r="H9" s="383">
        <v>275</v>
      </c>
    </row>
    <row r="10" spans="2:8" x14ac:dyDescent="0.25">
      <c r="B10" s="476"/>
      <c r="C10" s="381" t="s">
        <v>728</v>
      </c>
      <c r="D10" s="285">
        <v>167</v>
      </c>
      <c r="E10" s="285">
        <v>4</v>
      </c>
      <c r="F10" s="285">
        <v>22</v>
      </c>
      <c r="G10" s="285">
        <v>566</v>
      </c>
      <c r="H10" s="383">
        <v>759</v>
      </c>
    </row>
    <row r="11" spans="2:8" x14ac:dyDescent="0.25">
      <c r="B11" s="476" t="s">
        <v>510</v>
      </c>
      <c r="C11" s="381" t="s">
        <v>730</v>
      </c>
      <c r="D11" s="382">
        <v>52</v>
      </c>
      <c r="E11" s="285">
        <v>2</v>
      </c>
      <c r="F11" s="285">
        <v>4</v>
      </c>
      <c r="G11" s="285">
        <v>257</v>
      </c>
      <c r="H11" s="383">
        <v>315</v>
      </c>
    </row>
    <row r="12" spans="2:8" x14ac:dyDescent="0.25">
      <c r="B12" s="476"/>
      <c r="C12" s="381" t="s">
        <v>728</v>
      </c>
      <c r="D12" s="285">
        <v>162</v>
      </c>
      <c r="E12" s="285">
        <v>4</v>
      </c>
      <c r="F12" s="285">
        <v>15</v>
      </c>
      <c r="G12" s="285">
        <v>732</v>
      </c>
      <c r="H12" s="383">
        <v>913</v>
      </c>
    </row>
    <row r="13" spans="2:8" x14ac:dyDescent="0.25">
      <c r="B13" s="476" t="s">
        <v>511</v>
      </c>
      <c r="C13" s="381" t="s">
        <v>730</v>
      </c>
      <c r="D13" s="382">
        <v>167</v>
      </c>
      <c r="E13" s="285">
        <v>7</v>
      </c>
      <c r="F13" s="285">
        <v>27</v>
      </c>
      <c r="G13" s="285">
        <v>460</v>
      </c>
      <c r="H13" s="383">
        <v>661</v>
      </c>
    </row>
    <row r="14" spans="2:8" x14ac:dyDescent="0.25">
      <c r="B14" s="476"/>
      <c r="C14" s="381" t="s">
        <v>728</v>
      </c>
      <c r="D14" s="285">
        <v>515</v>
      </c>
      <c r="E14" s="285">
        <v>39</v>
      </c>
      <c r="F14" s="285">
        <v>93</v>
      </c>
      <c r="G14" s="285">
        <v>1279</v>
      </c>
      <c r="H14" s="383">
        <v>1926</v>
      </c>
    </row>
    <row r="15" spans="2:8" x14ac:dyDescent="0.25">
      <c r="B15" s="476" t="s">
        <v>512</v>
      </c>
      <c r="C15" s="381" t="s">
        <v>730</v>
      </c>
      <c r="D15" s="382">
        <v>72</v>
      </c>
      <c r="E15" s="285">
        <v>6</v>
      </c>
      <c r="F15" s="285">
        <v>10</v>
      </c>
      <c r="G15" s="285">
        <v>300</v>
      </c>
      <c r="H15" s="383">
        <v>388</v>
      </c>
    </row>
    <row r="16" spans="2:8" x14ac:dyDescent="0.25">
      <c r="B16" s="476"/>
      <c r="C16" s="381" t="s">
        <v>728</v>
      </c>
      <c r="D16" s="285">
        <v>223</v>
      </c>
      <c r="E16" s="285">
        <v>38</v>
      </c>
      <c r="F16" s="285">
        <v>28</v>
      </c>
      <c r="G16" s="285">
        <v>827</v>
      </c>
      <c r="H16" s="383">
        <v>1116</v>
      </c>
    </row>
    <row r="17" spans="2:8" x14ac:dyDescent="0.25">
      <c r="B17" s="476" t="s">
        <v>513</v>
      </c>
      <c r="C17" s="381" t="s">
        <v>730</v>
      </c>
      <c r="D17" s="382">
        <v>232</v>
      </c>
      <c r="E17" s="285">
        <v>10</v>
      </c>
      <c r="F17" s="285">
        <v>30</v>
      </c>
      <c r="G17" s="285">
        <v>810</v>
      </c>
      <c r="H17" s="383">
        <v>1082</v>
      </c>
    </row>
    <row r="18" spans="2:8" x14ac:dyDescent="0.25">
      <c r="B18" s="476"/>
      <c r="C18" s="381" t="s">
        <v>728</v>
      </c>
      <c r="D18" s="285">
        <v>712</v>
      </c>
      <c r="E18" s="285">
        <v>44</v>
      </c>
      <c r="F18" s="285">
        <v>106</v>
      </c>
      <c r="G18" s="285">
        <v>2151</v>
      </c>
      <c r="H18" s="383">
        <v>3013</v>
      </c>
    </row>
    <row r="19" spans="2:8" x14ac:dyDescent="0.25">
      <c r="B19" s="476" t="s">
        <v>514</v>
      </c>
      <c r="C19" s="381" t="s">
        <v>730</v>
      </c>
      <c r="D19" s="382">
        <v>501</v>
      </c>
      <c r="E19" s="285">
        <v>22</v>
      </c>
      <c r="F19" s="285">
        <v>72</v>
      </c>
      <c r="G19" s="285">
        <v>2226</v>
      </c>
      <c r="H19" s="383">
        <v>2821</v>
      </c>
    </row>
    <row r="20" spans="2:8" x14ac:dyDescent="0.25">
      <c r="B20" s="476"/>
      <c r="C20" s="381" t="s">
        <v>728</v>
      </c>
      <c r="D20" s="285">
        <v>1446</v>
      </c>
      <c r="E20" s="285">
        <v>75</v>
      </c>
      <c r="F20" s="285">
        <v>263</v>
      </c>
      <c r="G20" s="285">
        <v>6000</v>
      </c>
      <c r="H20" s="383">
        <v>7784</v>
      </c>
    </row>
    <row r="21" spans="2:8" x14ac:dyDescent="0.25">
      <c r="B21" s="476" t="s">
        <v>522</v>
      </c>
      <c r="C21" s="381" t="s">
        <v>730</v>
      </c>
      <c r="D21" s="382">
        <v>1423</v>
      </c>
      <c r="E21" s="285">
        <v>33</v>
      </c>
      <c r="F21" s="285">
        <v>176</v>
      </c>
      <c r="G21" s="285">
        <v>6829</v>
      </c>
      <c r="H21" s="383">
        <v>8461</v>
      </c>
    </row>
    <row r="22" spans="2:8" x14ac:dyDescent="0.25">
      <c r="B22" s="476"/>
      <c r="C22" s="381" t="s">
        <v>728</v>
      </c>
      <c r="D22" s="285">
        <v>4229</v>
      </c>
      <c r="E22" s="285">
        <v>113</v>
      </c>
      <c r="F22" s="285">
        <v>564</v>
      </c>
      <c r="G22" s="285">
        <v>18033</v>
      </c>
      <c r="H22" s="383">
        <v>22939</v>
      </c>
    </row>
    <row r="23" spans="2:8" ht="15" customHeight="1" x14ac:dyDescent="0.25">
      <c r="B23" s="476" t="s">
        <v>515</v>
      </c>
      <c r="C23" s="248" t="s">
        <v>730</v>
      </c>
      <c r="D23" s="382">
        <v>223</v>
      </c>
      <c r="E23" s="285">
        <v>19</v>
      </c>
      <c r="F23" s="285">
        <v>24</v>
      </c>
      <c r="G23" s="285">
        <v>1104</v>
      </c>
      <c r="H23" s="383">
        <v>1370</v>
      </c>
    </row>
    <row r="24" spans="2:8" x14ac:dyDescent="0.25">
      <c r="B24" s="476"/>
      <c r="C24" s="248" t="s">
        <v>728</v>
      </c>
      <c r="D24" s="285">
        <v>667</v>
      </c>
      <c r="E24" s="285">
        <v>78</v>
      </c>
      <c r="F24" s="285">
        <v>72</v>
      </c>
      <c r="G24" s="285">
        <v>3049</v>
      </c>
      <c r="H24" s="383">
        <v>3866</v>
      </c>
    </row>
    <row r="25" spans="2:8" x14ac:dyDescent="0.25">
      <c r="B25" s="476" t="s">
        <v>516</v>
      </c>
      <c r="C25" s="381" t="s">
        <v>730</v>
      </c>
      <c r="D25" s="382">
        <v>268</v>
      </c>
      <c r="E25" s="285">
        <v>6</v>
      </c>
      <c r="F25" s="285">
        <v>53</v>
      </c>
      <c r="G25" s="285">
        <v>1230</v>
      </c>
      <c r="H25" s="383">
        <v>1557</v>
      </c>
    </row>
    <row r="26" spans="2:8" x14ac:dyDescent="0.25">
      <c r="B26" s="476"/>
      <c r="C26" s="381" t="s">
        <v>728</v>
      </c>
      <c r="D26" s="285">
        <v>832</v>
      </c>
      <c r="E26" s="285">
        <v>20</v>
      </c>
      <c r="F26" s="285">
        <v>224</v>
      </c>
      <c r="G26" s="285">
        <v>3430</v>
      </c>
      <c r="H26" s="383">
        <v>4506</v>
      </c>
    </row>
    <row r="27" spans="2:8" x14ac:dyDescent="0.25">
      <c r="B27" s="476" t="s">
        <v>525</v>
      </c>
      <c r="C27" s="381" t="s">
        <v>730</v>
      </c>
      <c r="D27" s="382">
        <v>196</v>
      </c>
      <c r="E27" s="285">
        <v>6</v>
      </c>
      <c r="F27" s="285">
        <v>23</v>
      </c>
      <c r="G27" s="285">
        <v>509</v>
      </c>
      <c r="H27" s="383">
        <v>734</v>
      </c>
    </row>
    <row r="28" spans="2:8" x14ac:dyDescent="0.25">
      <c r="B28" s="476"/>
      <c r="C28" s="381" t="s">
        <v>728</v>
      </c>
      <c r="D28" s="285">
        <v>626</v>
      </c>
      <c r="E28" s="285">
        <v>23</v>
      </c>
      <c r="F28" s="285">
        <v>95</v>
      </c>
      <c r="G28" s="285">
        <v>1351</v>
      </c>
      <c r="H28" s="383">
        <v>2095</v>
      </c>
    </row>
    <row r="29" spans="2:8" x14ac:dyDescent="0.25">
      <c r="B29" s="476" t="s">
        <v>517</v>
      </c>
      <c r="C29" s="381" t="s">
        <v>730</v>
      </c>
      <c r="D29" s="382">
        <v>567</v>
      </c>
      <c r="E29" s="285">
        <v>34</v>
      </c>
      <c r="F29" s="285">
        <v>85</v>
      </c>
      <c r="G29" s="285">
        <v>1522</v>
      </c>
      <c r="H29" s="383">
        <v>2208</v>
      </c>
    </row>
    <row r="30" spans="2:8" x14ac:dyDescent="0.25">
      <c r="B30" s="476"/>
      <c r="C30" s="381" t="s">
        <v>728</v>
      </c>
      <c r="D30" s="285">
        <v>1709</v>
      </c>
      <c r="E30" s="285">
        <v>152</v>
      </c>
      <c r="F30" s="285">
        <v>301</v>
      </c>
      <c r="G30" s="285">
        <v>4060</v>
      </c>
      <c r="H30" s="383">
        <v>6222</v>
      </c>
    </row>
    <row r="31" spans="2:8" x14ac:dyDescent="0.25">
      <c r="B31" s="476" t="s">
        <v>518</v>
      </c>
      <c r="C31" s="381" t="s">
        <v>730</v>
      </c>
      <c r="D31" s="382">
        <v>329</v>
      </c>
      <c r="E31" s="285">
        <v>9</v>
      </c>
      <c r="F31" s="285">
        <v>22</v>
      </c>
      <c r="G31" s="285">
        <v>925</v>
      </c>
      <c r="H31" s="383">
        <v>1285</v>
      </c>
    </row>
    <row r="32" spans="2:8" x14ac:dyDescent="0.25">
      <c r="B32" s="476"/>
      <c r="C32" s="381" t="s">
        <v>728</v>
      </c>
      <c r="D32" s="285">
        <v>1112</v>
      </c>
      <c r="E32" s="285">
        <v>42</v>
      </c>
      <c r="F32" s="285">
        <v>83</v>
      </c>
      <c r="G32" s="285">
        <v>2667</v>
      </c>
      <c r="H32" s="383">
        <v>3904</v>
      </c>
    </row>
    <row r="33" spans="2:8" x14ac:dyDescent="0.25">
      <c r="B33" s="476" t="s">
        <v>523</v>
      </c>
      <c r="C33" s="381" t="s">
        <v>730</v>
      </c>
      <c r="D33" s="382">
        <v>108</v>
      </c>
      <c r="E33" s="285">
        <v>3</v>
      </c>
      <c r="F33" s="285">
        <v>21</v>
      </c>
      <c r="G33" s="285">
        <v>423</v>
      </c>
      <c r="H33" s="383">
        <v>555</v>
      </c>
    </row>
    <row r="34" spans="2:8" x14ac:dyDescent="0.25">
      <c r="B34" s="476"/>
      <c r="C34" s="381" t="s">
        <v>728</v>
      </c>
      <c r="D34" s="285">
        <v>330</v>
      </c>
      <c r="E34" s="285">
        <v>6</v>
      </c>
      <c r="F34" s="285">
        <v>93</v>
      </c>
      <c r="G34" s="285">
        <v>1169</v>
      </c>
      <c r="H34" s="383">
        <v>1598</v>
      </c>
    </row>
    <row r="35" spans="2:8" x14ac:dyDescent="0.25">
      <c r="B35" s="476" t="s">
        <v>519</v>
      </c>
      <c r="C35" s="381" t="s">
        <v>730</v>
      </c>
      <c r="D35" s="382">
        <v>224</v>
      </c>
      <c r="E35" s="285">
        <v>6</v>
      </c>
      <c r="F35" s="285">
        <v>28</v>
      </c>
      <c r="G35" s="285">
        <v>858</v>
      </c>
      <c r="H35" s="383">
        <v>1116</v>
      </c>
    </row>
    <row r="36" spans="2:8" x14ac:dyDescent="0.25">
      <c r="B36" s="476"/>
      <c r="C36" s="381" t="s">
        <v>728</v>
      </c>
      <c r="D36" s="285">
        <v>645</v>
      </c>
      <c r="E36" s="285">
        <v>25</v>
      </c>
      <c r="F36" s="285">
        <v>101</v>
      </c>
      <c r="G36" s="285">
        <v>2260</v>
      </c>
      <c r="H36" s="383">
        <v>3031</v>
      </c>
    </row>
    <row r="37" spans="2:8" ht="15" customHeight="1" x14ac:dyDescent="0.25">
      <c r="B37" s="476" t="s">
        <v>520</v>
      </c>
      <c r="C37" s="248" t="s">
        <v>730</v>
      </c>
      <c r="D37" s="382">
        <v>14</v>
      </c>
      <c r="E37" s="285">
        <v>0</v>
      </c>
      <c r="F37" s="285">
        <v>6</v>
      </c>
      <c r="G37" s="285">
        <v>116</v>
      </c>
      <c r="H37" s="383">
        <v>136</v>
      </c>
    </row>
    <row r="38" spans="2:8" x14ac:dyDescent="0.25">
      <c r="B38" s="476"/>
      <c r="C38" s="248" t="s">
        <v>728</v>
      </c>
      <c r="D38" s="285">
        <v>50</v>
      </c>
      <c r="E38" s="285">
        <v>0</v>
      </c>
      <c r="F38" s="285">
        <v>18</v>
      </c>
      <c r="G38" s="285">
        <v>308</v>
      </c>
      <c r="H38" s="383">
        <v>376</v>
      </c>
    </row>
    <row r="39" spans="2:8" ht="15" customHeight="1" x14ac:dyDescent="0.25">
      <c r="B39" s="476" t="s">
        <v>521</v>
      </c>
      <c r="C39" s="248" t="s">
        <v>730</v>
      </c>
      <c r="D39" s="382">
        <v>40</v>
      </c>
      <c r="E39" s="285">
        <v>0</v>
      </c>
      <c r="F39" s="285">
        <v>4</v>
      </c>
      <c r="G39" s="285">
        <v>168</v>
      </c>
      <c r="H39" s="383">
        <v>212</v>
      </c>
    </row>
    <row r="40" spans="2:8" x14ac:dyDescent="0.25">
      <c r="B40" s="476"/>
      <c r="C40" s="248" t="s">
        <v>728</v>
      </c>
      <c r="D40" s="285">
        <v>95</v>
      </c>
      <c r="E40" s="285">
        <v>0</v>
      </c>
      <c r="F40" s="285">
        <v>12</v>
      </c>
      <c r="G40" s="285">
        <v>389</v>
      </c>
      <c r="H40" s="383">
        <v>496</v>
      </c>
    </row>
    <row r="41" spans="2:8" x14ac:dyDescent="0.25">
      <c r="B41" s="485" t="s">
        <v>842</v>
      </c>
      <c r="C41" s="384" t="s">
        <v>730</v>
      </c>
      <c r="D41" s="383">
        <v>4469</v>
      </c>
      <c r="E41" s="383">
        <v>164</v>
      </c>
      <c r="F41" s="383">
        <v>591</v>
      </c>
      <c r="G41" s="383">
        <v>17952</v>
      </c>
      <c r="H41" s="383">
        <v>23176</v>
      </c>
    </row>
    <row r="42" spans="2:8" x14ac:dyDescent="0.25">
      <c r="B42" s="485"/>
      <c r="C42" s="384" t="s">
        <v>728</v>
      </c>
      <c r="D42" s="383">
        <v>13520</v>
      </c>
      <c r="E42" s="383">
        <v>663</v>
      </c>
      <c r="F42" s="383">
        <v>2090</v>
      </c>
      <c r="G42" s="383">
        <v>48271</v>
      </c>
      <c r="H42" s="383">
        <v>64544</v>
      </c>
    </row>
    <row r="43" spans="2:8" x14ac:dyDescent="0.25">
      <c r="B43" s="4" t="s">
        <v>868</v>
      </c>
    </row>
    <row r="45" spans="2:8" ht="18.75" x14ac:dyDescent="0.3">
      <c r="B45" s="2" t="s">
        <v>731</v>
      </c>
      <c r="C45" s="2"/>
      <c r="D45" s="2"/>
      <c r="E45" s="2"/>
    </row>
    <row r="46" spans="2:8" x14ac:dyDescent="0.25">
      <c r="B46" s="3" t="s">
        <v>869</v>
      </c>
    </row>
    <row r="48" spans="2:8" ht="30" x14ac:dyDescent="0.25">
      <c r="B48" s="249" t="s">
        <v>476</v>
      </c>
      <c r="C48" s="250" t="s">
        <v>732</v>
      </c>
      <c r="D48" s="250" t="s">
        <v>733</v>
      </c>
      <c r="E48" s="250" t="s">
        <v>491</v>
      </c>
    </row>
    <row r="49" spans="2:5" x14ac:dyDescent="0.25">
      <c r="B49" s="288" t="s">
        <v>734</v>
      </c>
      <c r="C49" s="289">
        <v>23671</v>
      </c>
      <c r="D49" s="289"/>
      <c r="E49" s="289">
        <v>23671</v>
      </c>
    </row>
    <row r="50" spans="2:5" x14ac:dyDescent="0.25">
      <c r="B50" s="290" t="s">
        <v>32</v>
      </c>
      <c r="C50" s="289">
        <v>90591</v>
      </c>
      <c r="D50" s="289"/>
      <c r="E50" s="289">
        <v>90591</v>
      </c>
    </row>
    <row r="51" spans="2:5" x14ac:dyDescent="0.25">
      <c r="B51" s="290" t="s">
        <v>33</v>
      </c>
      <c r="C51" s="289">
        <v>105822</v>
      </c>
      <c r="D51" s="289"/>
      <c r="E51" s="289">
        <v>105822</v>
      </c>
    </row>
    <row r="52" spans="2:5" x14ac:dyDescent="0.25">
      <c r="B52" s="290" t="s">
        <v>735</v>
      </c>
      <c r="C52" s="289">
        <v>54727</v>
      </c>
      <c r="D52" s="289"/>
      <c r="E52" s="289">
        <v>54727</v>
      </c>
    </row>
    <row r="53" spans="2:5" x14ac:dyDescent="0.25">
      <c r="B53" s="290" t="s">
        <v>37</v>
      </c>
      <c r="C53" s="289">
        <v>38385</v>
      </c>
      <c r="D53" s="289"/>
      <c r="E53" s="289">
        <v>38385</v>
      </c>
    </row>
    <row r="54" spans="2:5" hidden="1" outlineLevel="1" x14ac:dyDescent="0.25">
      <c r="B54" s="368">
        <v>41640</v>
      </c>
      <c r="C54" s="369">
        <v>3012</v>
      </c>
      <c r="D54" s="369">
        <v>385</v>
      </c>
      <c r="E54" s="369">
        <v>3397</v>
      </c>
    </row>
    <row r="55" spans="2:5" hidden="1" outlineLevel="1" x14ac:dyDescent="0.25">
      <c r="B55" s="368">
        <v>41671</v>
      </c>
      <c r="C55" s="369">
        <v>3146</v>
      </c>
      <c r="D55" s="369">
        <v>307</v>
      </c>
      <c r="E55" s="369">
        <v>3453</v>
      </c>
    </row>
    <row r="56" spans="2:5" hidden="1" outlineLevel="1" x14ac:dyDescent="0.25">
      <c r="B56" s="368">
        <v>41699</v>
      </c>
      <c r="C56" s="369">
        <v>2820</v>
      </c>
      <c r="D56" s="369">
        <v>401</v>
      </c>
      <c r="E56" s="369">
        <v>3221</v>
      </c>
    </row>
    <row r="57" spans="2:5" hidden="1" outlineLevel="1" x14ac:dyDescent="0.25">
      <c r="B57" s="368">
        <v>41730</v>
      </c>
      <c r="C57" s="369">
        <v>3671</v>
      </c>
      <c r="D57" s="369">
        <v>837</v>
      </c>
      <c r="E57" s="369">
        <v>4508</v>
      </c>
    </row>
    <row r="58" spans="2:5" hidden="1" outlineLevel="1" x14ac:dyDescent="0.25">
      <c r="B58" s="368">
        <v>41760</v>
      </c>
      <c r="C58" s="369">
        <v>3405</v>
      </c>
      <c r="D58" s="369">
        <v>637</v>
      </c>
      <c r="E58" s="369">
        <v>4042</v>
      </c>
    </row>
    <row r="59" spans="2:5" hidden="1" outlineLevel="1" x14ac:dyDescent="0.25">
      <c r="B59" s="368">
        <v>41791</v>
      </c>
      <c r="C59" s="369">
        <v>3448</v>
      </c>
      <c r="D59" s="369">
        <v>551</v>
      </c>
      <c r="E59" s="369">
        <v>3999</v>
      </c>
    </row>
    <row r="60" spans="2:5" hidden="1" outlineLevel="1" x14ac:dyDescent="0.25">
      <c r="B60" s="368">
        <v>41821</v>
      </c>
      <c r="C60" s="369">
        <v>3132</v>
      </c>
      <c r="D60" s="369">
        <v>431</v>
      </c>
      <c r="E60" s="369">
        <v>3563</v>
      </c>
    </row>
    <row r="61" spans="2:5" hidden="1" outlineLevel="1" x14ac:dyDescent="0.25">
      <c r="B61" s="368">
        <v>41852</v>
      </c>
      <c r="C61" s="369">
        <v>3702</v>
      </c>
      <c r="D61" s="369">
        <v>437</v>
      </c>
      <c r="E61" s="369">
        <v>4139</v>
      </c>
    </row>
    <row r="62" spans="2:5" hidden="1" outlineLevel="1" x14ac:dyDescent="0.25">
      <c r="B62" s="368">
        <v>41883</v>
      </c>
      <c r="C62" s="369">
        <v>4118</v>
      </c>
      <c r="D62" s="369">
        <v>391</v>
      </c>
      <c r="E62" s="369">
        <v>4509</v>
      </c>
    </row>
    <row r="63" spans="2:5" hidden="1" outlineLevel="1" x14ac:dyDescent="0.25">
      <c r="B63" s="368">
        <v>41913</v>
      </c>
      <c r="C63" s="369">
        <v>4714</v>
      </c>
      <c r="D63" s="369">
        <v>491</v>
      </c>
      <c r="E63" s="369">
        <v>5205</v>
      </c>
    </row>
    <row r="64" spans="2:5" hidden="1" outlineLevel="1" x14ac:dyDescent="0.25">
      <c r="B64" s="368">
        <v>41944</v>
      </c>
      <c r="C64" s="369">
        <v>4499</v>
      </c>
      <c r="D64" s="369">
        <v>402</v>
      </c>
      <c r="E64" s="369">
        <v>4901</v>
      </c>
    </row>
    <row r="65" spans="2:5" hidden="1" outlineLevel="1" x14ac:dyDescent="0.25">
      <c r="B65" s="368">
        <v>41974</v>
      </c>
      <c r="C65" s="369">
        <v>4587</v>
      </c>
      <c r="D65" s="369">
        <v>501</v>
      </c>
      <c r="E65" s="369">
        <v>5088</v>
      </c>
    </row>
    <row r="66" spans="2:5" collapsed="1" x14ac:dyDescent="0.25">
      <c r="B66" s="290" t="s">
        <v>39</v>
      </c>
      <c r="C66" s="289">
        <v>44254</v>
      </c>
      <c r="D66" s="289">
        <v>5771</v>
      </c>
      <c r="E66" s="289">
        <v>50025</v>
      </c>
    </row>
    <row r="67" spans="2:5" hidden="1" outlineLevel="1" x14ac:dyDescent="0.25">
      <c r="B67" s="368">
        <v>42005</v>
      </c>
      <c r="C67" s="369">
        <v>3692</v>
      </c>
      <c r="D67" s="369">
        <v>452</v>
      </c>
      <c r="E67" s="369">
        <v>4144</v>
      </c>
    </row>
    <row r="68" spans="2:5" hidden="1" outlineLevel="1" x14ac:dyDescent="0.25">
      <c r="B68" s="368">
        <v>42036</v>
      </c>
      <c r="C68" s="369">
        <v>3089</v>
      </c>
      <c r="D68" s="369">
        <v>314</v>
      </c>
      <c r="E68" s="369">
        <v>3403</v>
      </c>
    </row>
    <row r="69" spans="2:5" hidden="1" outlineLevel="1" x14ac:dyDescent="0.25">
      <c r="B69" s="368">
        <v>42064</v>
      </c>
      <c r="C69" s="369">
        <v>3959</v>
      </c>
      <c r="D69" s="369">
        <v>437</v>
      </c>
      <c r="E69" s="369">
        <v>4396</v>
      </c>
    </row>
    <row r="70" spans="2:5" hidden="1" outlineLevel="1" x14ac:dyDescent="0.25">
      <c r="B70" s="368">
        <v>42095</v>
      </c>
      <c r="C70" s="369">
        <v>4199</v>
      </c>
      <c r="D70" s="369">
        <v>418</v>
      </c>
      <c r="E70" s="369">
        <v>4617</v>
      </c>
    </row>
    <row r="71" spans="2:5" hidden="1" outlineLevel="1" x14ac:dyDescent="0.25">
      <c r="B71" s="368">
        <v>42125</v>
      </c>
      <c r="C71" s="369">
        <v>3877</v>
      </c>
      <c r="D71" s="369">
        <v>527</v>
      </c>
      <c r="E71" s="369">
        <v>4404</v>
      </c>
    </row>
    <row r="72" spans="2:5" hidden="1" outlineLevel="1" x14ac:dyDescent="0.25">
      <c r="B72" s="368">
        <v>42156</v>
      </c>
      <c r="C72" s="369">
        <v>4140</v>
      </c>
      <c r="D72" s="369">
        <v>642</v>
      </c>
      <c r="E72" s="369">
        <v>4782</v>
      </c>
    </row>
    <row r="73" spans="2:5" hidden="1" outlineLevel="1" x14ac:dyDescent="0.25">
      <c r="B73" s="368">
        <v>42186</v>
      </c>
      <c r="C73" s="369">
        <v>3415</v>
      </c>
      <c r="D73" s="369">
        <v>391</v>
      </c>
      <c r="E73" s="369">
        <v>3806</v>
      </c>
    </row>
    <row r="74" spans="2:5" hidden="1" outlineLevel="1" x14ac:dyDescent="0.25">
      <c r="B74" s="368">
        <v>42217</v>
      </c>
      <c r="C74" s="369">
        <v>6058</v>
      </c>
      <c r="D74" s="369">
        <v>393</v>
      </c>
      <c r="E74" s="369">
        <v>6451</v>
      </c>
    </row>
    <row r="75" spans="2:5" hidden="1" outlineLevel="1" x14ac:dyDescent="0.25">
      <c r="B75" s="368">
        <v>42248</v>
      </c>
      <c r="C75" s="369">
        <v>5036</v>
      </c>
      <c r="D75" s="369">
        <v>579</v>
      </c>
      <c r="E75" s="369">
        <v>5615</v>
      </c>
    </row>
    <row r="76" spans="2:5" hidden="1" outlineLevel="1" x14ac:dyDescent="0.25">
      <c r="B76" s="368">
        <v>42278</v>
      </c>
      <c r="C76" s="369">
        <v>4175</v>
      </c>
      <c r="D76" s="369">
        <v>552</v>
      </c>
      <c r="E76" s="369">
        <v>4727</v>
      </c>
    </row>
    <row r="77" spans="2:5" hidden="1" outlineLevel="1" x14ac:dyDescent="0.25">
      <c r="B77" s="368">
        <v>42309</v>
      </c>
      <c r="C77" s="369">
        <v>5394</v>
      </c>
      <c r="D77" s="369">
        <v>555</v>
      </c>
      <c r="E77" s="369">
        <v>5949</v>
      </c>
    </row>
    <row r="78" spans="2:5" hidden="1" outlineLevel="1" x14ac:dyDescent="0.25">
      <c r="B78" s="368">
        <v>42339</v>
      </c>
      <c r="C78" s="369">
        <v>4616</v>
      </c>
      <c r="D78" s="369">
        <v>704</v>
      </c>
      <c r="E78" s="369">
        <v>5320</v>
      </c>
    </row>
    <row r="79" spans="2:5" collapsed="1" x14ac:dyDescent="0.25">
      <c r="B79" s="290" t="s">
        <v>41</v>
      </c>
      <c r="C79" s="289">
        <v>51650</v>
      </c>
      <c r="D79" s="289">
        <v>5964</v>
      </c>
      <c r="E79" s="289">
        <v>57614</v>
      </c>
    </row>
    <row r="80" spans="2:5" hidden="1" outlineLevel="1" x14ac:dyDescent="0.25">
      <c r="B80" s="368">
        <v>42370</v>
      </c>
      <c r="C80" s="369">
        <v>4090</v>
      </c>
      <c r="D80" s="369">
        <v>834</v>
      </c>
      <c r="E80" s="369">
        <v>4924</v>
      </c>
    </row>
    <row r="81" spans="2:5" hidden="1" outlineLevel="1" x14ac:dyDescent="0.25">
      <c r="B81" s="368">
        <v>42401</v>
      </c>
      <c r="C81" s="369">
        <v>3843</v>
      </c>
      <c r="D81" s="369">
        <v>401</v>
      </c>
      <c r="E81" s="369">
        <v>4244</v>
      </c>
    </row>
    <row r="82" spans="2:5" hidden="1" outlineLevel="1" x14ac:dyDescent="0.25">
      <c r="B82" s="368">
        <v>42430</v>
      </c>
      <c r="C82" s="369">
        <v>5145</v>
      </c>
      <c r="D82" s="369">
        <v>878</v>
      </c>
      <c r="E82" s="369">
        <v>6023</v>
      </c>
    </row>
    <row r="83" spans="2:5" hidden="1" outlineLevel="1" x14ac:dyDescent="0.25">
      <c r="B83" s="368">
        <v>42461</v>
      </c>
      <c r="C83" s="369">
        <v>4415</v>
      </c>
      <c r="D83" s="369">
        <v>636</v>
      </c>
      <c r="E83" s="369">
        <v>5051</v>
      </c>
    </row>
    <row r="84" spans="2:5" hidden="1" outlineLevel="1" x14ac:dyDescent="0.25">
      <c r="B84" s="368">
        <v>42491</v>
      </c>
      <c r="C84" s="369">
        <v>4663</v>
      </c>
      <c r="D84" s="369">
        <v>700</v>
      </c>
      <c r="E84" s="369">
        <v>5363</v>
      </c>
    </row>
    <row r="85" spans="2:5" hidden="1" outlineLevel="1" x14ac:dyDescent="0.25">
      <c r="B85" s="368">
        <v>42522</v>
      </c>
      <c r="C85" s="369">
        <v>3794</v>
      </c>
      <c r="D85" s="369">
        <v>507</v>
      </c>
      <c r="E85" s="369">
        <v>4301</v>
      </c>
    </row>
    <row r="86" spans="2:5" hidden="1" outlineLevel="1" x14ac:dyDescent="0.25">
      <c r="B86" s="368">
        <v>42552</v>
      </c>
      <c r="C86" s="369">
        <v>4438</v>
      </c>
      <c r="D86" s="369">
        <v>635</v>
      </c>
      <c r="E86" s="369">
        <v>5073</v>
      </c>
    </row>
    <row r="87" spans="2:5" hidden="1" outlineLevel="1" x14ac:dyDescent="0.25">
      <c r="B87" s="368">
        <v>42583</v>
      </c>
      <c r="C87" s="369">
        <v>4694</v>
      </c>
      <c r="D87" s="369">
        <v>856</v>
      </c>
      <c r="E87" s="369">
        <v>5550</v>
      </c>
    </row>
    <row r="88" spans="2:5" hidden="1" outlineLevel="1" x14ac:dyDescent="0.25">
      <c r="B88" s="368">
        <v>42614</v>
      </c>
      <c r="C88" s="369">
        <v>4579</v>
      </c>
      <c r="D88" s="369">
        <v>914</v>
      </c>
      <c r="E88" s="369">
        <v>5493</v>
      </c>
    </row>
    <row r="89" spans="2:5" hidden="1" outlineLevel="1" x14ac:dyDescent="0.25">
      <c r="B89" s="368">
        <v>42644</v>
      </c>
      <c r="C89" s="369">
        <v>4407</v>
      </c>
      <c r="D89" s="369">
        <v>866</v>
      </c>
      <c r="E89" s="369">
        <v>5273</v>
      </c>
    </row>
    <row r="90" spans="2:5" hidden="1" outlineLevel="1" x14ac:dyDescent="0.25">
      <c r="B90" s="368">
        <v>42675</v>
      </c>
      <c r="C90" s="369">
        <v>3689</v>
      </c>
      <c r="D90" s="369">
        <v>1064</v>
      </c>
      <c r="E90" s="369">
        <v>4753</v>
      </c>
    </row>
    <row r="91" spans="2:5" hidden="1" outlineLevel="1" x14ac:dyDescent="0.25">
      <c r="B91" s="368">
        <v>42705</v>
      </c>
      <c r="C91" s="369">
        <v>5295</v>
      </c>
      <c r="D91" s="369">
        <v>451</v>
      </c>
      <c r="E91" s="369">
        <v>5746</v>
      </c>
    </row>
    <row r="92" spans="2:5" collapsed="1" x14ac:dyDescent="0.25">
      <c r="B92" s="291" t="s">
        <v>58</v>
      </c>
      <c r="C92" s="289">
        <v>53052</v>
      </c>
      <c r="D92" s="289">
        <v>8742</v>
      </c>
      <c r="E92" s="289">
        <v>61794</v>
      </c>
    </row>
    <row r="93" spans="2:5" hidden="1" outlineLevel="1" x14ac:dyDescent="0.25">
      <c r="B93" s="368">
        <v>42736</v>
      </c>
      <c r="C93" s="369">
        <v>4977</v>
      </c>
      <c r="D93" s="369">
        <v>661</v>
      </c>
      <c r="E93" s="369">
        <v>5638</v>
      </c>
    </row>
    <row r="94" spans="2:5" hidden="1" outlineLevel="1" x14ac:dyDescent="0.25">
      <c r="B94" s="368">
        <v>42767</v>
      </c>
      <c r="C94" s="369">
        <v>4428</v>
      </c>
      <c r="D94" s="369">
        <v>663</v>
      </c>
      <c r="E94" s="369">
        <v>5091</v>
      </c>
    </row>
    <row r="95" spans="2:5" hidden="1" outlineLevel="1" x14ac:dyDescent="0.25">
      <c r="B95" s="368">
        <v>42795</v>
      </c>
      <c r="C95" s="369">
        <v>4154</v>
      </c>
      <c r="D95" s="369">
        <v>749</v>
      </c>
      <c r="E95" s="369">
        <v>4903</v>
      </c>
    </row>
    <row r="96" spans="2:5" hidden="1" outlineLevel="1" x14ac:dyDescent="0.25">
      <c r="B96" s="368">
        <v>42826</v>
      </c>
      <c r="C96" s="369">
        <v>4708</v>
      </c>
      <c r="D96" s="369">
        <v>760</v>
      </c>
      <c r="E96" s="369">
        <v>5468</v>
      </c>
    </row>
    <row r="97" spans="2:5" hidden="1" outlineLevel="1" x14ac:dyDescent="0.25">
      <c r="B97" s="368">
        <v>42856</v>
      </c>
      <c r="C97" s="369">
        <v>4913</v>
      </c>
      <c r="D97" s="369">
        <v>812</v>
      </c>
      <c r="E97" s="369">
        <v>5725</v>
      </c>
    </row>
    <row r="98" spans="2:5" hidden="1" outlineLevel="1" x14ac:dyDescent="0.25">
      <c r="B98" s="368">
        <v>42887</v>
      </c>
      <c r="C98" s="369">
        <v>4045</v>
      </c>
      <c r="D98" s="369">
        <v>1056</v>
      </c>
      <c r="E98" s="369">
        <v>5101</v>
      </c>
    </row>
    <row r="99" spans="2:5" hidden="1" outlineLevel="1" x14ac:dyDescent="0.25">
      <c r="B99" s="368">
        <v>42917</v>
      </c>
      <c r="C99" s="369">
        <v>4769</v>
      </c>
      <c r="D99" s="369">
        <v>753</v>
      </c>
      <c r="E99" s="369">
        <v>5522</v>
      </c>
    </row>
    <row r="100" spans="2:5" hidden="1" outlineLevel="1" x14ac:dyDescent="0.25">
      <c r="B100" s="368">
        <v>42948</v>
      </c>
      <c r="C100" s="369">
        <v>5278</v>
      </c>
      <c r="D100" s="369">
        <v>817</v>
      </c>
      <c r="E100" s="369">
        <v>6095</v>
      </c>
    </row>
    <row r="101" spans="2:5" hidden="1" outlineLevel="1" x14ac:dyDescent="0.25">
      <c r="B101" s="368">
        <v>42979</v>
      </c>
      <c r="C101" s="369">
        <v>3974</v>
      </c>
      <c r="D101" s="369">
        <v>593</v>
      </c>
      <c r="E101" s="369">
        <v>4567</v>
      </c>
    </row>
    <row r="102" spans="2:5" hidden="1" outlineLevel="1" x14ac:dyDescent="0.25">
      <c r="B102" s="368">
        <v>43009</v>
      </c>
      <c r="C102" s="369">
        <v>6946</v>
      </c>
      <c r="D102" s="369">
        <v>1191</v>
      </c>
      <c r="E102" s="369">
        <v>8137</v>
      </c>
    </row>
    <row r="103" spans="2:5" hidden="1" outlineLevel="1" x14ac:dyDescent="0.25">
      <c r="B103" s="368">
        <v>43040</v>
      </c>
      <c r="C103" s="369">
        <v>5299</v>
      </c>
      <c r="D103" s="369">
        <v>833</v>
      </c>
      <c r="E103" s="369">
        <v>6132</v>
      </c>
    </row>
    <row r="104" spans="2:5" hidden="1" outlineLevel="1" x14ac:dyDescent="0.25">
      <c r="B104" s="368">
        <v>43070</v>
      </c>
      <c r="C104" s="369">
        <v>4958</v>
      </c>
      <c r="D104" s="369">
        <v>795</v>
      </c>
      <c r="E104" s="369">
        <v>5753</v>
      </c>
    </row>
    <row r="105" spans="2:5" collapsed="1" x14ac:dyDescent="0.25">
      <c r="B105" s="291" t="s">
        <v>61</v>
      </c>
      <c r="C105" s="289">
        <v>84754</v>
      </c>
      <c r="D105" s="289">
        <v>9683</v>
      </c>
      <c r="E105" s="289">
        <v>94437</v>
      </c>
    </row>
    <row r="106" spans="2:5" hidden="1" outlineLevel="1" x14ac:dyDescent="0.25">
      <c r="B106" s="368">
        <v>43101</v>
      </c>
      <c r="C106" s="369">
        <v>5007</v>
      </c>
      <c r="D106" s="369">
        <v>965</v>
      </c>
      <c r="E106" s="369">
        <v>5972</v>
      </c>
    </row>
    <row r="107" spans="2:5" hidden="1" outlineLevel="1" x14ac:dyDescent="0.25">
      <c r="B107" s="368">
        <v>43132</v>
      </c>
      <c r="C107" s="369">
        <v>5360</v>
      </c>
      <c r="D107" s="369">
        <v>944</v>
      </c>
      <c r="E107" s="369">
        <v>6304</v>
      </c>
    </row>
    <row r="108" spans="2:5" hidden="1" outlineLevel="1" x14ac:dyDescent="0.25">
      <c r="B108" s="368">
        <v>43160</v>
      </c>
      <c r="C108" s="369">
        <v>6203</v>
      </c>
      <c r="D108" s="369">
        <v>1124</v>
      </c>
      <c r="E108" s="369">
        <v>7327</v>
      </c>
    </row>
    <row r="109" spans="2:5" hidden="1" outlineLevel="1" x14ac:dyDescent="0.25">
      <c r="B109" s="368">
        <v>43191</v>
      </c>
      <c r="C109" s="369">
        <v>5250</v>
      </c>
      <c r="D109" s="369">
        <v>775</v>
      </c>
      <c r="E109" s="369">
        <v>6025</v>
      </c>
    </row>
    <row r="110" spans="2:5" hidden="1" outlineLevel="1" x14ac:dyDescent="0.25">
      <c r="B110" s="368">
        <v>43221</v>
      </c>
      <c r="C110" s="369">
        <v>5419</v>
      </c>
      <c r="D110" s="369">
        <v>628</v>
      </c>
      <c r="E110" s="369">
        <v>6047</v>
      </c>
    </row>
    <row r="111" spans="2:5" hidden="1" outlineLevel="1" x14ac:dyDescent="0.25">
      <c r="B111" s="368">
        <v>43252</v>
      </c>
      <c r="C111" s="369">
        <v>5299</v>
      </c>
      <c r="D111" s="369">
        <v>848</v>
      </c>
      <c r="E111" s="369">
        <v>6147</v>
      </c>
    </row>
    <row r="112" spans="2:5" hidden="1" outlineLevel="1" x14ac:dyDescent="0.25">
      <c r="B112" s="368">
        <v>43282</v>
      </c>
      <c r="C112" s="369">
        <v>5273</v>
      </c>
      <c r="D112" s="369">
        <v>633</v>
      </c>
      <c r="E112" s="369">
        <v>5906</v>
      </c>
    </row>
    <row r="113" spans="2:5" hidden="1" outlineLevel="1" x14ac:dyDescent="0.25">
      <c r="B113" s="368">
        <v>43313</v>
      </c>
      <c r="C113" s="369">
        <v>5742</v>
      </c>
      <c r="D113" s="369">
        <v>364</v>
      </c>
      <c r="E113" s="369">
        <v>6106</v>
      </c>
    </row>
    <row r="114" spans="2:5" hidden="1" outlineLevel="1" x14ac:dyDescent="0.25">
      <c r="B114" s="368">
        <v>43344</v>
      </c>
      <c r="C114" s="369">
        <v>6055</v>
      </c>
      <c r="D114" s="369">
        <v>488</v>
      </c>
      <c r="E114" s="369">
        <v>6543</v>
      </c>
    </row>
    <row r="115" spans="2:5" hidden="1" outlineLevel="1" x14ac:dyDescent="0.25">
      <c r="B115" s="368">
        <v>43374</v>
      </c>
      <c r="C115" s="369">
        <v>5991</v>
      </c>
      <c r="D115" s="369">
        <v>513</v>
      </c>
      <c r="E115" s="369">
        <v>6504</v>
      </c>
    </row>
    <row r="116" spans="2:5" hidden="1" outlineLevel="1" x14ac:dyDescent="0.25">
      <c r="B116" s="368">
        <v>43405</v>
      </c>
      <c r="C116" s="369">
        <v>6396</v>
      </c>
      <c r="D116" s="369">
        <v>416</v>
      </c>
      <c r="E116" s="369">
        <v>6812</v>
      </c>
    </row>
    <row r="117" spans="2:5" hidden="1" outlineLevel="1" x14ac:dyDescent="0.25">
      <c r="B117" s="368">
        <v>43435</v>
      </c>
      <c r="C117" s="369">
        <v>5803</v>
      </c>
      <c r="D117" s="369">
        <v>345</v>
      </c>
      <c r="E117" s="369">
        <v>6148</v>
      </c>
    </row>
    <row r="118" spans="2:5" collapsed="1" x14ac:dyDescent="0.25">
      <c r="B118" s="291" t="s">
        <v>62</v>
      </c>
      <c r="C118" s="289">
        <v>67798</v>
      </c>
      <c r="D118" s="289">
        <v>8043</v>
      </c>
      <c r="E118" s="289">
        <v>75841</v>
      </c>
    </row>
    <row r="119" spans="2:5" hidden="1" outlineLevel="1" x14ac:dyDescent="0.25">
      <c r="B119" s="368">
        <v>43466</v>
      </c>
      <c r="C119" s="369">
        <v>5382</v>
      </c>
      <c r="D119" s="369">
        <v>271</v>
      </c>
      <c r="E119" s="369">
        <v>5653</v>
      </c>
    </row>
    <row r="120" spans="2:5" hidden="1" outlineLevel="1" x14ac:dyDescent="0.25">
      <c r="B120" s="368">
        <v>43497</v>
      </c>
      <c r="C120" s="369">
        <v>5714</v>
      </c>
      <c r="D120" s="369">
        <v>250</v>
      </c>
      <c r="E120" s="369">
        <v>5964</v>
      </c>
    </row>
    <row r="121" spans="2:5" hidden="1" outlineLevel="1" x14ac:dyDescent="0.25">
      <c r="B121" s="368">
        <v>43525</v>
      </c>
      <c r="C121" s="369">
        <v>5149</v>
      </c>
      <c r="D121" s="369">
        <v>433</v>
      </c>
      <c r="E121" s="369">
        <v>5582</v>
      </c>
    </row>
    <row r="122" spans="2:5" hidden="1" outlineLevel="1" x14ac:dyDescent="0.25">
      <c r="B122" s="368">
        <v>43556</v>
      </c>
      <c r="C122" s="369">
        <v>5771</v>
      </c>
      <c r="D122" s="369">
        <v>547</v>
      </c>
      <c r="E122" s="369">
        <v>6318</v>
      </c>
    </row>
    <row r="123" spans="2:5" hidden="1" outlineLevel="1" x14ac:dyDescent="0.25">
      <c r="B123" s="368">
        <v>43586</v>
      </c>
      <c r="C123" s="369">
        <v>5051</v>
      </c>
      <c r="D123" s="369">
        <v>312</v>
      </c>
      <c r="E123" s="369">
        <v>5363</v>
      </c>
    </row>
    <row r="124" spans="2:5" hidden="1" outlineLevel="1" x14ac:dyDescent="0.25">
      <c r="B124" s="368">
        <v>43617</v>
      </c>
      <c r="C124" s="369">
        <v>5467</v>
      </c>
      <c r="D124" s="369">
        <v>166</v>
      </c>
      <c r="E124" s="369">
        <v>5633</v>
      </c>
    </row>
    <row r="125" spans="2:5" hidden="1" outlineLevel="1" x14ac:dyDescent="0.25">
      <c r="B125" s="368">
        <v>43647</v>
      </c>
      <c r="C125" s="369">
        <v>5462</v>
      </c>
      <c r="D125" s="369">
        <v>423</v>
      </c>
      <c r="E125" s="369">
        <v>5885</v>
      </c>
    </row>
    <row r="126" spans="2:5" hidden="1" outlineLevel="1" x14ac:dyDescent="0.25">
      <c r="B126" s="368">
        <v>43678</v>
      </c>
      <c r="C126" s="369">
        <v>5228</v>
      </c>
      <c r="D126" s="369">
        <v>334</v>
      </c>
      <c r="E126" s="369">
        <v>5562</v>
      </c>
    </row>
    <row r="127" spans="2:5" hidden="1" outlineLevel="1" x14ac:dyDescent="0.25">
      <c r="B127" s="368">
        <v>43709</v>
      </c>
      <c r="C127" s="369">
        <v>5848</v>
      </c>
      <c r="D127" s="369">
        <v>349</v>
      </c>
      <c r="E127" s="369">
        <v>6197</v>
      </c>
    </row>
    <row r="128" spans="2:5" hidden="1" outlineLevel="1" x14ac:dyDescent="0.25">
      <c r="B128" s="368">
        <v>43739</v>
      </c>
      <c r="C128" s="369">
        <v>6655</v>
      </c>
      <c r="D128" s="369">
        <v>526</v>
      </c>
      <c r="E128" s="369">
        <v>7181</v>
      </c>
    </row>
    <row r="129" spans="2:5" hidden="1" outlineLevel="1" x14ac:dyDescent="0.25">
      <c r="B129" s="368">
        <v>43770</v>
      </c>
      <c r="C129" s="369">
        <v>3805</v>
      </c>
      <c r="D129" s="369">
        <v>128</v>
      </c>
      <c r="E129" s="369">
        <v>3933</v>
      </c>
    </row>
    <row r="130" spans="2:5" hidden="1" outlineLevel="1" x14ac:dyDescent="0.25">
      <c r="B130" s="368">
        <v>43800</v>
      </c>
      <c r="C130" s="369">
        <v>6358</v>
      </c>
      <c r="D130" s="369">
        <v>299</v>
      </c>
      <c r="E130" s="369">
        <v>6657</v>
      </c>
    </row>
    <row r="131" spans="2:5" collapsed="1" x14ac:dyDescent="0.25">
      <c r="B131" s="291" t="s">
        <v>63</v>
      </c>
      <c r="C131" s="289">
        <v>65890</v>
      </c>
      <c r="D131" s="289">
        <v>4038</v>
      </c>
      <c r="E131" s="289">
        <v>69928</v>
      </c>
    </row>
    <row r="132" spans="2:5" hidden="1" outlineLevel="1" x14ac:dyDescent="0.25">
      <c r="B132" s="368">
        <v>43831</v>
      </c>
      <c r="C132" s="369">
        <v>6973</v>
      </c>
      <c r="D132" s="369">
        <v>334</v>
      </c>
      <c r="E132" s="369">
        <v>7307</v>
      </c>
    </row>
    <row r="133" spans="2:5" hidden="1" outlineLevel="1" x14ac:dyDescent="0.25">
      <c r="B133" s="368">
        <v>43862</v>
      </c>
      <c r="C133" s="369">
        <v>6865</v>
      </c>
      <c r="D133" s="369">
        <v>510</v>
      </c>
      <c r="E133" s="369">
        <v>7375</v>
      </c>
    </row>
    <row r="134" spans="2:5" hidden="1" outlineLevel="1" x14ac:dyDescent="0.25">
      <c r="B134" s="368">
        <v>43891</v>
      </c>
      <c r="C134" s="369">
        <v>6450</v>
      </c>
      <c r="D134" s="369">
        <v>524</v>
      </c>
      <c r="E134" s="369">
        <v>6974</v>
      </c>
    </row>
    <row r="135" spans="2:5" hidden="1" outlineLevel="1" x14ac:dyDescent="0.25">
      <c r="B135" s="368">
        <v>43922</v>
      </c>
      <c r="C135" s="369">
        <v>3120</v>
      </c>
      <c r="D135" s="369">
        <v>427</v>
      </c>
      <c r="E135" s="369">
        <v>3547</v>
      </c>
    </row>
    <row r="136" spans="2:5" hidden="1" outlineLevel="1" x14ac:dyDescent="0.25">
      <c r="B136" s="368">
        <v>43952</v>
      </c>
      <c r="C136" s="369">
        <v>3668</v>
      </c>
      <c r="D136" s="369">
        <v>336</v>
      </c>
      <c r="E136" s="369">
        <v>4004</v>
      </c>
    </row>
    <row r="137" spans="2:5" hidden="1" outlineLevel="1" x14ac:dyDescent="0.25">
      <c r="B137" s="368">
        <v>43983</v>
      </c>
      <c r="C137" s="369">
        <v>4010</v>
      </c>
      <c r="D137" s="369">
        <v>620</v>
      </c>
      <c r="E137" s="369">
        <v>4630</v>
      </c>
    </row>
    <row r="138" spans="2:5" hidden="1" outlineLevel="1" x14ac:dyDescent="0.25">
      <c r="B138" s="368">
        <v>44013</v>
      </c>
      <c r="C138" s="369">
        <v>3699</v>
      </c>
      <c r="D138" s="369">
        <v>751</v>
      </c>
      <c r="E138" s="369">
        <v>4450</v>
      </c>
    </row>
    <row r="139" spans="2:5" hidden="1" outlineLevel="1" x14ac:dyDescent="0.25">
      <c r="B139" s="368">
        <v>44044</v>
      </c>
      <c r="C139" s="369">
        <v>5600</v>
      </c>
      <c r="D139" s="369">
        <v>304</v>
      </c>
      <c r="E139" s="369">
        <v>5904</v>
      </c>
    </row>
    <row r="140" spans="2:5" hidden="1" outlineLevel="1" x14ac:dyDescent="0.25">
      <c r="B140" s="368">
        <v>44075</v>
      </c>
      <c r="C140" s="369">
        <v>6256</v>
      </c>
      <c r="D140" s="369">
        <v>329</v>
      </c>
      <c r="E140" s="369">
        <v>6585</v>
      </c>
    </row>
    <row r="141" spans="2:5" hidden="1" outlineLevel="1" x14ac:dyDescent="0.25">
      <c r="B141" s="368">
        <v>44105</v>
      </c>
      <c r="C141" s="369">
        <v>6677</v>
      </c>
      <c r="D141" s="369">
        <v>356</v>
      </c>
      <c r="E141" s="369">
        <v>7033</v>
      </c>
    </row>
    <row r="142" spans="2:5" hidden="1" outlineLevel="1" x14ac:dyDescent="0.25">
      <c r="B142" s="368">
        <v>44136</v>
      </c>
      <c r="C142" s="369">
        <v>7271</v>
      </c>
      <c r="D142" s="369">
        <v>364</v>
      </c>
      <c r="E142" s="369">
        <v>7635</v>
      </c>
    </row>
    <row r="143" spans="2:5" hidden="1" outlineLevel="1" x14ac:dyDescent="0.25">
      <c r="B143" s="368">
        <v>44166</v>
      </c>
      <c r="C143" s="369">
        <v>7060</v>
      </c>
      <c r="D143" s="369">
        <v>369</v>
      </c>
      <c r="E143" s="369">
        <v>7429</v>
      </c>
    </row>
    <row r="144" spans="2:5" collapsed="1" x14ac:dyDescent="0.25">
      <c r="B144" s="291" t="s">
        <v>67</v>
      </c>
      <c r="C144" s="289">
        <v>67649</v>
      </c>
      <c r="D144" s="289">
        <v>5224</v>
      </c>
      <c r="E144" s="289">
        <v>72873</v>
      </c>
    </row>
    <row r="145" spans="2:5" hidden="1" outlineLevel="1" x14ac:dyDescent="0.25">
      <c r="B145" s="368">
        <v>44197</v>
      </c>
      <c r="C145" s="369">
        <v>5872</v>
      </c>
      <c r="D145" s="369">
        <v>407</v>
      </c>
      <c r="E145" s="369">
        <v>6279</v>
      </c>
    </row>
    <row r="146" spans="2:5" hidden="1" outlineLevel="1" x14ac:dyDescent="0.25">
      <c r="B146" s="368">
        <v>44228</v>
      </c>
      <c r="C146" s="369">
        <v>6398</v>
      </c>
      <c r="D146" s="369">
        <v>336</v>
      </c>
      <c r="E146" s="369">
        <v>6734</v>
      </c>
    </row>
    <row r="147" spans="2:5" hidden="1" outlineLevel="1" x14ac:dyDescent="0.25">
      <c r="B147" s="368">
        <v>44256</v>
      </c>
      <c r="C147" s="369">
        <v>6284</v>
      </c>
      <c r="D147" s="369">
        <v>400</v>
      </c>
      <c r="E147" s="369">
        <v>6684</v>
      </c>
    </row>
    <row r="148" spans="2:5" hidden="1" outlineLevel="1" x14ac:dyDescent="0.25">
      <c r="B148" s="368">
        <v>44287</v>
      </c>
      <c r="C148" s="369">
        <v>5645</v>
      </c>
      <c r="D148" s="369">
        <v>429</v>
      </c>
      <c r="E148" s="369">
        <v>6074</v>
      </c>
    </row>
    <row r="149" spans="2:5" hidden="1" outlineLevel="1" x14ac:dyDescent="0.25">
      <c r="B149" s="368">
        <v>44317</v>
      </c>
      <c r="C149" s="369">
        <v>6254</v>
      </c>
      <c r="D149" s="369">
        <v>475</v>
      </c>
      <c r="E149" s="369">
        <v>6729</v>
      </c>
    </row>
    <row r="150" spans="2:5" hidden="1" outlineLevel="1" x14ac:dyDescent="0.25">
      <c r="B150" s="368">
        <v>44348</v>
      </c>
      <c r="C150" s="369">
        <v>6456</v>
      </c>
      <c r="D150" s="369">
        <v>551</v>
      </c>
      <c r="E150" s="369">
        <v>7007</v>
      </c>
    </row>
    <row r="151" spans="2:5" hidden="1" outlineLevel="1" x14ac:dyDescent="0.25">
      <c r="B151" s="368">
        <v>44378</v>
      </c>
      <c r="C151" s="369">
        <v>6122</v>
      </c>
      <c r="D151" s="369">
        <v>574</v>
      </c>
      <c r="E151" s="369">
        <v>6696</v>
      </c>
    </row>
    <row r="152" spans="2:5" hidden="1" outlineLevel="1" x14ac:dyDescent="0.25">
      <c r="B152" s="368">
        <v>44409</v>
      </c>
      <c r="C152" s="369">
        <v>7688</v>
      </c>
      <c r="D152" s="369">
        <v>653</v>
      </c>
      <c r="E152" s="369">
        <v>8341</v>
      </c>
    </row>
    <row r="153" spans="2:5" hidden="1" outlineLevel="1" x14ac:dyDescent="0.25">
      <c r="B153" s="368">
        <v>44440</v>
      </c>
      <c r="C153" s="369">
        <v>7542</v>
      </c>
      <c r="D153" s="369">
        <v>649</v>
      </c>
      <c r="E153" s="369">
        <v>8191</v>
      </c>
    </row>
    <row r="154" spans="2:5" hidden="1" outlineLevel="1" x14ac:dyDescent="0.25">
      <c r="B154" s="368">
        <v>44470</v>
      </c>
      <c r="C154" s="369">
        <v>7921</v>
      </c>
      <c r="D154" s="369">
        <v>672</v>
      </c>
      <c r="E154" s="369">
        <v>8593</v>
      </c>
    </row>
    <row r="155" spans="2:5" hidden="1" outlineLevel="1" x14ac:dyDescent="0.25">
      <c r="B155" s="368">
        <v>44501</v>
      </c>
      <c r="C155" s="369">
        <v>7649</v>
      </c>
      <c r="D155" s="369">
        <v>641</v>
      </c>
      <c r="E155" s="369">
        <v>8290</v>
      </c>
    </row>
    <row r="156" spans="2:5" hidden="1" outlineLevel="1" x14ac:dyDescent="0.25">
      <c r="B156" s="368">
        <v>44531</v>
      </c>
      <c r="C156" s="369">
        <v>7848</v>
      </c>
      <c r="D156" s="369">
        <v>528</v>
      </c>
      <c r="E156" s="369">
        <v>8376</v>
      </c>
    </row>
    <row r="157" spans="2:5" collapsed="1" x14ac:dyDescent="0.25">
      <c r="B157" s="291" t="s">
        <v>68</v>
      </c>
      <c r="C157" s="289">
        <v>81679</v>
      </c>
      <c r="D157" s="289">
        <v>6315</v>
      </c>
      <c r="E157" s="289">
        <v>87994</v>
      </c>
    </row>
    <row r="158" spans="2:5" outlineLevel="1" x14ac:dyDescent="0.25">
      <c r="B158" s="368">
        <v>44562</v>
      </c>
      <c r="C158" s="369">
        <v>7668</v>
      </c>
      <c r="D158" s="369">
        <v>503</v>
      </c>
      <c r="E158" s="369">
        <v>8171</v>
      </c>
    </row>
    <row r="159" spans="2:5" outlineLevel="1" x14ac:dyDescent="0.25">
      <c r="B159" s="368">
        <v>44593</v>
      </c>
      <c r="C159" s="369">
        <v>10374</v>
      </c>
      <c r="D159" s="369">
        <v>972</v>
      </c>
      <c r="E159" s="369">
        <v>11346</v>
      </c>
    </row>
    <row r="160" spans="2:5" outlineLevel="1" x14ac:dyDescent="0.25">
      <c r="B160" s="368">
        <v>44621</v>
      </c>
      <c r="C160" s="369">
        <v>9515</v>
      </c>
      <c r="D160" s="369">
        <v>881</v>
      </c>
      <c r="E160" s="369">
        <v>10396</v>
      </c>
    </row>
    <row r="161" spans="2:5" outlineLevel="1" x14ac:dyDescent="0.25">
      <c r="B161" s="368">
        <v>44652</v>
      </c>
      <c r="C161" s="369">
        <v>11485</v>
      </c>
      <c r="D161" s="369">
        <v>221</v>
      </c>
      <c r="E161" s="369">
        <v>11706</v>
      </c>
    </row>
    <row r="162" spans="2:5" outlineLevel="1" x14ac:dyDescent="0.25">
      <c r="B162" s="368">
        <v>44682</v>
      </c>
      <c r="C162" s="369">
        <v>8749</v>
      </c>
      <c r="D162" s="369">
        <v>469</v>
      </c>
      <c r="E162" s="369">
        <v>9218</v>
      </c>
    </row>
    <row r="163" spans="2:5" outlineLevel="1" x14ac:dyDescent="0.25">
      <c r="B163" s="368">
        <v>44713</v>
      </c>
      <c r="C163" s="369">
        <v>8701</v>
      </c>
      <c r="D163" s="369">
        <v>364</v>
      </c>
      <c r="E163" s="369">
        <v>9065</v>
      </c>
    </row>
    <row r="164" spans="2:5" outlineLevel="1" x14ac:dyDescent="0.25">
      <c r="B164" s="368">
        <v>44743</v>
      </c>
      <c r="C164" s="369">
        <v>7724</v>
      </c>
      <c r="D164" s="369">
        <v>364</v>
      </c>
      <c r="E164" s="369">
        <v>8088</v>
      </c>
    </row>
    <row r="165" spans="2:5" outlineLevel="1" x14ac:dyDescent="0.25">
      <c r="B165" s="368">
        <v>44774</v>
      </c>
      <c r="C165" s="369">
        <v>12287</v>
      </c>
      <c r="D165" s="369">
        <v>1895</v>
      </c>
      <c r="E165" s="369">
        <v>14182</v>
      </c>
    </row>
    <row r="166" spans="2:5" outlineLevel="1" x14ac:dyDescent="0.25">
      <c r="B166" s="368">
        <v>44805</v>
      </c>
      <c r="C166" s="369">
        <v>6504</v>
      </c>
      <c r="D166" s="369">
        <v>681</v>
      </c>
      <c r="E166" s="369">
        <v>7185</v>
      </c>
    </row>
    <row r="167" spans="2:5" outlineLevel="1" x14ac:dyDescent="0.25">
      <c r="B167" s="368">
        <v>44835</v>
      </c>
      <c r="C167" s="369">
        <v>10957</v>
      </c>
      <c r="D167" s="369">
        <v>584</v>
      </c>
      <c r="E167" s="369">
        <v>11541</v>
      </c>
    </row>
    <row r="168" spans="2:5" outlineLevel="1" x14ac:dyDescent="0.25">
      <c r="B168" s="368">
        <v>44866</v>
      </c>
      <c r="C168" s="369">
        <v>11167</v>
      </c>
      <c r="D168" s="369">
        <v>843</v>
      </c>
      <c r="E168" s="369">
        <v>12010</v>
      </c>
    </row>
    <row r="169" spans="2:5" outlineLevel="1" x14ac:dyDescent="0.25">
      <c r="B169" s="368">
        <v>44896</v>
      </c>
      <c r="C169" s="369">
        <v>10298</v>
      </c>
      <c r="D169" s="369">
        <v>642</v>
      </c>
      <c r="E169" s="369">
        <v>10940</v>
      </c>
    </row>
    <row r="170" spans="2:5" x14ac:dyDescent="0.25">
      <c r="B170" s="292" t="s">
        <v>69</v>
      </c>
      <c r="C170" s="289">
        <v>115429</v>
      </c>
      <c r="D170" s="289">
        <v>8419</v>
      </c>
      <c r="E170" s="289">
        <v>123848</v>
      </c>
    </row>
    <row r="171" spans="2:5" outlineLevel="1" x14ac:dyDescent="0.25">
      <c r="B171" s="368">
        <v>44927</v>
      </c>
      <c r="C171" s="369">
        <v>7455</v>
      </c>
      <c r="D171" s="369">
        <v>326</v>
      </c>
      <c r="E171" s="369">
        <v>7781</v>
      </c>
    </row>
    <row r="172" spans="2:5" outlineLevel="1" x14ac:dyDescent="0.25">
      <c r="B172" s="368">
        <v>44958</v>
      </c>
      <c r="C172" s="369">
        <v>9107</v>
      </c>
      <c r="D172" s="369">
        <v>532</v>
      </c>
      <c r="E172" s="369">
        <v>9639</v>
      </c>
    </row>
    <row r="173" spans="2:5" outlineLevel="1" x14ac:dyDescent="0.25">
      <c r="B173" s="368">
        <v>44986</v>
      </c>
      <c r="C173" s="369">
        <v>7118</v>
      </c>
      <c r="D173" s="369">
        <v>288</v>
      </c>
      <c r="E173" s="369">
        <v>7406</v>
      </c>
    </row>
    <row r="174" spans="2:5" outlineLevel="1" x14ac:dyDescent="0.25">
      <c r="B174" s="368">
        <v>45017</v>
      </c>
      <c r="C174" s="369">
        <v>10283</v>
      </c>
      <c r="D174" s="369">
        <v>783</v>
      </c>
      <c r="E174" s="369">
        <v>11066</v>
      </c>
    </row>
    <row r="175" spans="2:5" outlineLevel="1" x14ac:dyDescent="0.25">
      <c r="B175" s="368">
        <v>45047</v>
      </c>
      <c r="C175" s="369">
        <v>7023</v>
      </c>
      <c r="D175" s="369">
        <v>470</v>
      </c>
      <c r="E175" s="369">
        <v>7493</v>
      </c>
    </row>
    <row r="176" spans="2:5" outlineLevel="1" x14ac:dyDescent="0.25">
      <c r="B176" s="368">
        <v>45078</v>
      </c>
      <c r="C176" s="369">
        <v>7053</v>
      </c>
      <c r="D176" s="369">
        <v>490</v>
      </c>
      <c r="E176" s="369">
        <v>7543</v>
      </c>
    </row>
    <row r="177" spans="2:10" outlineLevel="1" x14ac:dyDescent="0.25">
      <c r="B177" s="368">
        <v>45108</v>
      </c>
      <c r="C177" s="369">
        <v>6808</v>
      </c>
      <c r="D177" s="369">
        <v>277</v>
      </c>
      <c r="E177" s="369">
        <v>7085</v>
      </c>
    </row>
    <row r="178" spans="2:10" outlineLevel="1" x14ac:dyDescent="0.25">
      <c r="B178" s="368">
        <v>45139</v>
      </c>
      <c r="C178" s="369">
        <v>8294</v>
      </c>
      <c r="D178" s="369">
        <v>463</v>
      </c>
      <c r="E178" s="369">
        <v>8757</v>
      </c>
    </row>
    <row r="179" spans="2:10" outlineLevel="1" x14ac:dyDescent="0.25">
      <c r="B179" s="368">
        <v>45170</v>
      </c>
      <c r="C179" s="369">
        <v>8074</v>
      </c>
      <c r="D179" s="369">
        <v>279</v>
      </c>
      <c r="E179" s="369">
        <v>8353</v>
      </c>
    </row>
    <row r="180" spans="2:10" ht="30" x14ac:dyDescent="0.25">
      <c r="B180" s="241" t="s">
        <v>870</v>
      </c>
      <c r="C180" s="289">
        <v>71215</v>
      </c>
      <c r="D180" s="289">
        <v>3908</v>
      </c>
      <c r="E180" s="289">
        <v>75123</v>
      </c>
    </row>
    <row r="181" spans="2:10" x14ac:dyDescent="0.25">
      <c r="B181" s="292" t="s">
        <v>491</v>
      </c>
      <c r="C181" s="289">
        <v>990261</v>
      </c>
      <c r="D181" s="289">
        <v>66107</v>
      </c>
      <c r="E181" s="289">
        <v>1056368</v>
      </c>
    </row>
    <row r="182" spans="2:10" x14ac:dyDescent="0.25">
      <c r="B182" s="4" t="s">
        <v>868</v>
      </c>
    </row>
    <row r="184" spans="2:10" ht="18.75" x14ac:dyDescent="0.3">
      <c r="B184" s="2" t="s">
        <v>737</v>
      </c>
      <c r="C184" s="2"/>
      <c r="D184" s="2"/>
      <c r="E184" s="2"/>
    </row>
    <row r="185" spans="2:10" x14ac:dyDescent="0.25">
      <c r="B185" s="3" t="s">
        <v>869</v>
      </c>
    </row>
    <row r="187" spans="2:10" ht="31.5" customHeight="1" x14ac:dyDescent="0.25">
      <c r="B187" s="482" t="s">
        <v>476</v>
      </c>
      <c r="C187" s="484" t="s">
        <v>738</v>
      </c>
      <c r="D187" s="478"/>
      <c r="E187" s="484" t="s">
        <v>739</v>
      </c>
      <c r="F187" s="478"/>
      <c r="G187" s="477" t="s">
        <v>736</v>
      </c>
      <c r="H187" s="478"/>
      <c r="I187" s="477" t="s">
        <v>28</v>
      </c>
      <c r="J187" s="478"/>
    </row>
    <row r="188" spans="2:10" x14ac:dyDescent="0.25">
      <c r="B188" s="483"/>
      <c r="C188" s="248" t="s">
        <v>730</v>
      </c>
      <c r="D188" s="248" t="s">
        <v>728</v>
      </c>
      <c r="E188" s="248" t="s">
        <v>730</v>
      </c>
      <c r="F188" s="248" t="s">
        <v>728</v>
      </c>
      <c r="G188" s="248" t="s">
        <v>730</v>
      </c>
      <c r="H188" s="248" t="s">
        <v>728</v>
      </c>
      <c r="I188" s="248" t="s">
        <v>730</v>
      </c>
      <c r="J188" s="248" t="s">
        <v>728</v>
      </c>
    </row>
    <row r="189" spans="2:10" x14ac:dyDescent="0.25">
      <c r="B189" s="293" t="s">
        <v>734</v>
      </c>
      <c r="C189" s="294"/>
      <c r="D189" s="294"/>
      <c r="E189" s="294"/>
      <c r="F189" s="294"/>
      <c r="G189" s="294"/>
      <c r="H189" s="294"/>
      <c r="I189" s="295">
        <v>23671</v>
      </c>
      <c r="J189" s="295">
        <v>102602</v>
      </c>
    </row>
    <row r="190" spans="2:10" x14ac:dyDescent="0.25">
      <c r="B190" s="290" t="s">
        <v>32</v>
      </c>
      <c r="C190" s="294"/>
      <c r="D190" s="294"/>
      <c r="E190" s="294"/>
      <c r="F190" s="294"/>
      <c r="G190" s="294"/>
      <c r="H190" s="294"/>
      <c r="I190" s="295">
        <v>90591</v>
      </c>
      <c r="J190" s="295">
        <v>283345</v>
      </c>
    </row>
    <row r="191" spans="2:10" x14ac:dyDescent="0.25">
      <c r="B191" s="290" t="s">
        <v>33</v>
      </c>
      <c r="C191" s="294"/>
      <c r="D191" s="294"/>
      <c r="E191" s="294"/>
      <c r="F191" s="294"/>
      <c r="G191" s="294"/>
      <c r="H191" s="294"/>
      <c r="I191" s="295">
        <v>105822</v>
      </c>
      <c r="J191" s="295">
        <v>430659</v>
      </c>
    </row>
    <row r="192" spans="2:10" x14ac:dyDescent="0.25">
      <c r="B192" s="290" t="s">
        <v>735</v>
      </c>
      <c r="C192" s="294"/>
      <c r="D192" s="294"/>
      <c r="E192" s="294"/>
      <c r="F192" s="294"/>
      <c r="G192" s="294"/>
      <c r="H192" s="294"/>
      <c r="I192" s="295">
        <v>54727</v>
      </c>
      <c r="J192" s="295">
        <v>214792</v>
      </c>
    </row>
    <row r="193" spans="2:10" hidden="1" outlineLevel="1" x14ac:dyDescent="0.25">
      <c r="B193" s="368">
        <v>41275</v>
      </c>
      <c r="C193" s="370">
        <v>1344</v>
      </c>
      <c r="D193" s="370">
        <v>5074</v>
      </c>
      <c r="E193" s="370">
        <v>84</v>
      </c>
      <c r="F193" s="370">
        <v>433</v>
      </c>
      <c r="G193" s="370">
        <v>1525</v>
      </c>
      <c r="H193" s="370">
        <v>5846</v>
      </c>
      <c r="I193" s="370">
        <v>2953</v>
      </c>
      <c r="J193" s="370">
        <v>11353</v>
      </c>
    </row>
    <row r="194" spans="2:10" hidden="1" outlineLevel="1" x14ac:dyDescent="0.25">
      <c r="B194" s="368">
        <v>41306</v>
      </c>
      <c r="C194" s="370">
        <v>1353</v>
      </c>
      <c r="D194" s="370">
        <v>5003</v>
      </c>
      <c r="E194" s="370">
        <v>87</v>
      </c>
      <c r="F194" s="370">
        <v>397</v>
      </c>
      <c r="G194" s="370">
        <v>1589</v>
      </c>
      <c r="H194" s="370">
        <v>5817</v>
      </c>
      <c r="I194" s="370">
        <v>3029</v>
      </c>
      <c r="J194" s="370">
        <v>11217</v>
      </c>
    </row>
    <row r="195" spans="2:10" hidden="1" outlineLevel="1" x14ac:dyDescent="0.25">
      <c r="B195" s="368">
        <v>41334</v>
      </c>
      <c r="C195" s="370">
        <v>1556</v>
      </c>
      <c r="D195" s="370">
        <v>5790</v>
      </c>
      <c r="E195" s="370">
        <v>83</v>
      </c>
      <c r="F195" s="370">
        <v>353</v>
      </c>
      <c r="G195" s="370">
        <v>1708</v>
      </c>
      <c r="H195" s="370">
        <v>5791</v>
      </c>
      <c r="I195" s="370">
        <v>3347</v>
      </c>
      <c r="J195" s="370">
        <v>11934</v>
      </c>
    </row>
    <row r="196" spans="2:10" hidden="1" outlineLevel="1" x14ac:dyDescent="0.25">
      <c r="B196" s="368">
        <v>41365</v>
      </c>
      <c r="C196" s="370">
        <v>1076</v>
      </c>
      <c r="D196" s="370">
        <v>4086</v>
      </c>
      <c r="E196" s="370">
        <v>69</v>
      </c>
      <c r="F196" s="370">
        <v>271</v>
      </c>
      <c r="G196" s="370">
        <v>1727</v>
      </c>
      <c r="H196" s="370">
        <v>5901</v>
      </c>
      <c r="I196" s="370">
        <v>2872</v>
      </c>
      <c r="J196" s="370">
        <v>10258</v>
      </c>
    </row>
    <row r="197" spans="2:10" hidden="1" outlineLevel="1" x14ac:dyDescent="0.25">
      <c r="B197" s="368">
        <v>41395</v>
      </c>
      <c r="C197" s="370">
        <v>920</v>
      </c>
      <c r="D197" s="370">
        <v>3380</v>
      </c>
      <c r="E197" s="370">
        <v>38</v>
      </c>
      <c r="F197" s="370">
        <v>168</v>
      </c>
      <c r="G197" s="370">
        <v>1182</v>
      </c>
      <c r="H197" s="370">
        <v>4056</v>
      </c>
      <c r="I197" s="370">
        <v>2140</v>
      </c>
      <c r="J197" s="370">
        <v>7604</v>
      </c>
    </row>
    <row r="198" spans="2:10" hidden="1" outlineLevel="1" x14ac:dyDescent="0.25">
      <c r="B198" s="368">
        <v>41426</v>
      </c>
      <c r="C198" s="370">
        <v>911</v>
      </c>
      <c r="D198" s="370">
        <v>3309</v>
      </c>
      <c r="E198" s="370">
        <v>125</v>
      </c>
      <c r="F198" s="370">
        <v>648</v>
      </c>
      <c r="G198" s="370">
        <v>1778</v>
      </c>
      <c r="H198" s="370">
        <v>6154</v>
      </c>
      <c r="I198" s="370">
        <v>2814</v>
      </c>
      <c r="J198" s="370">
        <v>10111</v>
      </c>
    </row>
    <row r="199" spans="2:10" hidden="1" outlineLevel="1" x14ac:dyDescent="0.25">
      <c r="B199" s="368">
        <v>41456</v>
      </c>
      <c r="C199" s="370">
        <v>1073</v>
      </c>
      <c r="D199" s="370">
        <v>3717</v>
      </c>
      <c r="E199" s="370">
        <v>75</v>
      </c>
      <c r="F199" s="370">
        <v>297</v>
      </c>
      <c r="G199" s="370">
        <v>1520</v>
      </c>
      <c r="H199" s="370">
        <v>5115</v>
      </c>
      <c r="I199" s="370">
        <v>2668</v>
      </c>
      <c r="J199" s="370">
        <v>9129</v>
      </c>
    </row>
    <row r="200" spans="2:10" hidden="1" outlineLevel="1" x14ac:dyDescent="0.25">
      <c r="B200" s="368">
        <v>41487</v>
      </c>
      <c r="C200" s="370">
        <v>1037</v>
      </c>
      <c r="D200" s="370">
        <v>3504</v>
      </c>
      <c r="E200" s="370">
        <v>284</v>
      </c>
      <c r="F200" s="370">
        <v>1590</v>
      </c>
      <c r="G200" s="370">
        <v>2172</v>
      </c>
      <c r="H200" s="370">
        <v>6454</v>
      </c>
      <c r="I200" s="370">
        <v>3493</v>
      </c>
      <c r="J200" s="370">
        <v>11548</v>
      </c>
    </row>
    <row r="201" spans="2:10" hidden="1" outlineLevel="1" x14ac:dyDescent="0.25">
      <c r="B201" s="368">
        <v>41518</v>
      </c>
      <c r="C201" s="370">
        <v>2257</v>
      </c>
      <c r="D201" s="370">
        <v>8307</v>
      </c>
      <c r="E201" s="370">
        <v>45</v>
      </c>
      <c r="F201" s="370">
        <v>183</v>
      </c>
      <c r="G201" s="370">
        <v>1509</v>
      </c>
      <c r="H201" s="370">
        <v>5003</v>
      </c>
      <c r="I201" s="370">
        <v>3811</v>
      </c>
      <c r="J201" s="370">
        <v>13493</v>
      </c>
    </row>
    <row r="202" spans="2:10" hidden="1" outlineLevel="1" x14ac:dyDescent="0.25">
      <c r="B202" s="368">
        <v>41548</v>
      </c>
      <c r="C202" s="370">
        <v>2716</v>
      </c>
      <c r="D202" s="370">
        <v>10131</v>
      </c>
      <c r="E202" s="370">
        <v>147</v>
      </c>
      <c r="F202" s="370">
        <v>685</v>
      </c>
      <c r="G202" s="370">
        <v>1865</v>
      </c>
      <c r="H202" s="370">
        <v>6227</v>
      </c>
      <c r="I202" s="370">
        <v>4728</v>
      </c>
      <c r="J202" s="370">
        <v>17043</v>
      </c>
    </row>
    <row r="203" spans="2:10" hidden="1" outlineLevel="1" x14ac:dyDescent="0.25">
      <c r="B203" s="368">
        <v>41579</v>
      </c>
      <c r="C203" s="370">
        <v>1624</v>
      </c>
      <c r="D203" s="370">
        <v>5781</v>
      </c>
      <c r="E203" s="370">
        <v>79</v>
      </c>
      <c r="F203" s="370">
        <v>348</v>
      </c>
      <c r="G203" s="370">
        <v>1639</v>
      </c>
      <c r="H203" s="370">
        <v>5415</v>
      </c>
      <c r="I203" s="370">
        <v>3342</v>
      </c>
      <c r="J203" s="370">
        <v>11544</v>
      </c>
    </row>
    <row r="204" spans="2:10" hidden="1" outlineLevel="1" x14ac:dyDescent="0.25">
      <c r="B204" s="368">
        <v>41609</v>
      </c>
      <c r="C204" s="370">
        <v>1527</v>
      </c>
      <c r="D204" s="370">
        <v>5675</v>
      </c>
      <c r="E204" s="370">
        <v>77</v>
      </c>
      <c r="F204" s="370">
        <v>312</v>
      </c>
      <c r="G204" s="370">
        <v>1584</v>
      </c>
      <c r="H204" s="370">
        <v>4895</v>
      </c>
      <c r="I204" s="370">
        <v>3188</v>
      </c>
      <c r="J204" s="370">
        <v>10882</v>
      </c>
    </row>
    <row r="205" spans="2:10" collapsed="1" x14ac:dyDescent="0.25">
      <c r="B205" s="290" t="s">
        <v>37</v>
      </c>
      <c r="C205" s="296">
        <v>17394</v>
      </c>
      <c r="D205" s="296">
        <v>63757</v>
      </c>
      <c r="E205" s="296">
        <v>1193</v>
      </c>
      <c r="F205" s="296">
        <v>5685</v>
      </c>
      <c r="G205" s="296">
        <v>19798</v>
      </c>
      <c r="H205" s="296">
        <v>66674</v>
      </c>
      <c r="I205" s="296">
        <v>38385</v>
      </c>
      <c r="J205" s="296">
        <v>136116</v>
      </c>
    </row>
    <row r="206" spans="2:10" hidden="1" outlineLevel="1" x14ac:dyDescent="0.25">
      <c r="B206" s="368">
        <v>41640</v>
      </c>
      <c r="C206" s="370">
        <v>1680</v>
      </c>
      <c r="D206" s="370">
        <v>6027</v>
      </c>
      <c r="E206" s="370">
        <v>52</v>
      </c>
      <c r="F206" s="370">
        <v>220</v>
      </c>
      <c r="G206" s="370">
        <v>1280</v>
      </c>
      <c r="H206" s="370">
        <v>4011</v>
      </c>
      <c r="I206" s="370">
        <v>3012</v>
      </c>
      <c r="J206" s="370">
        <v>10258</v>
      </c>
    </row>
    <row r="207" spans="2:10" hidden="1" outlineLevel="1" x14ac:dyDescent="0.25">
      <c r="B207" s="368">
        <v>41671</v>
      </c>
      <c r="C207" s="370">
        <v>1550</v>
      </c>
      <c r="D207" s="370">
        <v>5590</v>
      </c>
      <c r="E207" s="370">
        <v>76</v>
      </c>
      <c r="F207" s="370">
        <v>318</v>
      </c>
      <c r="G207" s="370">
        <v>1520</v>
      </c>
      <c r="H207" s="370">
        <v>4945</v>
      </c>
      <c r="I207" s="370">
        <v>3146</v>
      </c>
      <c r="J207" s="370">
        <v>10853</v>
      </c>
    </row>
    <row r="208" spans="2:10" hidden="1" outlineLevel="1" x14ac:dyDescent="0.25">
      <c r="B208" s="368">
        <v>41699</v>
      </c>
      <c r="C208" s="370">
        <v>1367</v>
      </c>
      <c r="D208" s="370">
        <v>4922</v>
      </c>
      <c r="E208" s="370">
        <v>99</v>
      </c>
      <c r="F208" s="370">
        <v>470</v>
      </c>
      <c r="G208" s="370">
        <v>1354</v>
      </c>
      <c r="H208" s="370">
        <v>4290</v>
      </c>
      <c r="I208" s="370">
        <v>2820</v>
      </c>
      <c r="J208" s="370">
        <v>9682</v>
      </c>
    </row>
    <row r="209" spans="2:10" hidden="1" outlineLevel="1" x14ac:dyDescent="0.25">
      <c r="B209" s="368">
        <v>41730</v>
      </c>
      <c r="C209" s="370">
        <v>1713</v>
      </c>
      <c r="D209" s="370">
        <v>6039</v>
      </c>
      <c r="E209" s="370">
        <v>117</v>
      </c>
      <c r="F209" s="370">
        <v>534</v>
      </c>
      <c r="G209" s="370">
        <v>1841</v>
      </c>
      <c r="H209" s="370">
        <v>6029</v>
      </c>
      <c r="I209" s="370">
        <v>3671</v>
      </c>
      <c r="J209" s="370">
        <v>12602</v>
      </c>
    </row>
    <row r="210" spans="2:10" hidden="1" outlineLevel="1" x14ac:dyDescent="0.25">
      <c r="B210" s="368">
        <v>41760</v>
      </c>
      <c r="C210" s="370">
        <v>1767</v>
      </c>
      <c r="D210" s="370">
        <v>6174</v>
      </c>
      <c r="E210" s="370">
        <v>124</v>
      </c>
      <c r="F210" s="370">
        <v>523</v>
      </c>
      <c r="G210" s="370">
        <v>1514</v>
      </c>
      <c r="H210" s="370">
        <v>4663</v>
      </c>
      <c r="I210" s="370">
        <v>3405</v>
      </c>
      <c r="J210" s="370">
        <v>11360</v>
      </c>
    </row>
    <row r="211" spans="2:10" hidden="1" outlineLevel="1" x14ac:dyDescent="0.25">
      <c r="B211" s="368">
        <v>41791</v>
      </c>
      <c r="C211" s="370">
        <v>1613</v>
      </c>
      <c r="D211" s="370">
        <v>5821</v>
      </c>
      <c r="E211" s="370">
        <v>120</v>
      </c>
      <c r="F211" s="370">
        <v>517</v>
      </c>
      <c r="G211" s="370">
        <v>1715</v>
      </c>
      <c r="H211" s="370">
        <v>5301</v>
      </c>
      <c r="I211" s="370">
        <v>3448</v>
      </c>
      <c r="J211" s="370">
        <v>11639</v>
      </c>
    </row>
    <row r="212" spans="2:10" hidden="1" outlineLevel="1" x14ac:dyDescent="0.25">
      <c r="B212" s="368">
        <v>41821</v>
      </c>
      <c r="C212" s="370">
        <v>1419</v>
      </c>
      <c r="D212" s="370">
        <v>4978</v>
      </c>
      <c r="E212" s="370">
        <v>88</v>
      </c>
      <c r="F212" s="370">
        <v>412</v>
      </c>
      <c r="G212" s="370">
        <v>1625</v>
      </c>
      <c r="H212" s="370">
        <v>5129</v>
      </c>
      <c r="I212" s="370">
        <v>3132</v>
      </c>
      <c r="J212" s="370">
        <v>10519</v>
      </c>
    </row>
    <row r="213" spans="2:10" hidden="1" outlineLevel="1" x14ac:dyDescent="0.25">
      <c r="B213" s="368">
        <v>41852</v>
      </c>
      <c r="C213" s="370">
        <v>1494</v>
      </c>
      <c r="D213" s="370">
        <v>5380</v>
      </c>
      <c r="E213" s="370">
        <v>98</v>
      </c>
      <c r="F213" s="370">
        <v>469</v>
      </c>
      <c r="G213" s="370">
        <v>2110</v>
      </c>
      <c r="H213" s="370">
        <v>6696</v>
      </c>
      <c r="I213" s="370">
        <v>3702</v>
      </c>
      <c r="J213" s="370">
        <v>12545</v>
      </c>
    </row>
    <row r="214" spans="2:10" hidden="1" outlineLevel="1" x14ac:dyDescent="0.25">
      <c r="B214" s="368">
        <v>41883</v>
      </c>
      <c r="C214" s="370">
        <v>2074</v>
      </c>
      <c r="D214" s="370">
        <v>6815</v>
      </c>
      <c r="E214" s="370">
        <v>153</v>
      </c>
      <c r="F214" s="370">
        <v>619</v>
      </c>
      <c r="G214" s="370">
        <v>1891</v>
      </c>
      <c r="H214" s="370">
        <v>5544</v>
      </c>
      <c r="I214" s="370">
        <v>4118</v>
      </c>
      <c r="J214" s="370">
        <v>12978</v>
      </c>
    </row>
    <row r="215" spans="2:10" hidden="1" outlineLevel="1" x14ac:dyDescent="0.25">
      <c r="B215" s="368">
        <v>41913</v>
      </c>
      <c r="C215" s="370">
        <v>1793</v>
      </c>
      <c r="D215" s="370">
        <v>6196</v>
      </c>
      <c r="E215" s="370">
        <v>99</v>
      </c>
      <c r="F215" s="370">
        <v>453</v>
      </c>
      <c r="G215" s="370">
        <v>2822</v>
      </c>
      <c r="H215" s="370">
        <v>9121</v>
      </c>
      <c r="I215" s="370">
        <v>4714</v>
      </c>
      <c r="J215" s="370">
        <v>15770</v>
      </c>
    </row>
    <row r="216" spans="2:10" hidden="1" outlineLevel="1" x14ac:dyDescent="0.25">
      <c r="B216" s="368">
        <v>41944</v>
      </c>
      <c r="C216" s="370">
        <v>1417</v>
      </c>
      <c r="D216" s="370">
        <v>5025</v>
      </c>
      <c r="E216" s="370">
        <v>119</v>
      </c>
      <c r="F216" s="370">
        <v>521</v>
      </c>
      <c r="G216" s="370">
        <v>2963</v>
      </c>
      <c r="H216" s="370">
        <v>9093</v>
      </c>
      <c r="I216" s="370">
        <v>4499</v>
      </c>
      <c r="J216" s="370">
        <v>14639</v>
      </c>
    </row>
    <row r="217" spans="2:10" hidden="1" outlineLevel="1" x14ac:dyDescent="0.25">
      <c r="B217" s="368">
        <v>41974</v>
      </c>
      <c r="C217" s="370">
        <v>2023</v>
      </c>
      <c r="D217" s="370">
        <v>7131</v>
      </c>
      <c r="E217" s="370">
        <v>157</v>
      </c>
      <c r="F217" s="370">
        <v>606</v>
      </c>
      <c r="G217" s="370">
        <v>2407</v>
      </c>
      <c r="H217" s="370">
        <v>7565</v>
      </c>
      <c r="I217" s="370">
        <v>4587</v>
      </c>
      <c r="J217" s="370">
        <v>15302</v>
      </c>
    </row>
    <row r="218" spans="2:10" collapsed="1" x14ac:dyDescent="0.25">
      <c r="B218" s="290" t="s">
        <v>39</v>
      </c>
      <c r="C218" s="296">
        <v>19910</v>
      </c>
      <c r="D218" s="296">
        <v>70098</v>
      </c>
      <c r="E218" s="296">
        <v>1302</v>
      </c>
      <c r="F218" s="296">
        <v>5662</v>
      </c>
      <c r="G218" s="296">
        <v>23042</v>
      </c>
      <c r="H218" s="296">
        <v>72387</v>
      </c>
      <c r="I218" s="296">
        <v>44254</v>
      </c>
      <c r="J218" s="296">
        <v>148147</v>
      </c>
    </row>
    <row r="219" spans="2:10" hidden="1" outlineLevel="1" x14ac:dyDescent="0.25">
      <c r="B219" s="368">
        <v>42005</v>
      </c>
      <c r="C219" s="370">
        <v>1303</v>
      </c>
      <c r="D219" s="370">
        <v>4627</v>
      </c>
      <c r="E219" s="370">
        <v>90</v>
      </c>
      <c r="F219" s="370">
        <v>407</v>
      </c>
      <c r="G219" s="370">
        <v>2299</v>
      </c>
      <c r="H219" s="370">
        <v>7138</v>
      </c>
      <c r="I219" s="370">
        <v>3692</v>
      </c>
      <c r="J219" s="370">
        <v>12172</v>
      </c>
    </row>
    <row r="220" spans="2:10" hidden="1" outlineLevel="1" x14ac:dyDescent="0.25">
      <c r="B220" s="368">
        <v>42036</v>
      </c>
      <c r="C220" s="370">
        <v>1126</v>
      </c>
      <c r="D220" s="370">
        <v>4105</v>
      </c>
      <c r="E220" s="370">
        <v>68</v>
      </c>
      <c r="F220" s="370">
        <v>319</v>
      </c>
      <c r="G220" s="370">
        <v>1895</v>
      </c>
      <c r="H220" s="370">
        <v>5828</v>
      </c>
      <c r="I220" s="370">
        <v>3089</v>
      </c>
      <c r="J220" s="370">
        <v>10252</v>
      </c>
    </row>
    <row r="221" spans="2:10" hidden="1" outlineLevel="1" x14ac:dyDescent="0.25">
      <c r="B221" s="368">
        <v>42064</v>
      </c>
      <c r="C221" s="370">
        <v>1509</v>
      </c>
      <c r="D221" s="370">
        <v>5148</v>
      </c>
      <c r="E221" s="370">
        <v>142</v>
      </c>
      <c r="F221" s="370">
        <v>601</v>
      </c>
      <c r="G221" s="370">
        <v>2308</v>
      </c>
      <c r="H221" s="370">
        <v>7031</v>
      </c>
      <c r="I221" s="370">
        <v>3959</v>
      </c>
      <c r="J221" s="370">
        <v>12780</v>
      </c>
    </row>
    <row r="222" spans="2:10" hidden="1" outlineLevel="1" x14ac:dyDescent="0.25">
      <c r="B222" s="368">
        <v>42095</v>
      </c>
      <c r="C222" s="370">
        <v>1305</v>
      </c>
      <c r="D222" s="370">
        <v>4297</v>
      </c>
      <c r="E222" s="370">
        <v>154</v>
      </c>
      <c r="F222" s="370">
        <v>670</v>
      </c>
      <c r="G222" s="370">
        <v>2740</v>
      </c>
      <c r="H222" s="370">
        <v>8147</v>
      </c>
      <c r="I222" s="370">
        <v>4199</v>
      </c>
      <c r="J222" s="370">
        <v>13114</v>
      </c>
    </row>
    <row r="223" spans="2:10" hidden="1" outlineLevel="1" x14ac:dyDescent="0.25">
      <c r="B223" s="368">
        <v>42125</v>
      </c>
      <c r="C223" s="370">
        <v>1328</v>
      </c>
      <c r="D223" s="370">
        <v>4634</v>
      </c>
      <c r="E223" s="370">
        <v>162</v>
      </c>
      <c r="F223" s="370">
        <v>698</v>
      </c>
      <c r="G223" s="370">
        <v>2387</v>
      </c>
      <c r="H223" s="370">
        <v>7056</v>
      </c>
      <c r="I223" s="370">
        <v>3877</v>
      </c>
      <c r="J223" s="370">
        <v>12388</v>
      </c>
    </row>
    <row r="224" spans="2:10" hidden="1" outlineLevel="1" x14ac:dyDescent="0.25">
      <c r="B224" s="368">
        <v>42156</v>
      </c>
      <c r="C224" s="370">
        <v>1079</v>
      </c>
      <c r="D224" s="370">
        <v>3931</v>
      </c>
      <c r="E224" s="370">
        <v>121</v>
      </c>
      <c r="F224" s="370">
        <v>595</v>
      </c>
      <c r="G224" s="370">
        <v>2940</v>
      </c>
      <c r="H224" s="370">
        <v>8577</v>
      </c>
      <c r="I224" s="370">
        <v>4140</v>
      </c>
      <c r="J224" s="370">
        <v>13103</v>
      </c>
    </row>
    <row r="225" spans="2:10" hidden="1" outlineLevel="1" x14ac:dyDescent="0.25">
      <c r="B225" s="368">
        <v>42186</v>
      </c>
      <c r="C225" s="370">
        <v>1562</v>
      </c>
      <c r="D225" s="370">
        <v>5243</v>
      </c>
      <c r="E225" s="370">
        <v>193</v>
      </c>
      <c r="F225" s="370">
        <v>896</v>
      </c>
      <c r="G225" s="370">
        <v>1660</v>
      </c>
      <c r="H225" s="370">
        <v>4806</v>
      </c>
      <c r="I225" s="370">
        <v>3415</v>
      </c>
      <c r="J225" s="370">
        <v>10945</v>
      </c>
    </row>
    <row r="226" spans="2:10" hidden="1" outlineLevel="1" x14ac:dyDescent="0.25">
      <c r="B226" s="368">
        <v>42217</v>
      </c>
      <c r="C226" s="370">
        <v>1389</v>
      </c>
      <c r="D226" s="370">
        <v>4383</v>
      </c>
      <c r="E226" s="370">
        <v>321</v>
      </c>
      <c r="F226" s="370">
        <v>1453</v>
      </c>
      <c r="G226" s="370">
        <v>4348</v>
      </c>
      <c r="H226" s="370">
        <v>12994</v>
      </c>
      <c r="I226" s="370">
        <v>6058</v>
      </c>
      <c r="J226" s="370">
        <v>18830</v>
      </c>
    </row>
    <row r="227" spans="2:10" hidden="1" outlineLevel="1" x14ac:dyDescent="0.25">
      <c r="B227" s="368">
        <v>42248</v>
      </c>
      <c r="C227" s="370">
        <v>2017</v>
      </c>
      <c r="D227" s="370">
        <v>7335</v>
      </c>
      <c r="E227" s="370">
        <v>176</v>
      </c>
      <c r="F227" s="370">
        <v>801</v>
      </c>
      <c r="G227" s="370">
        <v>2843</v>
      </c>
      <c r="H227" s="370">
        <v>8849</v>
      </c>
      <c r="I227" s="370">
        <v>5036</v>
      </c>
      <c r="J227" s="370">
        <v>16985</v>
      </c>
    </row>
    <row r="228" spans="2:10" hidden="1" outlineLevel="1" x14ac:dyDescent="0.25">
      <c r="B228" s="368">
        <v>42278</v>
      </c>
      <c r="C228" s="370">
        <v>1395</v>
      </c>
      <c r="D228" s="370">
        <v>4572</v>
      </c>
      <c r="E228" s="370">
        <v>175</v>
      </c>
      <c r="F228" s="370">
        <v>799</v>
      </c>
      <c r="G228" s="370">
        <v>2605</v>
      </c>
      <c r="H228" s="370">
        <v>7454</v>
      </c>
      <c r="I228" s="370">
        <v>4175</v>
      </c>
      <c r="J228" s="370">
        <v>12825</v>
      </c>
    </row>
    <row r="229" spans="2:10" hidden="1" outlineLevel="1" x14ac:dyDescent="0.25">
      <c r="B229" s="368">
        <v>42309</v>
      </c>
      <c r="C229" s="370">
        <v>1495</v>
      </c>
      <c r="D229" s="370">
        <v>5282</v>
      </c>
      <c r="E229" s="370">
        <v>166</v>
      </c>
      <c r="F229" s="370">
        <v>712</v>
      </c>
      <c r="G229" s="370">
        <v>3733</v>
      </c>
      <c r="H229" s="370">
        <v>10856</v>
      </c>
      <c r="I229" s="370">
        <v>5394</v>
      </c>
      <c r="J229" s="370">
        <v>16850</v>
      </c>
    </row>
    <row r="230" spans="2:10" hidden="1" outlineLevel="1" x14ac:dyDescent="0.25">
      <c r="B230" s="368">
        <v>42339</v>
      </c>
      <c r="C230" s="370">
        <v>1645</v>
      </c>
      <c r="D230" s="370">
        <v>5189</v>
      </c>
      <c r="E230" s="370">
        <v>200</v>
      </c>
      <c r="F230" s="370">
        <v>809</v>
      </c>
      <c r="G230" s="370">
        <v>2771</v>
      </c>
      <c r="H230" s="370">
        <v>8572</v>
      </c>
      <c r="I230" s="370">
        <v>4616</v>
      </c>
      <c r="J230" s="370">
        <v>14570</v>
      </c>
    </row>
    <row r="231" spans="2:10" collapsed="1" x14ac:dyDescent="0.25">
      <c r="B231" s="290" t="s">
        <v>41</v>
      </c>
      <c r="C231" s="296">
        <v>17153</v>
      </c>
      <c r="D231" s="296">
        <v>58746</v>
      </c>
      <c r="E231" s="296">
        <v>1968</v>
      </c>
      <c r="F231" s="296">
        <v>8760</v>
      </c>
      <c r="G231" s="296">
        <v>32529</v>
      </c>
      <c r="H231" s="296">
        <v>97308</v>
      </c>
      <c r="I231" s="296">
        <v>51650</v>
      </c>
      <c r="J231" s="296">
        <v>164814</v>
      </c>
    </row>
    <row r="232" spans="2:10" hidden="1" outlineLevel="1" x14ac:dyDescent="0.25">
      <c r="B232" s="368">
        <v>42370</v>
      </c>
      <c r="C232" s="370">
        <v>1402</v>
      </c>
      <c r="D232" s="370">
        <v>4801</v>
      </c>
      <c r="E232" s="370">
        <v>157</v>
      </c>
      <c r="F232" s="370">
        <v>645</v>
      </c>
      <c r="G232" s="370">
        <v>2531</v>
      </c>
      <c r="H232" s="370">
        <v>7419</v>
      </c>
      <c r="I232" s="370">
        <v>4090</v>
      </c>
      <c r="J232" s="370">
        <v>12865</v>
      </c>
    </row>
    <row r="233" spans="2:10" hidden="1" outlineLevel="1" x14ac:dyDescent="0.25">
      <c r="B233" s="368">
        <v>42401</v>
      </c>
      <c r="C233" s="370">
        <v>964</v>
      </c>
      <c r="D233" s="370">
        <v>3139</v>
      </c>
      <c r="E233" s="370">
        <v>156</v>
      </c>
      <c r="F233" s="370">
        <v>644</v>
      </c>
      <c r="G233" s="370">
        <v>2723</v>
      </c>
      <c r="H233" s="370">
        <v>8130</v>
      </c>
      <c r="I233" s="370">
        <v>3843</v>
      </c>
      <c r="J233" s="370">
        <v>11913</v>
      </c>
    </row>
    <row r="234" spans="2:10" hidden="1" outlineLevel="1" x14ac:dyDescent="0.25">
      <c r="B234" s="368">
        <v>42430</v>
      </c>
      <c r="C234" s="370">
        <v>1710</v>
      </c>
      <c r="D234" s="370">
        <v>5724</v>
      </c>
      <c r="E234" s="370">
        <v>238</v>
      </c>
      <c r="F234" s="370">
        <v>993</v>
      </c>
      <c r="G234" s="370">
        <v>3197</v>
      </c>
      <c r="H234" s="370">
        <v>9196</v>
      </c>
      <c r="I234" s="370">
        <v>5145</v>
      </c>
      <c r="J234" s="370">
        <v>15913</v>
      </c>
    </row>
    <row r="235" spans="2:10" hidden="1" outlineLevel="1" x14ac:dyDescent="0.25">
      <c r="B235" s="368">
        <v>42461</v>
      </c>
      <c r="C235" s="370">
        <v>1579</v>
      </c>
      <c r="D235" s="370">
        <v>5412</v>
      </c>
      <c r="E235" s="370">
        <v>196</v>
      </c>
      <c r="F235" s="370">
        <v>787</v>
      </c>
      <c r="G235" s="370">
        <v>2640</v>
      </c>
      <c r="H235" s="370">
        <v>7635</v>
      </c>
      <c r="I235" s="370">
        <v>4415</v>
      </c>
      <c r="J235" s="370">
        <v>13834</v>
      </c>
    </row>
    <row r="236" spans="2:10" hidden="1" outlineLevel="1" x14ac:dyDescent="0.25">
      <c r="B236" s="368">
        <v>42491</v>
      </c>
      <c r="C236" s="370">
        <v>1550</v>
      </c>
      <c r="D236" s="370">
        <v>5486</v>
      </c>
      <c r="E236" s="370">
        <v>180</v>
      </c>
      <c r="F236" s="370">
        <v>760</v>
      </c>
      <c r="G236" s="370">
        <v>2933</v>
      </c>
      <c r="H236" s="370">
        <v>8633</v>
      </c>
      <c r="I236" s="370">
        <v>4663</v>
      </c>
      <c r="J236" s="370">
        <v>14879</v>
      </c>
    </row>
    <row r="237" spans="2:10" hidden="1" outlineLevel="1" x14ac:dyDescent="0.25">
      <c r="B237" s="368">
        <v>42522</v>
      </c>
      <c r="C237" s="370">
        <v>1015</v>
      </c>
      <c r="D237" s="370">
        <v>3452</v>
      </c>
      <c r="E237" s="370">
        <v>121</v>
      </c>
      <c r="F237" s="370">
        <v>555</v>
      </c>
      <c r="G237" s="370">
        <v>2658</v>
      </c>
      <c r="H237" s="370">
        <v>7478</v>
      </c>
      <c r="I237" s="370">
        <v>3794</v>
      </c>
      <c r="J237" s="370">
        <v>11485</v>
      </c>
    </row>
    <row r="238" spans="2:10" hidden="1" outlineLevel="1" x14ac:dyDescent="0.25">
      <c r="B238" s="368">
        <v>42552</v>
      </c>
      <c r="C238" s="370">
        <v>1746</v>
      </c>
      <c r="D238" s="370">
        <v>6028</v>
      </c>
      <c r="E238" s="370">
        <v>157</v>
      </c>
      <c r="F238" s="370">
        <v>657</v>
      </c>
      <c r="G238" s="370">
        <v>2535</v>
      </c>
      <c r="H238" s="370">
        <v>7430</v>
      </c>
      <c r="I238" s="370">
        <v>4438</v>
      </c>
      <c r="J238" s="370">
        <v>14115</v>
      </c>
    </row>
    <row r="239" spans="2:10" hidden="1" outlineLevel="1" x14ac:dyDescent="0.25">
      <c r="B239" s="368">
        <v>42583</v>
      </c>
      <c r="C239" s="370">
        <v>1390</v>
      </c>
      <c r="D239" s="370">
        <v>4511</v>
      </c>
      <c r="E239" s="370">
        <v>153</v>
      </c>
      <c r="F239" s="370">
        <v>578</v>
      </c>
      <c r="G239" s="370">
        <v>3151</v>
      </c>
      <c r="H239" s="370">
        <v>9173</v>
      </c>
      <c r="I239" s="370">
        <v>4694</v>
      </c>
      <c r="J239" s="370">
        <v>14262</v>
      </c>
    </row>
    <row r="240" spans="2:10" hidden="1" outlineLevel="1" x14ac:dyDescent="0.25">
      <c r="B240" s="368">
        <v>42614</v>
      </c>
      <c r="C240" s="370">
        <v>1402</v>
      </c>
      <c r="D240" s="370">
        <v>4329</v>
      </c>
      <c r="E240" s="370">
        <v>196</v>
      </c>
      <c r="F240" s="370">
        <v>823</v>
      </c>
      <c r="G240" s="370">
        <v>2981</v>
      </c>
      <c r="H240" s="370">
        <v>8807</v>
      </c>
      <c r="I240" s="370">
        <v>4579</v>
      </c>
      <c r="J240" s="370">
        <v>13959</v>
      </c>
    </row>
    <row r="241" spans="2:10" hidden="1" outlineLevel="1" x14ac:dyDescent="0.25">
      <c r="B241" s="368">
        <v>42644</v>
      </c>
      <c r="C241" s="370">
        <v>1480</v>
      </c>
      <c r="D241" s="370">
        <v>5044</v>
      </c>
      <c r="E241" s="370">
        <v>136</v>
      </c>
      <c r="F241" s="370">
        <v>536</v>
      </c>
      <c r="G241" s="370">
        <v>2791</v>
      </c>
      <c r="H241" s="370">
        <v>8111</v>
      </c>
      <c r="I241" s="370">
        <v>4407</v>
      </c>
      <c r="J241" s="370">
        <v>13691</v>
      </c>
    </row>
    <row r="242" spans="2:10" hidden="1" outlineLevel="1" x14ac:dyDescent="0.25">
      <c r="B242" s="368">
        <v>42675</v>
      </c>
      <c r="C242" s="370">
        <v>1497</v>
      </c>
      <c r="D242" s="370">
        <v>5099</v>
      </c>
      <c r="E242" s="370">
        <v>128</v>
      </c>
      <c r="F242" s="370">
        <v>483</v>
      </c>
      <c r="G242" s="370">
        <v>2064</v>
      </c>
      <c r="H242" s="370">
        <v>6110</v>
      </c>
      <c r="I242" s="370">
        <v>3689</v>
      </c>
      <c r="J242" s="370">
        <v>11692</v>
      </c>
    </row>
    <row r="243" spans="2:10" hidden="1" outlineLevel="1" x14ac:dyDescent="0.25">
      <c r="B243" s="368">
        <v>42705</v>
      </c>
      <c r="C243" s="370">
        <v>1565</v>
      </c>
      <c r="D243" s="370">
        <v>5550</v>
      </c>
      <c r="E243" s="370">
        <v>94</v>
      </c>
      <c r="F243" s="370">
        <v>399</v>
      </c>
      <c r="G243" s="370">
        <v>3636</v>
      </c>
      <c r="H243" s="370">
        <v>11125</v>
      </c>
      <c r="I243" s="370">
        <v>5295</v>
      </c>
      <c r="J243" s="370">
        <v>17074</v>
      </c>
    </row>
    <row r="244" spans="2:10" collapsed="1" x14ac:dyDescent="0.25">
      <c r="B244" s="291" t="s">
        <v>58</v>
      </c>
      <c r="C244" s="296">
        <v>17300</v>
      </c>
      <c r="D244" s="296">
        <v>58575</v>
      </c>
      <c r="E244" s="296">
        <v>1912</v>
      </c>
      <c r="F244" s="296">
        <v>7860</v>
      </c>
      <c r="G244" s="296">
        <v>33840</v>
      </c>
      <c r="H244" s="296">
        <v>99247</v>
      </c>
      <c r="I244" s="296">
        <v>53052</v>
      </c>
      <c r="J244" s="296">
        <v>165682</v>
      </c>
    </row>
    <row r="245" spans="2:10" hidden="1" outlineLevel="1" x14ac:dyDescent="0.25">
      <c r="B245" s="368">
        <v>42736</v>
      </c>
      <c r="C245" s="370">
        <v>1578</v>
      </c>
      <c r="D245" s="370">
        <v>5100</v>
      </c>
      <c r="E245" s="370">
        <v>122</v>
      </c>
      <c r="F245" s="370">
        <v>478</v>
      </c>
      <c r="G245" s="370">
        <v>3277</v>
      </c>
      <c r="H245" s="370">
        <v>9466</v>
      </c>
      <c r="I245" s="370">
        <v>4977</v>
      </c>
      <c r="J245" s="370">
        <v>15044</v>
      </c>
    </row>
    <row r="246" spans="2:10" hidden="1" outlineLevel="1" x14ac:dyDescent="0.25">
      <c r="B246" s="368">
        <v>42767</v>
      </c>
      <c r="C246" s="370">
        <v>1309</v>
      </c>
      <c r="D246" s="370">
        <v>4472</v>
      </c>
      <c r="E246" s="370">
        <v>118</v>
      </c>
      <c r="F246" s="370">
        <v>502</v>
      </c>
      <c r="G246" s="370">
        <v>3001</v>
      </c>
      <c r="H246" s="370">
        <v>8506</v>
      </c>
      <c r="I246" s="370">
        <v>4428</v>
      </c>
      <c r="J246" s="370">
        <v>13480</v>
      </c>
    </row>
    <row r="247" spans="2:10" hidden="1" outlineLevel="1" x14ac:dyDescent="0.25">
      <c r="B247" s="368">
        <v>42795</v>
      </c>
      <c r="C247" s="370">
        <v>1433</v>
      </c>
      <c r="D247" s="370">
        <v>4492</v>
      </c>
      <c r="E247" s="370">
        <v>123</v>
      </c>
      <c r="F247" s="370">
        <v>484</v>
      </c>
      <c r="G247" s="370">
        <v>2598</v>
      </c>
      <c r="H247" s="370">
        <v>7750</v>
      </c>
      <c r="I247" s="370">
        <v>4154</v>
      </c>
      <c r="J247" s="370">
        <v>12726</v>
      </c>
    </row>
    <row r="248" spans="2:10" hidden="1" outlineLevel="1" x14ac:dyDescent="0.25">
      <c r="B248" s="368">
        <v>42826</v>
      </c>
      <c r="C248" s="370">
        <v>1610</v>
      </c>
      <c r="D248" s="370">
        <v>5252</v>
      </c>
      <c r="E248" s="370">
        <v>163</v>
      </c>
      <c r="F248" s="370">
        <v>704</v>
      </c>
      <c r="G248" s="370">
        <v>2935</v>
      </c>
      <c r="H248" s="370">
        <v>8131</v>
      </c>
      <c r="I248" s="370">
        <v>4708</v>
      </c>
      <c r="J248" s="370">
        <v>14087</v>
      </c>
    </row>
    <row r="249" spans="2:10" hidden="1" outlineLevel="1" x14ac:dyDescent="0.25">
      <c r="B249" s="368">
        <v>42856</v>
      </c>
      <c r="C249" s="370">
        <v>1418</v>
      </c>
      <c r="D249" s="370">
        <v>4341</v>
      </c>
      <c r="E249" s="370">
        <v>177</v>
      </c>
      <c r="F249" s="370">
        <v>637</v>
      </c>
      <c r="G249" s="370">
        <v>3318</v>
      </c>
      <c r="H249" s="370">
        <v>8846</v>
      </c>
      <c r="I249" s="370">
        <v>4913</v>
      </c>
      <c r="J249" s="370">
        <v>13824</v>
      </c>
    </row>
    <row r="250" spans="2:10" hidden="1" outlineLevel="1" x14ac:dyDescent="0.25">
      <c r="B250" s="368">
        <v>42887</v>
      </c>
      <c r="C250" s="370">
        <v>1230</v>
      </c>
      <c r="D250" s="370">
        <v>4069</v>
      </c>
      <c r="E250" s="370">
        <v>108</v>
      </c>
      <c r="F250" s="370">
        <v>460</v>
      </c>
      <c r="G250" s="370">
        <v>2707</v>
      </c>
      <c r="H250" s="370">
        <v>8139</v>
      </c>
      <c r="I250" s="370">
        <v>4045</v>
      </c>
      <c r="J250" s="370">
        <v>12668</v>
      </c>
    </row>
    <row r="251" spans="2:10" hidden="1" outlineLevel="1" x14ac:dyDescent="0.25">
      <c r="B251" s="368">
        <v>42917</v>
      </c>
      <c r="C251" s="370">
        <v>1191</v>
      </c>
      <c r="D251" s="370">
        <v>4093</v>
      </c>
      <c r="E251" s="370">
        <v>118</v>
      </c>
      <c r="F251" s="370">
        <v>524</v>
      </c>
      <c r="G251" s="370">
        <v>3460</v>
      </c>
      <c r="H251" s="370">
        <v>9428</v>
      </c>
      <c r="I251" s="370">
        <v>4769</v>
      </c>
      <c r="J251" s="370">
        <v>14045</v>
      </c>
    </row>
    <row r="252" spans="2:10" hidden="1" outlineLevel="1" x14ac:dyDescent="0.25">
      <c r="B252" s="368">
        <v>42948</v>
      </c>
      <c r="C252" s="370">
        <v>1646</v>
      </c>
      <c r="D252" s="370">
        <v>5129</v>
      </c>
      <c r="E252" s="370">
        <v>226</v>
      </c>
      <c r="F252" s="370">
        <v>888</v>
      </c>
      <c r="G252" s="370">
        <v>3406</v>
      </c>
      <c r="H252" s="370">
        <v>9871</v>
      </c>
      <c r="I252" s="370">
        <v>5278</v>
      </c>
      <c r="J252" s="370">
        <v>15888</v>
      </c>
    </row>
    <row r="253" spans="2:10" hidden="1" outlineLevel="1" x14ac:dyDescent="0.25">
      <c r="B253" s="368">
        <v>42979</v>
      </c>
      <c r="C253" s="370">
        <v>1788</v>
      </c>
      <c r="D253" s="370">
        <v>5884</v>
      </c>
      <c r="E253" s="370">
        <v>227</v>
      </c>
      <c r="F253" s="370">
        <v>1042</v>
      </c>
      <c r="G253" s="370">
        <v>1959</v>
      </c>
      <c r="H253" s="370">
        <v>5773</v>
      </c>
      <c r="I253" s="370">
        <v>3974</v>
      </c>
      <c r="J253" s="370">
        <v>12699</v>
      </c>
    </row>
    <row r="254" spans="2:10" hidden="1" outlineLevel="1" x14ac:dyDescent="0.25">
      <c r="B254" s="368">
        <v>43009</v>
      </c>
      <c r="C254" s="370">
        <v>1600</v>
      </c>
      <c r="D254" s="370">
        <v>5166</v>
      </c>
      <c r="E254" s="370">
        <v>160</v>
      </c>
      <c r="F254" s="370">
        <v>678</v>
      </c>
      <c r="G254" s="370">
        <v>5186</v>
      </c>
      <c r="H254" s="370">
        <v>14719</v>
      </c>
      <c r="I254" s="370">
        <v>6946</v>
      </c>
      <c r="J254" s="370">
        <v>20563</v>
      </c>
    </row>
    <row r="255" spans="2:10" hidden="1" outlineLevel="1" x14ac:dyDescent="0.25">
      <c r="B255" s="368">
        <v>43040</v>
      </c>
      <c r="C255" s="370">
        <v>1751</v>
      </c>
      <c r="D255" s="370">
        <v>5849</v>
      </c>
      <c r="E255" s="370">
        <v>177</v>
      </c>
      <c r="F255" s="370">
        <v>742</v>
      </c>
      <c r="G255" s="370">
        <v>3371</v>
      </c>
      <c r="H255" s="370">
        <v>9775</v>
      </c>
      <c r="I255" s="370">
        <v>5299</v>
      </c>
      <c r="J255" s="370">
        <v>16366</v>
      </c>
    </row>
    <row r="256" spans="2:10" hidden="1" outlineLevel="1" x14ac:dyDescent="0.25">
      <c r="B256" s="368">
        <v>43070</v>
      </c>
      <c r="C256" s="370">
        <v>1618</v>
      </c>
      <c r="D256" s="370">
        <v>5288</v>
      </c>
      <c r="E256" s="370">
        <v>188</v>
      </c>
      <c r="F256" s="370">
        <v>708</v>
      </c>
      <c r="G256" s="370">
        <v>3152</v>
      </c>
      <c r="H256" s="370">
        <v>9366</v>
      </c>
      <c r="I256" s="370">
        <v>4958</v>
      </c>
      <c r="J256" s="370">
        <v>15362</v>
      </c>
    </row>
    <row r="257" spans="2:10" collapsed="1" x14ac:dyDescent="0.25">
      <c r="B257" s="291" t="s">
        <v>61</v>
      </c>
      <c r="C257" s="296">
        <v>18172</v>
      </c>
      <c r="D257" s="296">
        <v>59135</v>
      </c>
      <c r="E257" s="296">
        <v>1907</v>
      </c>
      <c r="F257" s="296">
        <v>7847</v>
      </c>
      <c r="G257" s="296">
        <v>38370</v>
      </c>
      <c r="H257" s="296">
        <v>109770</v>
      </c>
      <c r="I257" s="296">
        <v>58449</v>
      </c>
      <c r="J257" s="296">
        <v>176752</v>
      </c>
    </row>
    <row r="258" spans="2:10" hidden="1" outlineLevel="1" x14ac:dyDescent="0.25">
      <c r="B258" s="368">
        <v>43101</v>
      </c>
      <c r="C258" s="370">
        <v>1487</v>
      </c>
      <c r="D258" s="370">
        <v>4777</v>
      </c>
      <c r="E258" s="370">
        <v>142</v>
      </c>
      <c r="F258" s="370">
        <v>567</v>
      </c>
      <c r="G258" s="370">
        <v>3378</v>
      </c>
      <c r="H258" s="370">
        <v>9267</v>
      </c>
      <c r="I258" s="370">
        <v>5007</v>
      </c>
      <c r="J258" s="370">
        <v>14611</v>
      </c>
    </row>
    <row r="259" spans="2:10" hidden="1" outlineLevel="1" x14ac:dyDescent="0.25">
      <c r="B259" s="368">
        <v>43132</v>
      </c>
      <c r="C259" s="370">
        <v>1165</v>
      </c>
      <c r="D259" s="370">
        <v>3878</v>
      </c>
      <c r="E259" s="370">
        <v>171</v>
      </c>
      <c r="F259" s="370">
        <v>740</v>
      </c>
      <c r="G259" s="370">
        <v>4024</v>
      </c>
      <c r="H259" s="370">
        <v>10885</v>
      </c>
      <c r="I259" s="370">
        <v>5360</v>
      </c>
      <c r="J259" s="370">
        <v>15503</v>
      </c>
    </row>
    <row r="260" spans="2:10" hidden="1" outlineLevel="1" x14ac:dyDescent="0.25">
      <c r="B260" s="368">
        <v>43160</v>
      </c>
      <c r="C260" s="370">
        <v>2460</v>
      </c>
      <c r="D260" s="370">
        <v>7692</v>
      </c>
      <c r="E260" s="370">
        <v>296</v>
      </c>
      <c r="F260" s="370">
        <v>1104</v>
      </c>
      <c r="G260" s="370">
        <v>3447</v>
      </c>
      <c r="H260" s="370">
        <v>9794</v>
      </c>
      <c r="I260" s="370">
        <v>6203</v>
      </c>
      <c r="J260" s="370">
        <v>18590</v>
      </c>
    </row>
    <row r="261" spans="2:10" hidden="1" outlineLevel="1" x14ac:dyDescent="0.25">
      <c r="B261" s="368">
        <v>43191</v>
      </c>
      <c r="C261" s="370">
        <v>1488</v>
      </c>
      <c r="D261" s="370">
        <v>4979</v>
      </c>
      <c r="E261" s="370">
        <v>166</v>
      </c>
      <c r="F261" s="370">
        <v>699</v>
      </c>
      <c r="G261" s="370">
        <v>3596</v>
      </c>
      <c r="H261" s="370">
        <v>10022</v>
      </c>
      <c r="I261" s="370">
        <v>5250</v>
      </c>
      <c r="J261" s="370">
        <v>15700</v>
      </c>
    </row>
    <row r="262" spans="2:10" hidden="1" outlineLevel="1" x14ac:dyDescent="0.25">
      <c r="B262" s="368">
        <v>43221</v>
      </c>
      <c r="C262" s="370">
        <v>1705</v>
      </c>
      <c r="D262" s="370">
        <v>5530</v>
      </c>
      <c r="E262" s="370">
        <v>178</v>
      </c>
      <c r="F262" s="370">
        <v>714</v>
      </c>
      <c r="G262" s="370">
        <v>3536</v>
      </c>
      <c r="H262" s="370">
        <v>9898</v>
      </c>
      <c r="I262" s="370">
        <v>5419</v>
      </c>
      <c r="J262" s="370">
        <v>16142</v>
      </c>
    </row>
    <row r="263" spans="2:10" hidden="1" outlineLevel="1" x14ac:dyDescent="0.25">
      <c r="B263" s="368">
        <v>43252</v>
      </c>
      <c r="C263" s="370">
        <v>1717</v>
      </c>
      <c r="D263" s="370">
        <v>5500</v>
      </c>
      <c r="E263" s="370">
        <v>211</v>
      </c>
      <c r="F263" s="370">
        <v>885</v>
      </c>
      <c r="G263" s="370">
        <v>3371</v>
      </c>
      <c r="H263" s="370">
        <v>9458</v>
      </c>
      <c r="I263" s="370">
        <v>5299</v>
      </c>
      <c r="J263" s="370">
        <v>15843</v>
      </c>
    </row>
    <row r="264" spans="2:10" hidden="1" outlineLevel="1" x14ac:dyDescent="0.25">
      <c r="B264" s="368">
        <v>43282</v>
      </c>
      <c r="C264" s="370">
        <v>1574</v>
      </c>
      <c r="D264" s="370">
        <v>4981</v>
      </c>
      <c r="E264" s="370">
        <v>176</v>
      </c>
      <c r="F264" s="370">
        <v>714</v>
      </c>
      <c r="G264" s="370">
        <v>3523</v>
      </c>
      <c r="H264" s="370">
        <v>9997</v>
      </c>
      <c r="I264" s="370">
        <v>5273</v>
      </c>
      <c r="J264" s="370">
        <v>15692</v>
      </c>
    </row>
    <row r="265" spans="2:10" hidden="1" outlineLevel="1" x14ac:dyDescent="0.25">
      <c r="B265" s="368">
        <v>43313</v>
      </c>
      <c r="C265" s="370">
        <v>1786</v>
      </c>
      <c r="D265" s="370">
        <v>5797</v>
      </c>
      <c r="E265" s="370">
        <v>215</v>
      </c>
      <c r="F265" s="370">
        <v>865</v>
      </c>
      <c r="G265" s="370">
        <v>3741</v>
      </c>
      <c r="H265" s="370">
        <v>10742</v>
      </c>
      <c r="I265" s="370">
        <v>5742</v>
      </c>
      <c r="J265" s="370">
        <v>17404</v>
      </c>
    </row>
    <row r="266" spans="2:10" hidden="1" outlineLevel="1" x14ac:dyDescent="0.25">
      <c r="B266" s="368">
        <v>43344</v>
      </c>
      <c r="C266" s="370">
        <v>1829</v>
      </c>
      <c r="D266" s="370">
        <v>5996</v>
      </c>
      <c r="E266" s="370">
        <v>210</v>
      </c>
      <c r="F266" s="370">
        <v>796</v>
      </c>
      <c r="G266" s="370">
        <v>4016</v>
      </c>
      <c r="H266" s="370">
        <v>11063</v>
      </c>
      <c r="I266" s="370">
        <v>6055</v>
      </c>
      <c r="J266" s="370">
        <v>17855</v>
      </c>
    </row>
    <row r="267" spans="2:10" hidden="1" outlineLevel="1" x14ac:dyDescent="0.25">
      <c r="B267" s="368">
        <v>43374</v>
      </c>
      <c r="C267" s="370">
        <v>1908</v>
      </c>
      <c r="D267" s="370">
        <v>5933</v>
      </c>
      <c r="E267" s="370">
        <v>221</v>
      </c>
      <c r="F267" s="370">
        <v>853</v>
      </c>
      <c r="G267" s="370">
        <v>3862</v>
      </c>
      <c r="H267" s="370">
        <v>11406</v>
      </c>
      <c r="I267" s="370">
        <v>5991</v>
      </c>
      <c r="J267" s="370">
        <v>18192</v>
      </c>
    </row>
    <row r="268" spans="2:10" hidden="1" outlineLevel="1" x14ac:dyDescent="0.25">
      <c r="B268" s="368">
        <v>43405</v>
      </c>
      <c r="C268" s="370">
        <v>1951</v>
      </c>
      <c r="D268" s="370">
        <v>6310</v>
      </c>
      <c r="E268" s="370">
        <v>210</v>
      </c>
      <c r="F268" s="370">
        <v>846</v>
      </c>
      <c r="G268" s="370">
        <v>4235</v>
      </c>
      <c r="H268" s="370">
        <v>12050</v>
      </c>
      <c r="I268" s="370">
        <v>6396</v>
      </c>
      <c r="J268" s="370">
        <v>19206</v>
      </c>
    </row>
    <row r="269" spans="2:10" hidden="1" outlineLevel="1" x14ac:dyDescent="0.25">
      <c r="B269" s="368">
        <v>43435</v>
      </c>
      <c r="C269" s="370">
        <v>1864</v>
      </c>
      <c r="D269" s="370">
        <v>6097</v>
      </c>
      <c r="E269" s="370">
        <v>206</v>
      </c>
      <c r="F269" s="370">
        <v>773</v>
      </c>
      <c r="G269" s="370">
        <v>3733</v>
      </c>
      <c r="H269" s="370">
        <v>11050</v>
      </c>
      <c r="I269" s="370">
        <v>5803</v>
      </c>
      <c r="J269" s="370">
        <v>17920</v>
      </c>
    </row>
    <row r="270" spans="2:10" collapsed="1" x14ac:dyDescent="0.25">
      <c r="B270" s="291" t="s">
        <v>62</v>
      </c>
      <c r="C270" s="296">
        <v>20934</v>
      </c>
      <c r="D270" s="296">
        <v>67470</v>
      </c>
      <c r="E270" s="296">
        <v>2402</v>
      </c>
      <c r="F270" s="296">
        <v>9556</v>
      </c>
      <c r="G270" s="296">
        <v>44462</v>
      </c>
      <c r="H270" s="296">
        <v>125632</v>
      </c>
      <c r="I270" s="296">
        <v>67798</v>
      </c>
      <c r="J270" s="296">
        <v>202658</v>
      </c>
    </row>
    <row r="271" spans="2:10" hidden="1" outlineLevel="1" x14ac:dyDescent="0.25">
      <c r="B271" s="368">
        <v>43466</v>
      </c>
      <c r="C271" s="370">
        <v>1644</v>
      </c>
      <c r="D271" s="370">
        <v>5240</v>
      </c>
      <c r="E271" s="370">
        <v>136</v>
      </c>
      <c r="F271" s="370">
        <v>473</v>
      </c>
      <c r="G271" s="370">
        <v>3602</v>
      </c>
      <c r="H271" s="370">
        <v>10442</v>
      </c>
      <c r="I271" s="370">
        <v>5382</v>
      </c>
      <c r="J271" s="370">
        <v>16155</v>
      </c>
    </row>
    <row r="272" spans="2:10" hidden="1" outlineLevel="1" x14ac:dyDescent="0.25">
      <c r="B272" s="368">
        <v>43497</v>
      </c>
      <c r="C272" s="370">
        <v>1660</v>
      </c>
      <c r="D272" s="370">
        <v>5440</v>
      </c>
      <c r="E272" s="370">
        <v>195</v>
      </c>
      <c r="F272" s="370">
        <v>810</v>
      </c>
      <c r="G272" s="370">
        <v>3859</v>
      </c>
      <c r="H272" s="370">
        <v>11121</v>
      </c>
      <c r="I272" s="370">
        <v>5714</v>
      </c>
      <c r="J272" s="370">
        <v>17371</v>
      </c>
    </row>
    <row r="273" spans="2:10" hidden="1" outlineLevel="1" x14ac:dyDescent="0.25">
      <c r="B273" s="368">
        <v>43525</v>
      </c>
      <c r="C273" s="370">
        <v>1447</v>
      </c>
      <c r="D273" s="370">
        <v>4690</v>
      </c>
      <c r="E273" s="370">
        <v>166</v>
      </c>
      <c r="F273" s="370">
        <v>800</v>
      </c>
      <c r="G273" s="370">
        <v>3536</v>
      </c>
      <c r="H273" s="370">
        <v>10073</v>
      </c>
      <c r="I273" s="370">
        <v>5149</v>
      </c>
      <c r="J273" s="370">
        <v>15563</v>
      </c>
    </row>
    <row r="274" spans="2:10" hidden="1" outlineLevel="1" x14ac:dyDescent="0.25">
      <c r="B274" s="368">
        <v>43556</v>
      </c>
      <c r="C274" s="370">
        <v>1532</v>
      </c>
      <c r="D274" s="370">
        <v>5027</v>
      </c>
      <c r="E274" s="370">
        <v>191</v>
      </c>
      <c r="F274" s="370">
        <v>822</v>
      </c>
      <c r="G274" s="370">
        <v>4048</v>
      </c>
      <c r="H274" s="370">
        <v>11053</v>
      </c>
      <c r="I274" s="370">
        <v>5771</v>
      </c>
      <c r="J274" s="370">
        <v>16902</v>
      </c>
    </row>
    <row r="275" spans="2:10" hidden="1" outlineLevel="1" x14ac:dyDescent="0.25">
      <c r="B275" s="368">
        <v>43586</v>
      </c>
      <c r="C275" s="370">
        <v>1595</v>
      </c>
      <c r="D275" s="370">
        <v>4923</v>
      </c>
      <c r="E275" s="370">
        <v>179</v>
      </c>
      <c r="F275" s="370">
        <v>655</v>
      </c>
      <c r="G275" s="370">
        <v>3277</v>
      </c>
      <c r="H275" s="370">
        <v>9461</v>
      </c>
      <c r="I275" s="370">
        <v>5051</v>
      </c>
      <c r="J275" s="370">
        <v>15039</v>
      </c>
    </row>
    <row r="276" spans="2:10" hidden="1" outlineLevel="1" x14ac:dyDescent="0.25">
      <c r="B276" s="368">
        <v>43617</v>
      </c>
      <c r="C276" s="370">
        <v>1566</v>
      </c>
      <c r="D276" s="370">
        <v>4922</v>
      </c>
      <c r="E276" s="370">
        <v>128</v>
      </c>
      <c r="F276" s="370">
        <v>485</v>
      </c>
      <c r="G276" s="370">
        <v>3773</v>
      </c>
      <c r="H276" s="370">
        <v>10296</v>
      </c>
      <c r="I276" s="370">
        <v>5467</v>
      </c>
      <c r="J276" s="370">
        <v>15703</v>
      </c>
    </row>
    <row r="277" spans="2:10" hidden="1" outlineLevel="1" x14ac:dyDescent="0.25">
      <c r="B277" s="368">
        <v>43647</v>
      </c>
      <c r="C277" s="370">
        <v>1268</v>
      </c>
      <c r="D277" s="370">
        <v>4145</v>
      </c>
      <c r="E277" s="370">
        <v>119</v>
      </c>
      <c r="F277" s="370">
        <v>491</v>
      </c>
      <c r="G277" s="370">
        <v>4075</v>
      </c>
      <c r="H277" s="370">
        <v>11015</v>
      </c>
      <c r="I277" s="370">
        <v>5462</v>
      </c>
      <c r="J277" s="370">
        <v>15651</v>
      </c>
    </row>
    <row r="278" spans="2:10" hidden="1" outlineLevel="1" x14ac:dyDescent="0.25">
      <c r="B278" s="368">
        <v>43678</v>
      </c>
      <c r="C278" s="370">
        <v>1754</v>
      </c>
      <c r="D278" s="370">
        <v>5263</v>
      </c>
      <c r="E278" s="370">
        <v>194</v>
      </c>
      <c r="F278" s="370">
        <v>769</v>
      </c>
      <c r="G278" s="370">
        <v>3280</v>
      </c>
      <c r="H278" s="370">
        <v>9481</v>
      </c>
      <c r="I278" s="370">
        <v>5228</v>
      </c>
      <c r="J278" s="370">
        <v>15513</v>
      </c>
    </row>
    <row r="279" spans="2:10" hidden="1" outlineLevel="1" x14ac:dyDescent="0.25">
      <c r="B279" s="368">
        <v>43709</v>
      </c>
      <c r="C279" s="370">
        <v>1699</v>
      </c>
      <c r="D279" s="370">
        <v>5345</v>
      </c>
      <c r="E279" s="370">
        <v>173</v>
      </c>
      <c r="F279" s="370">
        <v>649</v>
      </c>
      <c r="G279" s="370">
        <v>3976</v>
      </c>
      <c r="H279" s="370">
        <v>10889</v>
      </c>
      <c r="I279" s="370">
        <v>5848</v>
      </c>
      <c r="J279" s="370">
        <v>16883</v>
      </c>
    </row>
    <row r="280" spans="2:10" hidden="1" outlineLevel="1" x14ac:dyDescent="0.25">
      <c r="B280" s="368">
        <v>43739</v>
      </c>
      <c r="C280" s="370">
        <v>1702</v>
      </c>
      <c r="D280" s="370">
        <v>5319</v>
      </c>
      <c r="E280" s="370">
        <v>176</v>
      </c>
      <c r="F280" s="370">
        <v>664</v>
      </c>
      <c r="G280" s="370">
        <v>4777</v>
      </c>
      <c r="H280" s="370">
        <v>13052</v>
      </c>
      <c r="I280" s="370">
        <v>6655</v>
      </c>
      <c r="J280" s="370">
        <v>19035</v>
      </c>
    </row>
    <row r="281" spans="2:10" hidden="1" outlineLevel="1" x14ac:dyDescent="0.25">
      <c r="B281" s="368">
        <v>43770</v>
      </c>
      <c r="C281" s="370">
        <v>1481</v>
      </c>
      <c r="D281" s="370">
        <v>4688</v>
      </c>
      <c r="E281" s="370">
        <v>133</v>
      </c>
      <c r="F281" s="370">
        <v>524</v>
      </c>
      <c r="G281" s="370">
        <v>2191</v>
      </c>
      <c r="H281" s="370">
        <v>6559</v>
      </c>
      <c r="I281" s="370">
        <v>3805</v>
      </c>
      <c r="J281" s="370">
        <v>11771</v>
      </c>
    </row>
    <row r="282" spans="2:10" hidden="1" outlineLevel="1" x14ac:dyDescent="0.25">
      <c r="B282" s="368">
        <v>43800</v>
      </c>
      <c r="C282" s="370">
        <v>1336</v>
      </c>
      <c r="D282" s="370">
        <v>4183</v>
      </c>
      <c r="E282" s="370">
        <v>108</v>
      </c>
      <c r="F282" s="370">
        <v>440</v>
      </c>
      <c r="G282" s="370">
        <v>4914</v>
      </c>
      <c r="H282" s="370">
        <v>13478</v>
      </c>
      <c r="I282" s="370">
        <v>6358</v>
      </c>
      <c r="J282" s="370">
        <v>18101</v>
      </c>
    </row>
    <row r="283" spans="2:10" collapsed="1" x14ac:dyDescent="0.25">
      <c r="B283" s="291" t="s">
        <v>63</v>
      </c>
      <c r="C283" s="296">
        <v>18684</v>
      </c>
      <c r="D283" s="296">
        <v>59185</v>
      </c>
      <c r="E283" s="296">
        <v>1898</v>
      </c>
      <c r="F283" s="296">
        <v>7582</v>
      </c>
      <c r="G283" s="296">
        <v>45308</v>
      </c>
      <c r="H283" s="296">
        <v>126920</v>
      </c>
      <c r="I283" s="296">
        <v>65890</v>
      </c>
      <c r="J283" s="296">
        <v>193687</v>
      </c>
    </row>
    <row r="284" spans="2:10" hidden="1" outlineLevel="1" x14ac:dyDescent="0.25">
      <c r="B284" s="368">
        <v>43831</v>
      </c>
      <c r="C284" s="370">
        <v>2201</v>
      </c>
      <c r="D284" s="370">
        <v>6965</v>
      </c>
      <c r="E284" s="370">
        <v>189</v>
      </c>
      <c r="F284" s="370">
        <v>759</v>
      </c>
      <c r="G284" s="370">
        <v>4583</v>
      </c>
      <c r="H284" s="370">
        <v>12850</v>
      </c>
      <c r="I284" s="370">
        <v>6973</v>
      </c>
      <c r="J284" s="370">
        <v>20574</v>
      </c>
    </row>
    <row r="285" spans="2:10" hidden="1" outlineLevel="1" x14ac:dyDescent="0.25">
      <c r="B285" s="368">
        <v>43862</v>
      </c>
      <c r="C285" s="370">
        <v>1863</v>
      </c>
      <c r="D285" s="370">
        <v>5801</v>
      </c>
      <c r="E285" s="370">
        <v>280</v>
      </c>
      <c r="F285" s="370">
        <v>1068</v>
      </c>
      <c r="G285" s="370">
        <v>4722</v>
      </c>
      <c r="H285" s="370">
        <v>13234</v>
      </c>
      <c r="I285" s="370">
        <v>6865</v>
      </c>
      <c r="J285" s="370">
        <v>20103</v>
      </c>
    </row>
    <row r="286" spans="2:10" hidden="1" outlineLevel="1" x14ac:dyDescent="0.25">
      <c r="B286" s="368">
        <v>43891</v>
      </c>
      <c r="C286" s="370">
        <v>1546</v>
      </c>
      <c r="D286" s="370">
        <v>4795</v>
      </c>
      <c r="E286" s="370">
        <v>263</v>
      </c>
      <c r="F286" s="370">
        <v>982</v>
      </c>
      <c r="G286" s="370">
        <v>4641</v>
      </c>
      <c r="H286" s="370">
        <v>11822</v>
      </c>
      <c r="I286" s="370">
        <v>6450</v>
      </c>
      <c r="J286" s="370">
        <v>17599</v>
      </c>
    </row>
    <row r="287" spans="2:10" hidden="1" outlineLevel="1" x14ac:dyDescent="0.25">
      <c r="B287" s="368">
        <v>43922</v>
      </c>
      <c r="C287" s="370">
        <v>1051</v>
      </c>
      <c r="D287" s="370">
        <v>3202</v>
      </c>
      <c r="E287" s="370">
        <v>187</v>
      </c>
      <c r="F287" s="370">
        <v>651</v>
      </c>
      <c r="G287" s="370">
        <v>1882</v>
      </c>
      <c r="H287" s="370">
        <v>5219</v>
      </c>
      <c r="I287" s="370">
        <v>3120</v>
      </c>
      <c r="J287" s="370">
        <v>9072</v>
      </c>
    </row>
    <row r="288" spans="2:10" hidden="1" outlineLevel="1" x14ac:dyDescent="0.25">
      <c r="B288" s="368">
        <v>43952</v>
      </c>
      <c r="C288" s="370">
        <v>909</v>
      </c>
      <c r="D288" s="370">
        <v>2848</v>
      </c>
      <c r="E288" s="370">
        <v>78</v>
      </c>
      <c r="F288" s="370">
        <v>231</v>
      </c>
      <c r="G288" s="370">
        <v>2681</v>
      </c>
      <c r="H288" s="370">
        <v>7557</v>
      </c>
      <c r="I288" s="370">
        <v>3668</v>
      </c>
      <c r="J288" s="370">
        <v>10636</v>
      </c>
    </row>
    <row r="289" spans="2:10" hidden="1" outlineLevel="1" x14ac:dyDescent="0.25">
      <c r="B289" s="368">
        <v>43983</v>
      </c>
      <c r="C289" s="370">
        <v>993</v>
      </c>
      <c r="D289" s="370">
        <v>3330</v>
      </c>
      <c r="E289" s="370">
        <v>84</v>
      </c>
      <c r="F289" s="370">
        <v>288</v>
      </c>
      <c r="G289" s="370">
        <v>2933</v>
      </c>
      <c r="H289" s="370">
        <v>8252</v>
      </c>
      <c r="I289" s="370">
        <v>4010</v>
      </c>
      <c r="J289" s="370">
        <v>11870</v>
      </c>
    </row>
    <row r="290" spans="2:10" hidden="1" outlineLevel="1" x14ac:dyDescent="0.25">
      <c r="B290" s="368">
        <v>44013</v>
      </c>
      <c r="C290" s="370">
        <v>986</v>
      </c>
      <c r="D290" s="370">
        <v>3235</v>
      </c>
      <c r="E290" s="370">
        <v>89</v>
      </c>
      <c r="F290" s="370">
        <v>315</v>
      </c>
      <c r="G290" s="370">
        <v>2624</v>
      </c>
      <c r="H290" s="370">
        <v>7519</v>
      </c>
      <c r="I290" s="370">
        <v>3699</v>
      </c>
      <c r="J290" s="370">
        <v>11069</v>
      </c>
    </row>
    <row r="291" spans="2:10" hidden="1" outlineLevel="1" x14ac:dyDescent="0.25">
      <c r="B291" s="368">
        <v>44044</v>
      </c>
      <c r="C291" s="370">
        <v>1480</v>
      </c>
      <c r="D291" s="370">
        <v>4797</v>
      </c>
      <c r="E291" s="370">
        <v>118</v>
      </c>
      <c r="F291" s="370">
        <v>473</v>
      </c>
      <c r="G291" s="370">
        <v>4002</v>
      </c>
      <c r="H291" s="370">
        <v>11251</v>
      </c>
      <c r="I291" s="370">
        <v>5600</v>
      </c>
      <c r="J291" s="370">
        <v>16521</v>
      </c>
    </row>
    <row r="292" spans="2:10" hidden="1" outlineLevel="1" x14ac:dyDescent="0.25">
      <c r="B292" s="368">
        <v>44075</v>
      </c>
      <c r="C292" s="370">
        <v>1186</v>
      </c>
      <c r="D292" s="370">
        <v>3543</v>
      </c>
      <c r="E292" s="370">
        <v>159</v>
      </c>
      <c r="F292" s="370">
        <v>638</v>
      </c>
      <c r="G292" s="370">
        <v>4911</v>
      </c>
      <c r="H292" s="370">
        <v>13887</v>
      </c>
      <c r="I292" s="370">
        <v>6256</v>
      </c>
      <c r="J292" s="370">
        <v>18068</v>
      </c>
    </row>
    <row r="293" spans="2:10" hidden="1" outlineLevel="1" x14ac:dyDescent="0.25">
      <c r="B293" s="368">
        <v>44105</v>
      </c>
      <c r="C293" s="370">
        <v>1467</v>
      </c>
      <c r="D293" s="370">
        <v>4681</v>
      </c>
      <c r="E293" s="370">
        <v>192</v>
      </c>
      <c r="F293" s="370">
        <v>699</v>
      </c>
      <c r="G293" s="370">
        <v>5018</v>
      </c>
      <c r="H293" s="370">
        <v>14011</v>
      </c>
      <c r="I293" s="370">
        <v>6677</v>
      </c>
      <c r="J293" s="370">
        <v>19391</v>
      </c>
    </row>
    <row r="294" spans="2:10" hidden="1" outlineLevel="1" x14ac:dyDescent="0.25">
      <c r="B294" s="368">
        <v>44136</v>
      </c>
      <c r="C294" s="370">
        <v>1677</v>
      </c>
      <c r="D294" s="370">
        <v>5559</v>
      </c>
      <c r="E294" s="370">
        <v>165</v>
      </c>
      <c r="F294" s="370">
        <v>618</v>
      </c>
      <c r="G294" s="370">
        <v>5429</v>
      </c>
      <c r="H294" s="370">
        <v>14876</v>
      </c>
      <c r="I294" s="370">
        <v>7271</v>
      </c>
      <c r="J294" s="370">
        <v>21053</v>
      </c>
    </row>
    <row r="295" spans="2:10" hidden="1" outlineLevel="1" x14ac:dyDescent="0.25">
      <c r="B295" s="368">
        <v>44166</v>
      </c>
      <c r="C295" s="370">
        <v>1800</v>
      </c>
      <c r="D295" s="370">
        <v>5642</v>
      </c>
      <c r="E295" s="370">
        <v>202</v>
      </c>
      <c r="F295" s="370">
        <v>734</v>
      </c>
      <c r="G295" s="370">
        <v>5058</v>
      </c>
      <c r="H295" s="370">
        <v>13896</v>
      </c>
      <c r="I295" s="370">
        <v>7060</v>
      </c>
      <c r="J295" s="370">
        <v>20272</v>
      </c>
    </row>
    <row r="296" spans="2:10" collapsed="1" x14ac:dyDescent="0.25">
      <c r="B296" s="291" t="s">
        <v>67</v>
      </c>
      <c r="C296" s="296">
        <v>17159</v>
      </c>
      <c r="D296" s="296">
        <v>54398</v>
      </c>
      <c r="E296" s="296">
        <v>2006</v>
      </c>
      <c r="F296" s="296">
        <v>7456</v>
      </c>
      <c r="G296" s="296">
        <v>48484</v>
      </c>
      <c r="H296" s="296">
        <v>134374</v>
      </c>
      <c r="I296" s="296">
        <v>67649</v>
      </c>
      <c r="J296" s="296">
        <v>196228</v>
      </c>
    </row>
    <row r="297" spans="2:10" hidden="1" outlineLevel="1" x14ac:dyDescent="0.25">
      <c r="B297" s="368">
        <v>44197</v>
      </c>
      <c r="C297" s="370">
        <v>1411</v>
      </c>
      <c r="D297" s="370">
        <v>4622</v>
      </c>
      <c r="E297" s="370">
        <v>155</v>
      </c>
      <c r="F297" s="370">
        <v>625</v>
      </c>
      <c r="G297" s="370">
        <v>4306</v>
      </c>
      <c r="H297" s="370">
        <v>11827</v>
      </c>
      <c r="I297" s="370">
        <v>5872</v>
      </c>
      <c r="J297" s="370">
        <v>17074</v>
      </c>
    </row>
    <row r="298" spans="2:10" hidden="1" outlineLevel="1" x14ac:dyDescent="0.25">
      <c r="B298" s="368">
        <v>44228</v>
      </c>
      <c r="C298" s="370">
        <v>1495</v>
      </c>
      <c r="D298" s="370">
        <v>4904</v>
      </c>
      <c r="E298" s="370">
        <v>139</v>
      </c>
      <c r="F298" s="370">
        <v>531</v>
      </c>
      <c r="G298" s="370">
        <v>4764</v>
      </c>
      <c r="H298" s="370">
        <v>12927</v>
      </c>
      <c r="I298" s="370">
        <v>6398</v>
      </c>
      <c r="J298" s="370">
        <v>18362</v>
      </c>
    </row>
    <row r="299" spans="2:10" hidden="1" outlineLevel="1" x14ac:dyDescent="0.25">
      <c r="B299" s="368">
        <v>44256</v>
      </c>
      <c r="C299" s="370">
        <v>1529</v>
      </c>
      <c r="D299" s="370">
        <v>4851</v>
      </c>
      <c r="E299" s="370">
        <v>159</v>
      </c>
      <c r="F299" s="370">
        <v>584</v>
      </c>
      <c r="G299" s="370">
        <v>4596</v>
      </c>
      <c r="H299" s="370">
        <v>12534</v>
      </c>
      <c r="I299" s="370">
        <v>6284</v>
      </c>
      <c r="J299" s="370">
        <v>17969</v>
      </c>
    </row>
    <row r="300" spans="2:10" hidden="1" outlineLevel="1" x14ac:dyDescent="0.25">
      <c r="B300" s="368">
        <v>44287</v>
      </c>
      <c r="C300" s="370">
        <v>1554</v>
      </c>
      <c r="D300" s="370">
        <v>4890</v>
      </c>
      <c r="E300" s="370">
        <v>204</v>
      </c>
      <c r="F300" s="370">
        <v>672</v>
      </c>
      <c r="G300" s="370">
        <v>3887</v>
      </c>
      <c r="H300" s="370">
        <v>10535</v>
      </c>
      <c r="I300" s="370">
        <v>5645</v>
      </c>
      <c r="J300" s="370">
        <v>16097</v>
      </c>
    </row>
    <row r="301" spans="2:10" hidden="1" outlineLevel="1" x14ac:dyDescent="0.25">
      <c r="B301" s="368">
        <v>44317</v>
      </c>
      <c r="C301" s="370">
        <v>1339</v>
      </c>
      <c r="D301" s="370">
        <v>4387</v>
      </c>
      <c r="E301" s="370">
        <v>188</v>
      </c>
      <c r="F301" s="370">
        <v>681</v>
      </c>
      <c r="G301" s="370">
        <v>4727</v>
      </c>
      <c r="H301" s="370">
        <v>12674</v>
      </c>
      <c r="I301" s="370">
        <v>6254</v>
      </c>
      <c r="J301" s="370">
        <v>17742</v>
      </c>
    </row>
    <row r="302" spans="2:10" hidden="1" outlineLevel="1" x14ac:dyDescent="0.25">
      <c r="B302" s="368">
        <v>44348</v>
      </c>
      <c r="C302" s="370">
        <v>1705</v>
      </c>
      <c r="D302" s="370">
        <v>5296</v>
      </c>
      <c r="E302" s="370">
        <v>180</v>
      </c>
      <c r="F302" s="370">
        <v>647</v>
      </c>
      <c r="G302" s="370">
        <v>4571</v>
      </c>
      <c r="H302" s="370">
        <v>12236</v>
      </c>
      <c r="I302" s="370">
        <v>6456</v>
      </c>
      <c r="J302" s="370">
        <v>18179</v>
      </c>
    </row>
    <row r="303" spans="2:10" hidden="1" outlineLevel="1" x14ac:dyDescent="0.25">
      <c r="B303" s="368">
        <v>44378</v>
      </c>
      <c r="C303" s="370">
        <v>1501</v>
      </c>
      <c r="D303" s="370">
        <v>4957</v>
      </c>
      <c r="E303" s="370">
        <v>165</v>
      </c>
      <c r="F303" s="370">
        <v>584</v>
      </c>
      <c r="G303" s="370">
        <v>4456</v>
      </c>
      <c r="H303" s="370">
        <v>12115</v>
      </c>
      <c r="I303" s="370">
        <v>6122</v>
      </c>
      <c r="J303" s="370">
        <v>17656</v>
      </c>
    </row>
    <row r="304" spans="2:10" hidden="1" outlineLevel="1" x14ac:dyDescent="0.25">
      <c r="B304" s="368">
        <v>44409</v>
      </c>
      <c r="C304" s="370">
        <v>1958</v>
      </c>
      <c r="D304" s="370">
        <v>6075</v>
      </c>
      <c r="E304" s="370">
        <v>199</v>
      </c>
      <c r="F304" s="370">
        <v>683</v>
      </c>
      <c r="G304" s="370">
        <v>5531</v>
      </c>
      <c r="H304" s="370">
        <v>15024</v>
      </c>
      <c r="I304" s="370">
        <v>7688</v>
      </c>
      <c r="J304" s="370">
        <v>21782</v>
      </c>
    </row>
    <row r="305" spans="2:10" hidden="1" outlineLevel="1" x14ac:dyDescent="0.25">
      <c r="B305" s="368">
        <v>44440</v>
      </c>
      <c r="C305" s="370">
        <v>2110</v>
      </c>
      <c r="D305" s="370">
        <v>6529</v>
      </c>
      <c r="E305" s="370">
        <v>220</v>
      </c>
      <c r="F305" s="370">
        <v>837</v>
      </c>
      <c r="G305" s="370">
        <v>5212</v>
      </c>
      <c r="H305" s="370">
        <v>13910</v>
      </c>
      <c r="I305" s="370">
        <v>7542</v>
      </c>
      <c r="J305" s="370">
        <v>21276</v>
      </c>
    </row>
    <row r="306" spans="2:10" hidden="1" outlineLevel="1" x14ac:dyDescent="0.25">
      <c r="B306" s="368">
        <v>44470</v>
      </c>
      <c r="C306" s="370">
        <v>1995</v>
      </c>
      <c r="D306" s="370">
        <v>6274</v>
      </c>
      <c r="E306" s="370">
        <v>253</v>
      </c>
      <c r="F306" s="370">
        <v>909</v>
      </c>
      <c r="G306" s="370">
        <v>5673</v>
      </c>
      <c r="H306" s="370">
        <v>15241</v>
      </c>
      <c r="I306" s="370">
        <v>7921</v>
      </c>
      <c r="J306" s="370">
        <v>22424</v>
      </c>
    </row>
    <row r="307" spans="2:10" hidden="1" outlineLevel="1" x14ac:dyDescent="0.25">
      <c r="B307" s="368">
        <v>44501</v>
      </c>
      <c r="C307" s="370">
        <v>2001</v>
      </c>
      <c r="D307" s="370">
        <v>6341</v>
      </c>
      <c r="E307" s="370">
        <v>307</v>
      </c>
      <c r="F307" s="370">
        <v>1121</v>
      </c>
      <c r="G307" s="370">
        <v>5341</v>
      </c>
      <c r="H307" s="370">
        <v>14390</v>
      </c>
      <c r="I307" s="370">
        <v>7649</v>
      </c>
      <c r="J307" s="370">
        <v>21852</v>
      </c>
    </row>
    <row r="308" spans="2:10" hidden="1" outlineLevel="1" x14ac:dyDescent="0.25">
      <c r="B308" s="368">
        <v>44531</v>
      </c>
      <c r="C308" s="370">
        <v>2034</v>
      </c>
      <c r="D308" s="370">
        <v>6415</v>
      </c>
      <c r="E308" s="370">
        <v>294</v>
      </c>
      <c r="F308" s="370">
        <v>1037</v>
      </c>
      <c r="G308" s="370">
        <v>5520</v>
      </c>
      <c r="H308" s="370">
        <v>14702</v>
      </c>
      <c r="I308" s="370">
        <v>7848</v>
      </c>
      <c r="J308" s="370">
        <v>22154</v>
      </c>
    </row>
    <row r="309" spans="2:10" collapsed="1" x14ac:dyDescent="0.25">
      <c r="B309" s="292" t="s">
        <v>68</v>
      </c>
      <c r="C309" s="296">
        <v>20632</v>
      </c>
      <c r="D309" s="296">
        <v>65541</v>
      </c>
      <c r="E309" s="296">
        <v>2463</v>
      </c>
      <c r="F309" s="296">
        <v>8911</v>
      </c>
      <c r="G309" s="296">
        <v>58584</v>
      </c>
      <c r="H309" s="296">
        <v>158115</v>
      </c>
      <c r="I309" s="296">
        <v>81679</v>
      </c>
      <c r="J309" s="296">
        <v>232567</v>
      </c>
    </row>
    <row r="310" spans="2:10" outlineLevel="1" x14ac:dyDescent="0.25">
      <c r="B310" s="368">
        <v>44562</v>
      </c>
      <c r="C310" s="370">
        <v>2127</v>
      </c>
      <c r="D310" s="370">
        <v>6604</v>
      </c>
      <c r="E310" s="370">
        <v>322</v>
      </c>
      <c r="F310" s="370">
        <v>1143</v>
      </c>
      <c r="G310" s="370">
        <v>5219</v>
      </c>
      <c r="H310" s="370">
        <v>14359</v>
      </c>
      <c r="I310" s="370">
        <v>7668</v>
      </c>
      <c r="J310" s="370">
        <v>22106</v>
      </c>
    </row>
    <row r="311" spans="2:10" outlineLevel="1" x14ac:dyDescent="0.25">
      <c r="B311" s="368">
        <v>44593</v>
      </c>
      <c r="C311" s="370">
        <v>823</v>
      </c>
      <c r="D311" s="370">
        <v>2334</v>
      </c>
      <c r="E311" s="370">
        <v>205</v>
      </c>
      <c r="F311" s="370">
        <v>664</v>
      </c>
      <c r="G311" s="370">
        <v>9346</v>
      </c>
      <c r="H311" s="370">
        <v>23879</v>
      </c>
      <c r="I311" s="370">
        <v>10374</v>
      </c>
      <c r="J311" s="370">
        <v>26877</v>
      </c>
    </row>
    <row r="312" spans="2:10" outlineLevel="1" x14ac:dyDescent="0.25">
      <c r="B312" s="368">
        <v>44621</v>
      </c>
      <c r="C312" s="370">
        <v>2362</v>
      </c>
      <c r="D312" s="370">
        <v>7292</v>
      </c>
      <c r="E312" s="370">
        <v>180</v>
      </c>
      <c r="F312" s="370">
        <v>602</v>
      </c>
      <c r="G312" s="370">
        <v>6973</v>
      </c>
      <c r="H312" s="370">
        <v>17491</v>
      </c>
      <c r="I312" s="370">
        <v>9515</v>
      </c>
      <c r="J312" s="370">
        <v>25385</v>
      </c>
    </row>
    <row r="313" spans="2:10" outlineLevel="1" x14ac:dyDescent="0.25">
      <c r="B313" s="368">
        <v>44652</v>
      </c>
      <c r="C313" s="370">
        <v>4289</v>
      </c>
      <c r="D313" s="370">
        <v>13350</v>
      </c>
      <c r="E313" s="370">
        <v>873</v>
      </c>
      <c r="F313" s="370">
        <v>3126</v>
      </c>
      <c r="G313" s="370">
        <v>6323</v>
      </c>
      <c r="H313" s="370">
        <v>16898</v>
      </c>
      <c r="I313" s="370">
        <v>11485</v>
      </c>
      <c r="J313" s="370">
        <v>33374</v>
      </c>
    </row>
    <row r="314" spans="2:10" outlineLevel="1" x14ac:dyDescent="0.25">
      <c r="B314" s="368">
        <v>44682</v>
      </c>
      <c r="C314" s="370">
        <v>1956</v>
      </c>
      <c r="D314" s="370">
        <v>5953</v>
      </c>
      <c r="E314" s="370">
        <v>514</v>
      </c>
      <c r="F314" s="370">
        <v>1992</v>
      </c>
      <c r="G314" s="370">
        <v>6279</v>
      </c>
      <c r="H314" s="370">
        <v>15696</v>
      </c>
      <c r="I314" s="370">
        <v>8749</v>
      </c>
      <c r="J314" s="370">
        <v>23641</v>
      </c>
    </row>
    <row r="315" spans="2:10" outlineLevel="1" x14ac:dyDescent="0.25">
      <c r="B315" s="368">
        <v>44713</v>
      </c>
      <c r="C315" s="370">
        <v>1649</v>
      </c>
      <c r="D315" s="370">
        <v>5071</v>
      </c>
      <c r="E315" s="370">
        <v>372</v>
      </c>
      <c r="F315" s="370">
        <v>1451</v>
      </c>
      <c r="G315" s="370">
        <v>6680</v>
      </c>
      <c r="H315" s="370">
        <v>17868</v>
      </c>
      <c r="I315" s="370">
        <v>8701</v>
      </c>
      <c r="J315" s="370">
        <v>24390</v>
      </c>
    </row>
    <row r="316" spans="2:10" outlineLevel="1" x14ac:dyDescent="0.25">
      <c r="B316" s="368">
        <v>44743</v>
      </c>
      <c r="C316" s="370">
        <v>1526</v>
      </c>
      <c r="D316" s="370">
        <v>4781</v>
      </c>
      <c r="E316" s="370">
        <v>327</v>
      </c>
      <c r="F316" s="370">
        <v>1197</v>
      </c>
      <c r="G316" s="370">
        <v>5871</v>
      </c>
      <c r="H316" s="370">
        <v>16169</v>
      </c>
      <c r="I316" s="370">
        <v>7724</v>
      </c>
      <c r="J316" s="370">
        <v>22147</v>
      </c>
    </row>
    <row r="317" spans="2:10" outlineLevel="1" x14ac:dyDescent="0.25">
      <c r="B317" s="368">
        <v>44774</v>
      </c>
      <c r="C317" s="370">
        <v>3815</v>
      </c>
      <c r="D317" s="370">
        <v>11553</v>
      </c>
      <c r="E317" s="370">
        <v>768</v>
      </c>
      <c r="F317" s="370">
        <v>2546</v>
      </c>
      <c r="G317" s="370">
        <v>7704</v>
      </c>
      <c r="H317" s="370">
        <v>20253</v>
      </c>
      <c r="I317" s="370">
        <v>12287</v>
      </c>
      <c r="J317" s="370">
        <v>34352</v>
      </c>
    </row>
    <row r="318" spans="2:10" outlineLevel="1" x14ac:dyDescent="0.25">
      <c r="B318" s="368">
        <v>44805</v>
      </c>
      <c r="C318" s="370">
        <v>1554</v>
      </c>
      <c r="D318" s="370">
        <v>4797</v>
      </c>
      <c r="E318" s="370">
        <v>246</v>
      </c>
      <c r="F318" s="370">
        <v>925</v>
      </c>
      <c r="G318" s="370">
        <v>4704</v>
      </c>
      <c r="H318" s="370">
        <v>12244</v>
      </c>
      <c r="I318" s="370">
        <v>6504</v>
      </c>
      <c r="J318" s="370">
        <v>17966</v>
      </c>
    </row>
    <row r="319" spans="2:10" outlineLevel="1" x14ac:dyDescent="0.25">
      <c r="B319" s="368">
        <v>44835</v>
      </c>
      <c r="C319" s="370">
        <v>2371</v>
      </c>
      <c r="D319" s="370">
        <v>7347</v>
      </c>
      <c r="E319" s="370">
        <v>242</v>
      </c>
      <c r="F319" s="370">
        <v>826</v>
      </c>
      <c r="G319" s="370">
        <v>8344</v>
      </c>
      <c r="H319" s="370">
        <v>23067</v>
      </c>
      <c r="I319" s="370">
        <v>10957</v>
      </c>
      <c r="J319" s="370">
        <v>31240</v>
      </c>
    </row>
    <row r="320" spans="2:10" outlineLevel="1" x14ac:dyDescent="0.25">
      <c r="B320" s="368">
        <v>44866</v>
      </c>
      <c r="C320" s="370">
        <v>2730</v>
      </c>
      <c r="D320" s="370">
        <v>8235</v>
      </c>
      <c r="E320" s="370">
        <v>790</v>
      </c>
      <c r="F320" s="370">
        <v>2651</v>
      </c>
      <c r="G320" s="370">
        <v>7647</v>
      </c>
      <c r="H320" s="370">
        <v>20867</v>
      </c>
      <c r="I320" s="370">
        <v>11167</v>
      </c>
      <c r="J320" s="370">
        <v>31753</v>
      </c>
    </row>
    <row r="321" spans="2:10" outlineLevel="1" x14ac:dyDescent="0.25">
      <c r="B321" s="368">
        <v>44896</v>
      </c>
      <c r="C321" s="370">
        <v>2790</v>
      </c>
      <c r="D321" s="370">
        <v>8331</v>
      </c>
      <c r="E321" s="370">
        <v>439</v>
      </c>
      <c r="F321" s="370">
        <v>1454</v>
      </c>
      <c r="G321" s="370">
        <v>7069</v>
      </c>
      <c r="H321" s="370">
        <v>18563</v>
      </c>
      <c r="I321" s="370">
        <v>10298</v>
      </c>
      <c r="J321" s="370">
        <v>28348</v>
      </c>
    </row>
    <row r="322" spans="2:10" x14ac:dyDescent="0.25">
      <c r="B322" s="292" t="s">
        <v>69</v>
      </c>
      <c r="C322" s="296">
        <v>27992</v>
      </c>
      <c r="D322" s="296">
        <v>85648</v>
      </c>
      <c r="E322" s="296">
        <v>5278</v>
      </c>
      <c r="F322" s="296">
        <v>18577</v>
      </c>
      <c r="G322" s="296">
        <v>82159</v>
      </c>
      <c r="H322" s="296">
        <v>217354</v>
      </c>
      <c r="I322" s="296">
        <v>115429</v>
      </c>
      <c r="J322" s="296">
        <v>321579</v>
      </c>
    </row>
    <row r="323" spans="2:10" outlineLevel="1" x14ac:dyDescent="0.25">
      <c r="B323" s="368">
        <v>44927</v>
      </c>
      <c r="C323" s="370">
        <v>1422</v>
      </c>
      <c r="D323" s="370">
        <v>4423</v>
      </c>
      <c r="E323" s="370">
        <v>121</v>
      </c>
      <c r="F323" s="370">
        <v>395</v>
      </c>
      <c r="G323" s="370">
        <v>5912</v>
      </c>
      <c r="H323" s="370">
        <v>15527</v>
      </c>
      <c r="I323" s="370">
        <v>7455</v>
      </c>
      <c r="J323" s="370">
        <v>20345</v>
      </c>
    </row>
    <row r="324" spans="2:10" outlineLevel="1" x14ac:dyDescent="0.25">
      <c r="B324" s="368">
        <v>44958</v>
      </c>
      <c r="C324" s="370">
        <v>1914</v>
      </c>
      <c r="D324" s="370">
        <v>5826</v>
      </c>
      <c r="E324" s="370">
        <v>244</v>
      </c>
      <c r="F324" s="370">
        <v>881</v>
      </c>
      <c r="G324" s="370">
        <v>6949</v>
      </c>
      <c r="H324" s="370">
        <v>18204</v>
      </c>
      <c r="I324" s="370">
        <v>9107</v>
      </c>
      <c r="J324" s="370">
        <v>24911</v>
      </c>
    </row>
    <row r="325" spans="2:10" outlineLevel="1" x14ac:dyDescent="0.25">
      <c r="B325" s="368">
        <v>44986</v>
      </c>
      <c r="C325" s="370">
        <v>2021</v>
      </c>
      <c r="D325" s="370">
        <v>6149</v>
      </c>
      <c r="E325" s="370">
        <v>269</v>
      </c>
      <c r="F325" s="370">
        <v>932</v>
      </c>
      <c r="G325" s="370">
        <v>4828</v>
      </c>
      <c r="H325" s="370">
        <v>13079</v>
      </c>
      <c r="I325" s="370">
        <v>7118</v>
      </c>
      <c r="J325" s="370">
        <v>20160</v>
      </c>
    </row>
    <row r="326" spans="2:10" outlineLevel="1" x14ac:dyDescent="0.25">
      <c r="B326" s="368">
        <v>45017</v>
      </c>
      <c r="C326" s="370">
        <v>2508</v>
      </c>
      <c r="D326" s="370">
        <v>7519</v>
      </c>
      <c r="E326" s="370">
        <v>710</v>
      </c>
      <c r="F326" s="370">
        <v>2683</v>
      </c>
      <c r="G326" s="370">
        <v>7065</v>
      </c>
      <c r="H326" s="370">
        <v>18024</v>
      </c>
      <c r="I326" s="370">
        <v>10283</v>
      </c>
      <c r="J326" s="370">
        <v>28226</v>
      </c>
    </row>
    <row r="327" spans="2:10" outlineLevel="1" x14ac:dyDescent="0.25">
      <c r="B327" s="368">
        <v>45047</v>
      </c>
      <c r="C327" s="370">
        <v>1650</v>
      </c>
      <c r="D327" s="370">
        <v>4894</v>
      </c>
      <c r="E327" s="370">
        <v>373</v>
      </c>
      <c r="F327" s="370">
        <v>1285</v>
      </c>
      <c r="G327" s="370">
        <v>5000</v>
      </c>
      <c r="H327" s="370">
        <v>13553</v>
      </c>
      <c r="I327" s="370">
        <v>7023</v>
      </c>
      <c r="J327" s="370">
        <v>19732</v>
      </c>
    </row>
    <row r="328" spans="2:10" outlineLevel="1" x14ac:dyDescent="0.25">
      <c r="B328" s="368">
        <v>45078</v>
      </c>
      <c r="C328" s="370">
        <v>1313</v>
      </c>
      <c r="D328" s="370">
        <v>3644</v>
      </c>
      <c r="E328" s="370">
        <v>295</v>
      </c>
      <c r="F328" s="370">
        <v>970</v>
      </c>
      <c r="G328" s="370">
        <v>5445</v>
      </c>
      <c r="H328" s="370">
        <v>14253</v>
      </c>
      <c r="I328" s="370">
        <v>7053</v>
      </c>
      <c r="J328" s="370">
        <v>18867</v>
      </c>
    </row>
    <row r="329" spans="2:10" outlineLevel="1" x14ac:dyDescent="0.25">
      <c r="B329" s="368">
        <v>45108</v>
      </c>
      <c r="C329" s="370">
        <v>1327</v>
      </c>
      <c r="D329" s="370">
        <v>4057</v>
      </c>
      <c r="E329" s="370">
        <v>210</v>
      </c>
      <c r="F329" s="370">
        <v>767</v>
      </c>
      <c r="G329" s="370">
        <v>5271</v>
      </c>
      <c r="H329" s="370">
        <v>14438</v>
      </c>
      <c r="I329" s="370">
        <v>6808</v>
      </c>
      <c r="J329" s="370">
        <v>19262</v>
      </c>
    </row>
    <row r="330" spans="2:10" outlineLevel="1" x14ac:dyDescent="0.25">
      <c r="B330" s="368">
        <v>45139</v>
      </c>
      <c r="C330" s="370">
        <v>1654</v>
      </c>
      <c r="D330" s="370">
        <v>4942</v>
      </c>
      <c r="E330" s="370">
        <v>258</v>
      </c>
      <c r="F330" s="370">
        <v>943</v>
      </c>
      <c r="G330" s="370">
        <v>6382</v>
      </c>
      <c r="H330" s="370">
        <v>16886</v>
      </c>
      <c r="I330" s="370">
        <v>8294</v>
      </c>
      <c r="J330" s="370">
        <v>22771</v>
      </c>
    </row>
    <row r="331" spans="2:10" outlineLevel="1" x14ac:dyDescent="0.25">
      <c r="B331" s="368">
        <v>45170</v>
      </c>
      <c r="C331" s="370">
        <v>1488</v>
      </c>
      <c r="D331" s="370">
        <v>4521</v>
      </c>
      <c r="E331" s="370">
        <v>287</v>
      </c>
      <c r="F331" s="370">
        <v>1043</v>
      </c>
      <c r="G331" s="370">
        <v>6299</v>
      </c>
      <c r="H331" s="370">
        <v>16947</v>
      </c>
      <c r="I331" s="370">
        <v>8074</v>
      </c>
      <c r="J331" s="370">
        <v>22511</v>
      </c>
    </row>
    <row r="332" spans="2:10" ht="30" x14ac:dyDescent="0.25">
      <c r="B332" s="241" t="s">
        <v>833</v>
      </c>
      <c r="C332" s="296">
        <v>15297</v>
      </c>
      <c r="D332" s="296">
        <v>45975</v>
      </c>
      <c r="E332" s="296">
        <v>2767</v>
      </c>
      <c r="F332" s="296">
        <v>9899</v>
      </c>
      <c r="G332" s="296">
        <v>53151</v>
      </c>
      <c r="H332" s="296">
        <v>140911</v>
      </c>
      <c r="I332" s="296">
        <v>71215</v>
      </c>
      <c r="J332" s="296">
        <v>196785</v>
      </c>
    </row>
    <row r="333" spans="2:10" x14ac:dyDescent="0.25">
      <c r="B333" s="479" t="s">
        <v>841</v>
      </c>
      <c r="C333" s="480"/>
      <c r="D333" s="480"/>
      <c r="E333" s="480"/>
      <c r="F333" s="480"/>
      <c r="G333" s="480"/>
      <c r="H333" s="481"/>
      <c r="I333" s="296">
        <v>990261</v>
      </c>
      <c r="J333" s="296">
        <v>3166413</v>
      </c>
    </row>
    <row r="334" spans="2:10" x14ac:dyDescent="0.25">
      <c r="B334" s="4" t="s">
        <v>868</v>
      </c>
    </row>
  </sheetData>
  <mergeCells count="28">
    <mergeCell ref="H7:H8"/>
    <mergeCell ref="B7:B8"/>
    <mergeCell ref="C7:C8"/>
    <mergeCell ref="B9:B10"/>
    <mergeCell ref="B11:B12"/>
    <mergeCell ref="D7:E7"/>
    <mergeCell ref="F7:G7"/>
    <mergeCell ref="B13:B14"/>
    <mergeCell ref="B15:B16"/>
    <mergeCell ref="B17:B18"/>
    <mergeCell ref="B19:B20"/>
    <mergeCell ref="B23:B24"/>
    <mergeCell ref="B21:B22"/>
    <mergeCell ref="B25:B26"/>
    <mergeCell ref="B29:B30"/>
    <mergeCell ref="B27:B28"/>
    <mergeCell ref="I187:J187"/>
    <mergeCell ref="B333:H333"/>
    <mergeCell ref="B187:B188"/>
    <mergeCell ref="C187:D187"/>
    <mergeCell ref="E187:F187"/>
    <mergeCell ref="G187:H187"/>
    <mergeCell ref="B41:B42"/>
    <mergeCell ref="B31:B32"/>
    <mergeCell ref="B33:B34"/>
    <mergeCell ref="B35:B36"/>
    <mergeCell ref="B37:B38"/>
    <mergeCell ref="B39:B40"/>
  </mergeCell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19"/>
  <sheetViews>
    <sheetView showGridLines="0" workbookViewId="0"/>
    <sheetView workbookViewId="1"/>
  </sheetViews>
  <sheetFormatPr baseColWidth="10" defaultRowHeight="15" x14ac:dyDescent="0.25"/>
  <cols>
    <col min="1" max="1" width="14.42578125" customWidth="1"/>
  </cols>
  <sheetData>
    <row r="1" spans="2:13" x14ac:dyDescent="0.25">
      <c r="B1" s="388" t="s">
        <v>715</v>
      </c>
      <c r="C1" s="389"/>
      <c r="D1" s="389"/>
      <c r="E1" s="389"/>
      <c r="F1" s="389"/>
      <c r="G1" s="389"/>
      <c r="H1" s="389"/>
      <c r="I1" s="389"/>
      <c r="J1" s="389"/>
      <c r="K1" s="389"/>
      <c r="L1" s="389"/>
      <c r="M1" s="389"/>
    </row>
    <row r="2" spans="2:13" x14ac:dyDescent="0.25">
      <c r="B2" s="389"/>
      <c r="C2" s="389"/>
      <c r="D2" s="389"/>
      <c r="E2" s="389"/>
      <c r="F2" s="389"/>
      <c r="G2" s="389"/>
      <c r="H2" s="389"/>
      <c r="I2" s="389"/>
      <c r="J2" s="389"/>
      <c r="K2" s="389"/>
      <c r="L2" s="389"/>
      <c r="M2" s="389"/>
    </row>
    <row r="3" spans="2:13" x14ac:dyDescent="0.25">
      <c r="B3" s="389"/>
      <c r="C3" s="389"/>
      <c r="D3" s="389"/>
      <c r="E3" s="389"/>
      <c r="F3" s="389"/>
      <c r="G3" s="389"/>
      <c r="H3" s="389"/>
      <c r="I3" s="389"/>
      <c r="J3" s="389"/>
      <c r="K3" s="389"/>
      <c r="L3" s="389"/>
      <c r="M3" s="389"/>
    </row>
    <row r="4" spans="2:13" x14ac:dyDescent="0.25">
      <c r="B4" s="389"/>
      <c r="C4" s="389"/>
      <c r="D4" s="389"/>
      <c r="E4" s="389"/>
      <c r="F4" s="389"/>
      <c r="G4" s="389"/>
      <c r="H4" s="389"/>
      <c r="I4" s="389"/>
      <c r="J4" s="389"/>
      <c r="K4" s="389"/>
      <c r="L4" s="389"/>
      <c r="M4" s="389"/>
    </row>
    <row r="5" spans="2:13" x14ac:dyDescent="0.25">
      <c r="B5" s="389"/>
      <c r="C5" s="389"/>
      <c r="D5" s="389"/>
      <c r="E5" s="389"/>
      <c r="F5" s="389"/>
      <c r="G5" s="389"/>
      <c r="H5" s="389"/>
      <c r="I5" s="389"/>
      <c r="J5" s="389"/>
      <c r="K5" s="389"/>
      <c r="L5" s="389"/>
      <c r="M5" s="389"/>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88" t="s">
        <v>762</v>
      </c>
      <c r="C9" s="489"/>
      <c r="D9" s="489"/>
      <c r="E9" s="489"/>
      <c r="F9" s="489"/>
      <c r="G9" s="489"/>
      <c r="H9" s="489"/>
      <c r="I9" s="489"/>
      <c r="J9" s="489"/>
      <c r="K9" s="489"/>
      <c r="L9" s="489"/>
      <c r="M9" s="490"/>
    </row>
    <row r="10" spans="2:13" ht="15.75" x14ac:dyDescent="0.25">
      <c r="B10" s="395" t="s">
        <v>856</v>
      </c>
      <c r="C10" s="395"/>
      <c r="D10" s="395"/>
      <c r="E10" s="395"/>
      <c r="F10" s="395"/>
      <c r="G10" s="395"/>
      <c r="H10" s="395"/>
      <c r="I10" s="395"/>
      <c r="J10" s="395"/>
      <c r="K10" s="395"/>
      <c r="L10" s="395"/>
      <c r="M10" s="395"/>
    </row>
    <row r="11" spans="2:13" x14ac:dyDescent="0.25">
      <c r="B11" s="390"/>
      <c r="C11" s="390"/>
      <c r="D11" s="390"/>
      <c r="E11" s="390"/>
      <c r="F11" s="390"/>
      <c r="G11" s="390"/>
      <c r="H11" s="390"/>
      <c r="I11" s="390"/>
      <c r="J11" s="390"/>
      <c r="K11" s="390"/>
      <c r="L11" s="390"/>
      <c r="M11" s="390"/>
    </row>
    <row r="12" spans="2:13" ht="18.75" x14ac:dyDescent="0.3">
      <c r="B12" s="402" t="s">
        <v>763</v>
      </c>
      <c r="C12" s="402"/>
      <c r="D12" s="402"/>
      <c r="E12" s="402"/>
      <c r="F12" s="402"/>
      <c r="G12" s="402"/>
      <c r="H12" s="402"/>
      <c r="I12" s="402"/>
      <c r="J12" s="402"/>
      <c r="K12" s="402"/>
      <c r="L12" s="402"/>
      <c r="M12" s="402"/>
    </row>
    <row r="13" spans="2:13" x14ac:dyDescent="0.25">
      <c r="B13" s="398" t="s">
        <v>764</v>
      </c>
      <c r="C13" s="398"/>
      <c r="D13" s="398"/>
      <c r="E13" s="398"/>
      <c r="F13" s="398"/>
      <c r="G13" s="398"/>
      <c r="H13" s="398"/>
      <c r="I13" s="398"/>
      <c r="J13" s="398"/>
      <c r="K13" s="398"/>
      <c r="L13" s="398"/>
      <c r="M13" s="398"/>
    </row>
    <row r="14" spans="2:13" ht="18.75" x14ac:dyDescent="0.3">
      <c r="B14" s="402" t="s">
        <v>765</v>
      </c>
      <c r="C14" s="402"/>
      <c r="D14" s="402"/>
      <c r="E14" s="402"/>
      <c r="F14" s="402"/>
      <c r="G14" s="402"/>
      <c r="H14" s="402"/>
      <c r="I14" s="402"/>
      <c r="J14" s="402"/>
      <c r="K14" s="402"/>
      <c r="L14" s="402"/>
      <c r="M14" s="402"/>
    </row>
    <row r="15" spans="2:13" x14ac:dyDescent="0.25">
      <c r="B15" s="398" t="s">
        <v>766</v>
      </c>
      <c r="C15" s="398"/>
      <c r="D15" s="398"/>
      <c r="E15" s="398"/>
      <c r="F15" s="398"/>
      <c r="G15" s="398"/>
      <c r="H15" s="398"/>
      <c r="I15" s="398"/>
      <c r="J15" s="398"/>
      <c r="K15" s="398"/>
      <c r="L15" s="398"/>
      <c r="M15" s="398"/>
    </row>
    <row r="16" spans="2:13" x14ac:dyDescent="0.25">
      <c r="B16" s="398" t="s">
        <v>767</v>
      </c>
      <c r="C16" s="398"/>
      <c r="D16" s="398"/>
      <c r="E16" s="398"/>
      <c r="F16" s="398"/>
      <c r="G16" s="398"/>
      <c r="H16" s="398"/>
      <c r="I16" s="398"/>
      <c r="J16" s="398"/>
      <c r="K16" s="398"/>
      <c r="L16" s="398"/>
      <c r="M16" s="398"/>
    </row>
    <row r="17" spans="2:13" ht="18.75" x14ac:dyDescent="0.3">
      <c r="B17" s="402" t="s">
        <v>768</v>
      </c>
      <c r="C17" s="402"/>
      <c r="D17" s="402"/>
      <c r="E17" s="402"/>
      <c r="F17" s="402"/>
      <c r="G17" s="402"/>
      <c r="H17" s="402"/>
      <c r="I17" s="402"/>
      <c r="J17" s="402"/>
      <c r="K17" s="402"/>
      <c r="L17" s="402"/>
      <c r="M17" s="402"/>
    </row>
    <row r="18" spans="2:13" x14ac:dyDescent="0.25">
      <c r="B18" s="398" t="s">
        <v>769</v>
      </c>
      <c r="C18" s="398"/>
      <c r="D18" s="398"/>
      <c r="E18" s="398"/>
      <c r="F18" s="398"/>
      <c r="G18" s="398"/>
      <c r="H18" s="398"/>
      <c r="I18" s="398"/>
      <c r="J18" s="398"/>
      <c r="K18" s="398"/>
      <c r="L18" s="398"/>
      <c r="M18" s="398"/>
    </row>
    <row r="19" spans="2:13" x14ac:dyDescent="0.25">
      <c r="B19" s="398" t="s">
        <v>770</v>
      </c>
      <c r="C19" s="398"/>
      <c r="D19" s="398"/>
      <c r="E19" s="398"/>
      <c r="F19" s="398"/>
      <c r="G19" s="398"/>
      <c r="H19" s="398"/>
      <c r="I19" s="398"/>
      <c r="J19" s="398"/>
      <c r="K19" s="398"/>
      <c r="L19" s="398"/>
      <c r="M19" s="398"/>
    </row>
  </sheetData>
  <mergeCells count="12">
    <mergeCell ref="B19:M19"/>
    <mergeCell ref="B1:M5"/>
    <mergeCell ref="B9:M9"/>
    <mergeCell ref="B10:M10"/>
    <mergeCell ref="B11:M11"/>
    <mergeCell ref="B12:M12"/>
    <mergeCell ref="B14:M14"/>
    <mergeCell ref="B17:M17"/>
    <mergeCell ref="B13:M13"/>
    <mergeCell ref="B15:M15"/>
    <mergeCell ref="B16:M16"/>
    <mergeCell ref="B18:M18"/>
  </mergeCells>
  <hyperlinks>
    <hyperlink ref="B12:M12" location="'4.1'!A1" display="1. Pagos del Subsidio al Trabajador Joven (STJ)" xr:uid="{2C05A9D1-0D43-4F84-B307-0AD2D16959DE}"/>
    <hyperlink ref="B14:M14" location="'4.2'!A1" display="2. Subsidio a la Contratación de Trabajadores Jóvenes" xr:uid="{8186C720-E23B-4F79-A183-2A9289EE638C}"/>
    <hyperlink ref="B17:M17" location="'4.3'!A1" display="3. Subsidio a la Cotización de Trabajadores Jóvenes" xr:uid="{6499BF31-C0CF-4AEA-8F03-EFCBCF719EE8}"/>
    <hyperlink ref="B13:M13" location="'4.1'!B4" display="i. Serie resumen de pagos del subsidio a la contratación y a la cotización de trabajadores jóvenes" xr:uid="{26333266-30FB-4A5D-9776-FE052C73CAFC}"/>
    <hyperlink ref="B15:M15" location="'4.2'!B4" display="i. Serie resumen del total de solicitudes y trabajadores del Subsidio a la Contratación de Trabajadores Jóvenes" xr:uid="{76E44E36-E4AA-4D4A-B1AB-BF75D645B023}"/>
    <hyperlink ref="B16:M16" location="'4.2'!B142" display="ii. Serie resumen del estado de las solicitudes del Subsidio a la Contratación de Trabajadores Jóvenes" xr:uid="{0A466E67-B15E-4A16-A7D0-A012A52BBDCC}"/>
    <hyperlink ref="B18:M18" location="'4.3'!B4" display="i. Serie resumen del total de solicitudes y trabajadores del Subsidio a la Cotización de Trabajadores Jóvenes" xr:uid="{63048BFA-3E13-4455-9F9E-A9F517725979}"/>
    <hyperlink ref="B19:M19" location="'4.3'!B150" display="ii. Serie resumen del estado de las solicitudes del Subsidio a la Cotización de Trabajadores Jóvenes" xr:uid="{C0FAEDC2-5214-4AB3-A87E-9F2F87B0ED65}"/>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200"/>
  <sheetViews>
    <sheetView showGridLines="0" workbookViewId="0">
      <pane xSplit="2" ySplit="9" topLeftCell="C20" activePane="bottomRight" state="frozen"/>
      <selection pane="topRight" activeCell="C1" sqref="C1"/>
      <selection pane="bottomLeft" activeCell="A10" sqref="A10"/>
      <selection pane="bottomRight"/>
    </sheetView>
    <sheetView workbookViewId="1"/>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749</v>
      </c>
    </row>
    <row r="4" spans="2:9" ht="18.75" x14ac:dyDescent="0.3">
      <c r="B4" s="2" t="s">
        <v>750</v>
      </c>
      <c r="C4" s="2"/>
      <c r="D4" s="2"/>
      <c r="E4" s="2"/>
      <c r="F4" s="2"/>
      <c r="G4" s="2"/>
      <c r="H4" s="2"/>
      <c r="I4" s="2"/>
    </row>
    <row r="5" spans="2:9" x14ac:dyDescent="0.25">
      <c r="B5" s="15" t="s">
        <v>873</v>
      </c>
    </row>
    <row r="7" spans="2:9" ht="26.25" customHeight="1" x14ac:dyDescent="0.25">
      <c r="B7" s="491" t="s">
        <v>476</v>
      </c>
      <c r="C7" s="492" t="s">
        <v>744</v>
      </c>
      <c r="D7" s="492"/>
      <c r="E7" s="492" t="s">
        <v>745</v>
      </c>
      <c r="F7" s="492"/>
      <c r="G7" s="492"/>
      <c r="H7" s="492"/>
    </row>
    <row r="8" spans="2:9" ht="36.75" customHeight="1" x14ac:dyDescent="0.25">
      <c r="B8" s="491"/>
      <c r="C8" s="491" t="s">
        <v>853</v>
      </c>
      <c r="D8" s="491" t="s">
        <v>854</v>
      </c>
      <c r="E8" s="493" t="s">
        <v>853</v>
      </c>
      <c r="F8" s="491" t="s">
        <v>855</v>
      </c>
      <c r="G8" s="491"/>
      <c r="H8" s="491"/>
    </row>
    <row r="9" spans="2:9" ht="30" x14ac:dyDescent="0.25">
      <c r="B9" s="491"/>
      <c r="C9" s="491"/>
      <c r="D9" s="491"/>
      <c r="E9" s="494"/>
      <c r="F9" s="250" t="s">
        <v>746</v>
      </c>
      <c r="G9" s="250" t="s">
        <v>747</v>
      </c>
      <c r="H9" s="250" t="s">
        <v>748</v>
      </c>
    </row>
    <row r="10" spans="2:9" hidden="1" outlineLevel="1" x14ac:dyDescent="0.25">
      <c r="B10" s="373">
        <v>39873</v>
      </c>
      <c r="C10" s="371">
        <v>10625</v>
      </c>
      <c r="D10" s="371">
        <v>174</v>
      </c>
      <c r="E10" s="372"/>
      <c r="F10" s="371"/>
      <c r="G10" s="371"/>
      <c r="H10" s="371"/>
    </row>
    <row r="11" spans="2:9" hidden="1" outlineLevel="1" x14ac:dyDescent="0.25">
      <c r="B11" s="373">
        <v>39904</v>
      </c>
      <c r="C11" s="371">
        <v>6095</v>
      </c>
      <c r="D11" s="371">
        <v>194</v>
      </c>
      <c r="E11" s="372"/>
      <c r="F11" s="371"/>
      <c r="G11" s="371"/>
      <c r="H11" s="371"/>
    </row>
    <row r="12" spans="2:9" hidden="1" outlineLevel="1" x14ac:dyDescent="0.25">
      <c r="B12" s="373">
        <v>39934</v>
      </c>
      <c r="C12" s="371">
        <v>7497</v>
      </c>
      <c r="D12" s="371">
        <v>290</v>
      </c>
      <c r="E12" s="372"/>
      <c r="F12" s="371"/>
      <c r="G12" s="371"/>
      <c r="H12" s="371"/>
    </row>
    <row r="13" spans="2:9" hidden="1" outlineLevel="1" x14ac:dyDescent="0.25">
      <c r="B13" s="373">
        <v>39965</v>
      </c>
      <c r="C13" s="371">
        <v>8878</v>
      </c>
      <c r="D13" s="371">
        <v>241</v>
      </c>
      <c r="E13" s="372"/>
      <c r="F13" s="371"/>
      <c r="G13" s="371"/>
      <c r="H13" s="371"/>
    </row>
    <row r="14" spans="2:9" hidden="1" outlineLevel="1" x14ac:dyDescent="0.25">
      <c r="B14" s="373">
        <v>39995</v>
      </c>
      <c r="C14" s="371">
        <v>13580</v>
      </c>
      <c r="D14" s="371">
        <v>349</v>
      </c>
      <c r="E14" s="372"/>
      <c r="F14" s="371"/>
      <c r="G14" s="371"/>
      <c r="H14" s="371"/>
    </row>
    <row r="15" spans="2:9" hidden="1" outlineLevel="1" x14ac:dyDescent="0.25">
      <c r="B15" s="373">
        <v>40026</v>
      </c>
      <c r="C15" s="371">
        <v>9451</v>
      </c>
      <c r="D15" s="371">
        <v>290</v>
      </c>
      <c r="E15" s="372"/>
      <c r="F15" s="371"/>
      <c r="G15" s="371"/>
      <c r="H15" s="371"/>
    </row>
    <row r="16" spans="2:9" hidden="1" outlineLevel="1" x14ac:dyDescent="0.25">
      <c r="B16" s="373">
        <v>40057</v>
      </c>
      <c r="C16" s="371">
        <v>16175</v>
      </c>
      <c r="D16" s="371">
        <v>423</v>
      </c>
      <c r="E16" s="372"/>
      <c r="F16" s="371"/>
      <c r="G16" s="371"/>
      <c r="H16" s="371"/>
    </row>
    <row r="17" spans="2:8" hidden="1" outlineLevel="1" x14ac:dyDescent="0.25">
      <c r="B17" s="373">
        <v>40087</v>
      </c>
      <c r="C17" s="371">
        <v>21738</v>
      </c>
      <c r="D17" s="371">
        <v>442</v>
      </c>
      <c r="E17" s="372"/>
      <c r="F17" s="371"/>
      <c r="G17" s="371"/>
      <c r="H17" s="371"/>
    </row>
    <row r="18" spans="2:8" hidden="1" outlineLevel="1" x14ac:dyDescent="0.25">
      <c r="B18" s="373">
        <v>40118</v>
      </c>
      <c r="C18" s="371">
        <v>20687</v>
      </c>
      <c r="D18" s="371">
        <v>464</v>
      </c>
      <c r="E18" s="372"/>
      <c r="F18" s="371"/>
      <c r="G18" s="371"/>
      <c r="H18" s="371"/>
    </row>
    <row r="19" spans="2:8" hidden="1" outlineLevel="1" x14ac:dyDescent="0.25">
      <c r="B19" s="373">
        <v>40148</v>
      </c>
      <c r="C19" s="371">
        <v>19925</v>
      </c>
      <c r="D19" s="371">
        <v>464</v>
      </c>
      <c r="E19" s="372"/>
      <c r="F19" s="371"/>
      <c r="G19" s="371"/>
      <c r="H19" s="371"/>
    </row>
    <row r="20" spans="2:8" ht="30" collapsed="1" x14ac:dyDescent="0.25">
      <c r="B20" s="304" t="s">
        <v>772</v>
      </c>
      <c r="C20" s="298">
        <v>13465.1</v>
      </c>
      <c r="D20" s="298">
        <v>333.1</v>
      </c>
      <c r="E20" s="298"/>
      <c r="F20" s="298"/>
      <c r="G20" s="298"/>
      <c r="H20" s="298"/>
    </row>
    <row r="21" spans="2:8" hidden="1" outlineLevel="1" x14ac:dyDescent="0.25">
      <c r="B21" s="352">
        <v>40179</v>
      </c>
      <c r="C21" s="374">
        <v>14517</v>
      </c>
      <c r="D21" s="374">
        <v>460</v>
      </c>
      <c r="E21" s="374"/>
      <c r="F21" s="374"/>
      <c r="G21" s="374"/>
      <c r="H21" s="374"/>
    </row>
    <row r="22" spans="2:8" hidden="1" outlineLevel="1" x14ac:dyDescent="0.25">
      <c r="B22" s="352">
        <v>40210</v>
      </c>
      <c r="C22" s="374">
        <v>21073</v>
      </c>
      <c r="D22" s="374">
        <v>461</v>
      </c>
      <c r="E22" s="374"/>
      <c r="F22" s="374"/>
      <c r="G22" s="374"/>
      <c r="H22" s="374"/>
    </row>
    <row r="23" spans="2:8" hidden="1" outlineLevel="1" x14ac:dyDescent="0.25">
      <c r="B23" s="352">
        <v>40238</v>
      </c>
      <c r="C23" s="374">
        <v>1853</v>
      </c>
      <c r="D23" s="374">
        <v>230</v>
      </c>
      <c r="E23" s="374"/>
      <c r="F23" s="374"/>
      <c r="G23" s="374"/>
      <c r="H23" s="374"/>
    </row>
    <row r="24" spans="2:8" hidden="1" outlineLevel="1" x14ac:dyDescent="0.25">
      <c r="B24" s="352">
        <v>40269</v>
      </c>
      <c r="C24" s="374">
        <v>34023</v>
      </c>
      <c r="D24" s="374">
        <v>448</v>
      </c>
      <c r="E24" s="374"/>
      <c r="F24" s="374"/>
      <c r="G24" s="374"/>
      <c r="H24" s="374"/>
    </row>
    <row r="25" spans="2:8" hidden="1" outlineLevel="1" x14ac:dyDescent="0.25">
      <c r="B25" s="352">
        <v>40299</v>
      </c>
      <c r="C25" s="374">
        <v>12204</v>
      </c>
      <c r="D25" s="374">
        <v>424</v>
      </c>
      <c r="E25" s="374"/>
      <c r="F25" s="374"/>
      <c r="G25" s="374"/>
      <c r="H25" s="374"/>
    </row>
    <row r="26" spans="2:8" hidden="1" outlineLevel="1" x14ac:dyDescent="0.25">
      <c r="B26" s="352">
        <v>40330</v>
      </c>
      <c r="C26" s="374">
        <v>1575</v>
      </c>
      <c r="D26" s="374">
        <v>167</v>
      </c>
      <c r="E26" s="374"/>
      <c r="F26" s="374"/>
      <c r="G26" s="374"/>
      <c r="H26" s="374"/>
    </row>
    <row r="27" spans="2:8" hidden="1" outlineLevel="1" x14ac:dyDescent="0.25">
      <c r="B27" s="352">
        <v>40360</v>
      </c>
      <c r="C27" s="374">
        <v>1875</v>
      </c>
      <c r="D27" s="374">
        <v>166</v>
      </c>
      <c r="E27" s="374"/>
      <c r="F27" s="374"/>
      <c r="G27" s="374"/>
      <c r="H27" s="374"/>
    </row>
    <row r="28" spans="2:8" hidden="1" outlineLevel="1" x14ac:dyDescent="0.25">
      <c r="B28" s="352">
        <v>40391</v>
      </c>
      <c r="C28" s="374">
        <v>7627</v>
      </c>
      <c r="D28" s="374">
        <v>189</v>
      </c>
      <c r="E28" s="374"/>
      <c r="F28" s="374"/>
      <c r="G28" s="374"/>
      <c r="H28" s="374"/>
    </row>
    <row r="29" spans="2:8" hidden="1" outlineLevel="1" x14ac:dyDescent="0.25">
      <c r="B29" s="352">
        <v>40422</v>
      </c>
      <c r="C29" s="374">
        <v>1802</v>
      </c>
      <c r="D29" s="374">
        <v>151</v>
      </c>
      <c r="E29" s="374"/>
      <c r="F29" s="374"/>
      <c r="G29" s="374"/>
      <c r="H29" s="374"/>
    </row>
    <row r="30" spans="2:8" hidden="1" outlineLevel="1" x14ac:dyDescent="0.25">
      <c r="B30" s="352">
        <v>40452</v>
      </c>
      <c r="C30" s="374">
        <v>3251</v>
      </c>
      <c r="D30" s="374">
        <v>152</v>
      </c>
      <c r="E30" s="374"/>
      <c r="F30" s="374"/>
      <c r="G30" s="374"/>
      <c r="H30" s="374"/>
    </row>
    <row r="31" spans="2:8" hidden="1" outlineLevel="1" x14ac:dyDescent="0.25">
      <c r="B31" s="352">
        <v>40483</v>
      </c>
      <c r="C31" s="374">
        <v>986</v>
      </c>
      <c r="D31" s="374">
        <v>122</v>
      </c>
      <c r="E31" s="374"/>
      <c r="F31" s="374"/>
      <c r="G31" s="374"/>
      <c r="H31" s="374"/>
    </row>
    <row r="32" spans="2:8" hidden="1" outlineLevel="1" x14ac:dyDescent="0.25">
      <c r="B32" s="352">
        <v>40513</v>
      </c>
      <c r="C32" s="374">
        <v>1370</v>
      </c>
      <c r="D32" s="374">
        <v>102</v>
      </c>
      <c r="E32" s="374"/>
      <c r="F32" s="374"/>
      <c r="G32" s="374"/>
      <c r="H32" s="374"/>
    </row>
    <row r="33" spans="2:8" collapsed="1" x14ac:dyDescent="0.25">
      <c r="B33" s="297" t="s">
        <v>701</v>
      </c>
      <c r="C33" s="298">
        <v>8513</v>
      </c>
      <c r="D33" s="298">
        <v>256</v>
      </c>
      <c r="E33" s="298"/>
      <c r="F33" s="298"/>
      <c r="G33" s="298"/>
      <c r="H33" s="298"/>
    </row>
    <row r="34" spans="2:8" hidden="1" outlineLevel="1" x14ac:dyDescent="0.25">
      <c r="B34" s="352">
        <v>40544</v>
      </c>
      <c r="C34" s="374">
        <v>547</v>
      </c>
      <c r="D34" s="374">
        <v>96</v>
      </c>
      <c r="E34" s="374"/>
      <c r="F34" s="374"/>
      <c r="G34" s="374"/>
      <c r="H34" s="374"/>
    </row>
    <row r="35" spans="2:8" hidden="1" outlineLevel="1" x14ac:dyDescent="0.25">
      <c r="B35" s="352">
        <v>40575</v>
      </c>
      <c r="C35" s="374">
        <v>986</v>
      </c>
      <c r="D35" s="374">
        <v>105</v>
      </c>
      <c r="E35" s="374"/>
      <c r="F35" s="374"/>
      <c r="G35" s="374"/>
      <c r="H35" s="374"/>
    </row>
    <row r="36" spans="2:8" hidden="1" outlineLevel="1" x14ac:dyDescent="0.25">
      <c r="B36" s="352">
        <v>40603</v>
      </c>
      <c r="C36" s="374">
        <v>531</v>
      </c>
      <c r="D36" s="374">
        <v>76</v>
      </c>
      <c r="E36" s="374"/>
      <c r="F36" s="374"/>
      <c r="G36" s="374"/>
      <c r="H36" s="374"/>
    </row>
    <row r="37" spans="2:8" hidden="1" outlineLevel="1" x14ac:dyDescent="0.25">
      <c r="B37" s="352">
        <v>40634</v>
      </c>
      <c r="C37" s="374">
        <v>1064</v>
      </c>
      <c r="D37" s="374">
        <v>129</v>
      </c>
      <c r="E37" s="374"/>
      <c r="F37" s="374"/>
      <c r="G37" s="374"/>
      <c r="H37" s="374"/>
    </row>
    <row r="38" spans="2:8" hidden="1" outlineLevel="1" x14ac:dyDescent="0.25">
      <c r="B38" s="352">
        <v>40664</v>
      </c>
      <c r="C38" s="374">
        <v>1100</v>
      </c>
      <c r="D38" s="374">
        <v>91</v>
      </c>
      <c r="E38" s="374"/>
      <c r="F38" s="374"/>
      <c r="G38" s="374"/>
      <c r="H38" s="374"/>
    </row>
    <row r="39" spans="2:8" hidden="1" outlineLevel="1" x14ac:dyDescent="0.25">
      <c r="B39" s="352">
        <v>40695</v>
      </c>
      <c r="C39" s="374">
        <v>1238</v>
      </c>
      <c r="D39" s="374">
        <v>106</v>
      </c>
      <c r="E39" s="374"/>
      <c r="F39" s="374"/>
      <c r="G39" s="374"/>
      <c r="H39" s="374"/>
    </row>
    <row r="40" spans="2:8" hidden="1" outlineLevel="1" x14ac:dyDescent="0.25">
      <c r="B40" s="352">
        <v>40725</v>
      </c>
      <c r="C40" s="374">
        <v>173</v>
      </c>
      <c r="D40" s="374">
        <v>25</v>
      </c>
      <c r="E40" s="374"/>
      <c r="F40" s="374"/>
      <c r="G40" s="374"/>
      <c r="H40" s="374"/>
    </row>
    <row r="41" spans="2:8" hidden="1" outlineLevel="1" x14ac:dyDescent="0.25">
      <c r="B41" s="352">
        <v>40756</v>
      </c>
      <c r="C41" s="374">
        <v>810</v>
      </c>
      <c r="D41" s="374">
        <v>59</v>
      </c>
      <c r="E41" s="374"/>
      <c r="F41" s="374"/>
      <c r="G41" s="374"/>
      <c r="H41" s="374"/>
    </row>
    <row r="42" spans="2:8" hidden="1" outlineLevel="1" x14ac:dyDescent="0.25">
      <c r="B42" s="352">
        <v>40787</v>
      </c>
      <c r="C42" s="374">
        <v>476</v>
      </c>
      <c r="D42" s="374">
        <v>65</v>
      </c>
      <c r="E42" s="374">
        <v>1634</v>
      </c>
      <c r="F42" s="374"/>
      <c r="G42" s="374"/>
      <c r="H42" s="374">
        <v>1620</v>
      </c>
    </row>
    <row r="43" spans="2:8" hidden="1" outlineLevel="1" x14ac:dyDescent="0.25">
      <c r="B43" s="352">
        <v>40817</v>
      </c>
      <c r="C43" s="374">
        <v>1568</v>
      </c>
      <c r="D43" s="374">
        <v>75</v>
      </c>
      <c r="E43" s="374">
        <v>5036</v>
      </c>
      <c r="F43" s="374"/>
      <c r="G43" s="374"/>
      <c r="H43" s="374">
        <v>4518</v>
      </c>
    </row>
    <row r="44" spans="2:8" hidden="1" outlineLevel="1" x14ac:dyDescent="0.25">
      <c r="B44" s="352">
        <v>40848</v>
      </c>
      <c r="C44" s="374">
        <v>906</v>
      </c>
      <c r="D44" s="374">
        <v>39</v>
      </c>
      <c r="E44" s="374">
        <v>12015</v>
      </c>
      <c r="F44" s="374"/>
      <c r="G44" s="374"/>
      <c r="H44" s="374">
        <v>10939</v>
      </c>
    </row>
    <row r="45" spans="2:8" hidden="1" outlineLevel="1" x14ac:dyDescent="0.25">
      <c r="B45" s="352">
        <v>40878</v>
      </c>
      <c r="C45" s="374">
        <v>1270</v>
      </c>
      <c r="D45" s="374">
        <v>71</v>
      </c>
      <c r="E45" s="374">
        <v>22261</v>
      </c>
      <c r="F45" s="374"/>
      <c r="G45" s="374"/>
      <c r="H45" s="374">
        <v>21512</v>
      </c>
    </row>
    <row r="46" spans="2:8" collapsed="1" x14ac:dyDescent="0.25">
      <c r="B46" s="297" t="s">
        <v>702</v>
      </c>
      <c r="C46" s="298">
        <v>889.08333333333337</v>
      </c>
      <c r="D46" s="298">
        <v>78.083333333333329</v>
      </c>
      <c r="E46" s="298">
        <v>10236.5</v>
      </c>
      <c r="F46" s="298"/>
      <c r="G46" s="298"/>
      <c r="H46" s="298">
        <v>9647.25</v>
      </c>
    </row>
    <row r="47" spans="2:8" hidden="1" outlineLevel="1" x14ac:dyDescent="0.25">
      <c r="B47" s="352">
        <v>40909</v>
      </c>
      <c r="C47" s="374">
        <v>1221</v>
      </c>
      <c r="D47" s="374">
        <v>65</v>
      </c>
      <c r="E47" s="374">
        <v>24129</v>
      </c>
      <c r="F47" s="374"/>
      <c r="G47" s="374"/>
      <c r="H47" s="374">
        <v>20099</v>
      </c>
    </row>
    <row r="48" spans="2:8" hidden="1" outlineLevel="1" x14ac:dyDescent="0.25">
      <c r="B48" s="352">
        <v>40940</v>
      </c>
      <c r="C48" s="374">
        <v>902</v>
      </c>
      <c r="D48" s="374">
        <v>58</v>
      </c>
      <c r="E48" s="374">
        <v>22063</v>
      </c>
      <c r="F48" s="374"/>
      <c r="G48" s="374"/>
      <c r="H48" s="374">
        <v>19781</v>
      </c>
    </row>
    <row r="49" spans="2:8" hidden="1" outlineLevel="1" x14ac:dyDescent="0.25">
      <c r="B49" s="352">
        <v>40969</v>
      </c>
      <c r="C49" s="374">
        <v>2605</v>
      </c>
      <c r="D49" s="374">
        <v>58</v>
      </c>
      <c r="E49" s="374">
        <v>36966</v>
      </c>
      <c r="F49" s="374"/>
      <c r="G49" s="374"/>
      <c r="H49" s="374">
        <v>28773</v>
      </c>
    </row>
    <row r="50" spans="2:8" hidden="1" outlineLevel="1" x14ac:dyDescent="0.25">
      <c r="B50" s="352">
        <v>41000</v>
      </c>
      <c r="C50" s="374">
        <v>982</v>
      </c>
      <c r="D50" s="374">
        <v>44</v>
      </c>
      <c r="E50" s="374">
        <v>16479</v>
      </c>
      <c r="F50" s="374"/>
      <c r="G50" s="374"/>
      <c r="H50" s="374">
        <v>16232</v>
      </c>
    </row>
    <row r="51" spans="2:8" hidden="1" outlineLevel="1" x14ac:dyDescent="0.25">
      <c r="B51" s="352">
        <v>41030</v>
      </c>
      <c r="C51" s="374">
        <v>3220</v>
      </c>
      <c r="D51" s="374">
        <v>72</v>
      </c>
      <c r="E51" s="374">
        <v>28814</v>
      </c>
      <c r="F51" s="374"/>
      <c r="G51" s="374"/>
      <c r="H51" s="374">
        <v>23849</v>
      </c>
    </row>
    <row r="52" spans="2:8" hidden="1" outlineLevel="1" x14ac:dyDescent="0.25">
      <c r="B52" s="352">
        <v>41061</v>
      </c>
      <c r="C52" s="374">
        <v>1267</v>
      </c>
      <c r="D52" s="374">
        <v>49</v>
      </c>
      <c r="E52" s="374">
        <v>25375</v>
      </c>
      <c r="F52" s="374"/>
      <c r="G52" s="374"/>
      <c r="H52" s="374">
        <v>22057</v>
      </c>
    </row>
    <row r="53" spans="2:8" hidden="1" outlineLevel="1" x14ac:dyDescent="0.25">
      <c r="B53" s="352">
        <v>41091</v>
      </c>
      <c r="C53" s="374">
        <v>1000</v>
      </c>
      <c r="D53" s="374">
        <v>53</v>
      </c>
      <c r="E53" s="374">
        <v>23209</v>
      </c>
      <c r="F53" s="374"/>
      <c r="G53" s="374"/>
      <c r="H53" s="374">
        <v>21672</v>
      </c>
    </row>
    <row r="54" spans="2:8" hidden="1" outlineLevel="1" x14ac:dyDescent="0.25">
      <c r="B54" s="352">
        <v>41122</v>
      </c>
      <c r="C54" s="374">
        <v>1130</v>
      </c>
      <c r="D54" s="374">
        <v>58</v>
      </c>
      <c r="E54" s="374">
        <v>21429</v>
      </c>
      <c r="F54" s="374"/>
      <c r="G54" s="374"/>
      <c r="H54" s="374">
        <v>20285</v>
      </c>
    </row>
    <row r="55" spans="2:8" hidden="1" outlineLevel="1" x14ac:dyDescent="0.25">
      <c r="B55" s="352">
        <v>41153</v>
      </c>
      <c r="C55" s="374">
        <v>1082</v>
      </c>
      <c r="D55" s="374">
        <v>56</v>
      </c>
      <c r="E55" s="374">
        <v>26360</v>
      </c>
      <c r="F55" s="374"/>
      <c r="G55" s="374"/>
      <c r="H55" s="374">
        <v>23448</v>
      </c>
    </row>
    <row r="56" spans="2:8" hidden="1" outlineLevel="1" x14ac:dyDescent="0.25">
      <c r="B56" s="352">
        <v>41183</v>
      </c>
      <c r="C56" s="374">
        <v>1205</v>
      </c>
      <c r="D56" s="374">
        <v>63</v>
      </c>
      <c r="E56" s="374">
        <v>24056</v>
      </c>
      <c r="F56" s="374"/>
      <c r="G56" s="374"/>
      <c r="H56" s="374">
        <v>22693</v>
      </c>
    </row>
    <row r="57" spans="2:8" hidden="1" outlineLevel="1" x14ac:dyDescent="0.25">
      <c r="B57" s="352">
        <v>41214</v>
      </c>
      <c r="C57" s="374">
        <v>637</v>
      </c>
      <c r="D57" s="374">
        <v>47</v>
      </c>
      <c r="E57" s="374">
        <v>19225</v>
      </c>
      <c r="F57" s="374"/>
      <c r="G57" s="374"/>
      <c r="H57" s="374">
        <v>18399</v>
      </c>
    </row>
    <row r="58" spans="2:8" hidden="1" outlineLevel="1" x14ac:dyDescent="0.25">
      <c r="B58" s="352">
        <v>41244</v>
      </c>
      <c r="C58" s="374">
        <v>840</v>
      </c>
      <c r="D58" s="374">
        <v>32</v>
      </c>
      <c r="E58" s="374">
        <v>11256</v>
      </c>
      <c r="F58" s="374"/>
      <c r="G58" s="374"/>
      <c r="H58" s="374">
        <v>10911</v>
      </c>
    </row>
    <row r="59" spans="2:8" collapsed="1" x14ac:dyDescent="0.25">
      <c r="B59" s="297" t="s">
        <v>703</v>
      </c>
      <c r="C59" s="298">
        <v>1340.9166666666667</v>
      </c>
      <c r="D59" s="298">
        <v>54.583333333333336</v>
      </c>
      <c r="E59" s="298">
        <v>23280.083333333332</v>
      </c>
      <c r="F59" s="298"/>
      <c r="G59" s="298"/>
      <c r="H59" s="298">
        <v>20683.25</v>
      </c>
    </row>
    <row r="60" spans="2:8" hidden="1" outlineLevel="1" x14ac:dyDescent="0.25">
      <c r="B60" s="352">
        <v>41275</v>
      </c>
      <c r="C60" s="374">
        <v>931</v>
      </c>
      <c r="D60" s="374">
        <v>56</v>
      </c>
      <c r="E60" s="374">
        <v>40005</v>
      </c>
      <c r="F60" s="374"/>
      <c r="G60" s="374"/>
      <c r="H60" s="374">
        <v>27853</v>
      </c>
    </row>
    <row r="61" spans="2:8" hidden="1" outlineLevel="1" x14ac:dyDescent="0.25">
      <c r="B61" s="352">
        <v>41306</v>
      </c>
      <c r="C61" s="374">
        <v>1270</v>
      </c>
      <c r="D61" s="374">
        <v>64</v>
      </c>
      <c r="E61" s="374">
        <v>24170</v>
      </c>
      <c r="F61" s="374"/>
      <c r="G61" s="374"/>
      <c r="H61" s="374">
        <v>22694</v>
      </c>
    </row>
    <row r="62" spans="2:8" hidden="1" outlineLevel="1" x14ac:dyDescent="0.25">
      <c r="B62" s="352">
        <v>41334</v>
      </c>
      <c r="C62" s="374">
        <v>826</v>
      </c>
      <c r="D62" s="374">
        <v>41</v>
      </c>
      <c r="E62" s="374">
        <v>23845</v>
      </c>
      <c r="F62" s="374"/>
      <c r="G62" s="374"/>
      <c r="H62" s="374">
        <v>22309</v>
      </c>
    </row>
    <row r="63" spans="2:8" hidden="1" outlineLevel="1" x14ac:dyDescent="0.25">
      <c r="B63" s="352">
        <v>41365</v>
      </c>
      <c r="C63" s="374">
        <v>1037</v>
      </c>
      <c r="D63" s="374">
        <v>51</v>
      </c>
      <c r="E63" s="374">
        <v>26008</v>
      </c>
      <c r="F63" s="374"/>
      <c r="G63" s="374"/>
      <c r="H63" s="374">
        <v>23693</v>
      </c>
    </row>
    <row r="64" spans="2:8" hidden="1" outlineLevel="1" x14ac:dyDescent="0.25">
      <c r="B64" s="352">
        <v>41395</v>
      </c>
      <c r="C64" s="374">
        <v>436</v>
      </c>
      <c r="D64" s="374">
        <v>34</v>
      </c>
      <c r="E64" s="374">
        <v>21038</v>
      </c>
      <c r="F64" s="374"/>
      <c r="G64" s="374"/>
      <c r="H64" s="374">
        <v>19845</v>
      </c>
    </row>
    <row r="65" spans="2:8" hidden="1" outlineLevel="1" x14ac:dyDescent="0.25">
      <c r="B65" s="352">
        <v>41426</v>
      </c>
      <c r="C65" s="374">
        <v>848</v>
      </c>
      <c r="D65" s="374">
        <v>44</v>
      </c>
      <c r="E65" s="374">
        <v>22037</v>
      </c>
      <c r="F65" s="374"/>
      <c r="G65" s="374"/>
      <c r="H65" s="374">
        <v>20065</v>
      </c>
    </row>
    <row r="66" spans="2:8" hidden="1" outlineLevel="1" x14ac:dyDescent="0.25">
      <c r="B66" s="352">
        <v>41456</v>
      </c>
      <c r="C66" s="374">
        <v>747</v>
      </c>
      <c r="D66" s="374">
        <v>36</v>
      </c>
      <c r="E66" s="374">
        <v>22506</v>
      </c>
      <c r="F66" s="374"/>
      <c r="G66" s="374"/>
      <c r="H66" s="374">
        <v>20780</v>
      </c>
    </row>
    <row r="67" spans="2:8" hidden="1" outlineLevel="1" x14ac:dyDescent="0.25">
      <c r="B67" s="352">
        <v>41487</v>
      </c>
      <c r="C67" s="374">
        <v>719</v>
      </c>
      <c r="D67" s="374">
        <v>35</v>
      </c>
      <c r="E67" s="374">
        <v>23869</v>
      </c>
      <c r="F67" s="374"/>
      <c r="G67" s="374"/>
      <c r="H67" s="374">
        <v>21924</v>
      </c>
    </row>
    <row r="68" spans="2:8" hidden="1" outlineLevel="1" x14ac:dyDescent="0.25">
      <c r="B68" s="352">
        <v>41518</v>
      </c>
      <c r="C68" s="374">
        <v>908</v>
      </c>
      <c r="D68" s="374">
        <v>30</v>
      </c>
      <c r="E68" s="374">
        <v>22797</v>
      </c>
      <c r="F68" s="374"/>
      <c r="G68" s="374"/>
      <c r="H68" s="374">
        <v>21715</v>
      </c>
    </row>
    <row r="69" spans="2:8" hidden="1" outlineLevel="1" x14ac:dyDescent="0.25">
      <c r="B69" s="352">
        <v>41548</v>
      </c>
      <c r="C69" s="374">
        <v>907</v>
      </c>
      <c r="D69" s="374">
        <v>34</v>
      </c>
      <c r="E69" s="374">
        <v>23258</v>
      </c>
      <c r="F69" s="374"/>
      <c r="G69" s="374"/>
      <c r="H69" s="374">
        <v>22266</v>
      </c>
    </row>
    <row r="70" spans="2:8" hidden="1" outlineLevel="1" x14ac:dyDescent="0.25">
      <c r="B70" s="352">
        <v>41579</v>
      </c>
      <c r="C70" s="374">
        <v>684</v>
      </c>
      <c r="D70" s="374">
        <v>32</v>
      </c>
      <c r="E70" s="374">
        <v>21758</v>
      </c>
      <c r="F70" s="374"/>
      <c r="G70" s="374"/>
      <c r="H70" s="374">
        <v>20561</v>
      </c>
    </row>
    <row r="71" spans="2:8" hidden="1" outlineLevel="1" x14ac:dyDescent="0.25">
      <c r="B71" s="352">
        <v>41609</v>
      </c>
      <c r="C71" s="374">
        <v>731</v>
      </c>
      <c r="D71" s="374">
        <v>40</v>
      </c>
      <c r="E71" s="374">
        <v>21567</v>
      </c>
      <c r="F71" s="374"/>
      <c r="G71" s="374"/>
      <c r="H71" s="374">
        <v>20466</v>
      </c>
    </row>
    <row r="72" spans="2:8" collapsed="1" x14ac:dyDescent="0.25">
      <c r="B72" s="297" t="s">
        <v>704</v>
      </c>
      <c r="C72" s="298">
        <v>837</v>
      </c>
      <c r="D72" s="298">
        <v>41.416666666666664</v>
      </c>
      <c r="E72" s="298">
        <v>24404.833333333332</v>
      </c>
      <c r="F72" s="298"/>
      <c r="G72" s="298"/>
      <c r="H72" s="298">
        <v>22014.25</v>
      </c>
    </row>
    <row r="73" spans="2:8" hidden="1" outlineLevel="1" x14ac:dyDescent="0.25">
      <c r="B73" s="352">
        <v>41640</v>
      </c>
      <c r="C73" s="374">
        <v>642</v>
      </c>
      <c r="D73" s="374">
        <v>27</v>
      </c>
      <c r="E73" s="374">
        <v>16702</v>
      </c>
      <c r="F73" s="374"/>
      <c r="G73" s="374"/>
      <c r="H73" s="374">
        <v>15794</v>
      </c>
    </row>
    <row r="74" spans="2:8" hidden="1" outlineLevel="1" x14ac:dyDescent="0.25">
      <c r="B74" s="352">
        <v>41671</v>
      </c>
      <c r="C74" s="374">
        <v>687</v>
      </c>
      <c r="D74" s="374">
        <v>25</v>
      </c>
      <c r="E74" s="374">
        <v>23938</v>
      </c>
      <c r="F74" s="374"/>
      <c r="G74" s="374"/>
      <c r="H74" s="374">
        <v>20912</v>
      </c>
    </row>
    <row r="75" spans="2:8" hidden="1" outlineLevel="1" x14ac:dyDescent="0.25">
      <c r="B75" s="352">
        <v>41699</v>
      </c>
      <c r="C75" s="374">
        <v>1022</v>
      </c>
      <c r="D75" s="374">
        <v>47</v>
      </c>
      <c r="E75" s="374">
        <v>28622</v>
      </c>
      <c r="F75" s="374"/>
      <c r="G75" s="374"/>
      <c r="H75" s="374">
        <v>24920</v>
      </c>
    </row>
    <row r="76" spans="2:8" hidden="1" outlineLevel="1" x14ac:dyDescent="0.25">
      <c r="B76" s="352">
        <v>41730</v>
      </c>
      <c r="C76" s="374">
        <v>645</v>
      </c>
      <c r="D76" s="374">
        <v>29</v>
      </c>
      <c r="E76" s="374">
        <v>22470</v>
      </c>
      <c r="F76" s="374"/>
      <c r="G76" s="374"/>
      <c r="H76" s="374">
        <v>20858</v>
      </c>
    </row>
    <row r="77" spans="2:8" hidden="1" outlineLevel="1" x14ac:dyDescent="0.25">
      <c r="B77" s="352">
        <v>41760</v>
      </c>
      <c r="C77" s="374">
        <v>697</v>
      </c>
      <c r="D77" s="374">
        <v>31</v>
      </c>
      <c r="E77" s="374">
        <v>14929</v>
      </c>
      <c r="F77" s="374"/>
      <c r="G77" s="374"/>
      <c r="H77" s="374">
        <v>13783</v>
      </c>
    </row>
    <row r="78" spans="2:8" hidden="1" outlineLevel="1" x14ac:dyDescent="0.25">
      <c r="B78" s="352">
        <v>41791</v>
      </c>
      <c r="C78" s="374">
        <v>708</v>
      </c>
      <c r="D78" s="374">
        <v>29</v>
      </c>
      <c r="E78" s="374">
        <v>28107</v>
      </c>
      <c r="F78" s="374"/>
      <c r="G78" s="374"/>
      <c r="H78" s="374">
        <v>22029</v>
      </c>
    </row>
    <row r="79" spans="2:8" hidden="1" outlineLevel="1" x14ac:dyDescent="0.25">
      <c r="B79" s="352">
        <v>41821</v>
      </c>
      <c r="C79" s="374">
        <v>848</v>
      </c>
      <c r="D79" s="374">
        <v>30</v>
      </c>
      <c r="E79" s="374">
        <v>20305</v>
      </c>
      <c r="F79" s="374"/>
      <c r="G79" s="374"/>
      <c r="H79" s="374">
        <v>18703</v>
      </c>
    </row>
    <row r="80" spans="2:8" hidden="1" outlineLevel="1" x14ac:dyDescent="0.25">
      <c r="B80" s="352">
        <v>41852</v>
      </c>
      <c r="C80" s="374">
        <v>418</v>
      </c>
      <c r="D80" s="374">
        <v>21</v>
      </c>
      <c r="E80" s="374">
        <v>20026</v>
      </c>
      <c r="F80" s="374"/>
      <c r="G80" s="374"/>
      <c r="H80" s="374">
        <v>17896</v>
      </c>
    </row>
    <row r="81" spans="2:8" hidden="1" outlineLevel="1" x14ac:dyDescent="0.25">
      <c r="B81" s="352">
        <v>41883</v>
      </c>
      <c r="C81" s="374">
        <v>449</v>
      </c>
      <c r="D81" s="374">
        <v>20</v>
      </c>
      <c r="E81" s="374">
        <v>17518</v>
      </c>
      <c r="F81" s="374"/>
      <c r="G81" s="374"/>
      <c r="H81" s="374">
        <v>15614</v>
      </c>
    </row>
    <row r="82" spans="2:8" hidden="1" outlineLevel="1" x14ac:dyDescent="0.25">
      <c r="B82" s="352">
        <v>41913</v>
      </c>
      <c r="C82" s="374">
        <v>386</v>
      </c>
      <c r="D82" s="374">
        <v>21</v>
      </c>
      <c r="E82" s="374">
        <v>25867</v>
      </c>
      <c r="F82" s="374"/>
      <c r="G82" s="374"/>
      <c r="H82" s="374">
        <v>21002</v>
      </c>
    </row>
    <row r="83" spans="2:8" hidden="1" outlineLevel="1" x14ac:dyDescent="0.25">
      <c r="B83" s="352">
        <v>41944</v>
      </c>
      <c r="C83" s="374">
        <v>614</v>
      </c>
      <c r="D83" s="374">
        <v>17</v>
      </c>
      <c r="E83" s="374">
        <v>16769</v>
      </c>
      <c r="F83" s="374"/>
      <c r="G83" s="374"/>
      <c r="H83" s="374">
        <v>15842</v>
      </c>
    </row>
    <row r="84" spans="2:8" hidden="1" outlineLevel="1" x14ac:dyDescent="0.25">
      <c r="B84" s="352">
        <v>41974</v>
      </c>
      <c r="C84" s="374">
        <v>534</v>
      </c>
      <c r="D84" s="374">
        <v>22</v>
      </c>
      <c r="E84" s="374">
        <v>23318</v>
      </c>
      <c r="F84" s="374"/>
      <c r="G84" s="374"/>
      <c r="H84" s="374">
        <v>20226</v>
      </c>
    </row>
    <row r="85" spans="2:8" collapsed="1" x14ac:dyDescent="0.25">
      <c r="B85" s="297" t="s">
        <v>705</v>
      </c>
      <c r="C85" s="298">
        <v>637.5</v>
      </c>
      <c r="D85" s="298">
        <v>26.583333333333332</v>
      </c>
      <c r="E85" s="298">
        <v>21547.583333333332</v>
      </c>
      <c r="F85" s="298"/>
      <c r="G85" s="298"/>
      <c r="H85" s="298">
        <v>18964.916666666668</v>
      </c>
    </row>
    <row r="86" spans="2:8" hidden="1" outlineLevel="1" x14ac:dyDescent="0.25">
      <c r="B86" s="352">
        <v>42005</v>
      </c>
      <c r="C86" s="374">
        <v>478</v>
      </c>
      <c r="D86" s="374">
        <v>21</v>
      </c>
      <c r="E86" s="374">
        <v>23056</v>
      </c>
      <c r="F86" s="374"/>
      <c r="G86" s="374"/>
      <c r="H86" s="374">
        <v>21061</v>
      </c>
    </row>
    <row r="87" spans="2:8" hidden="1" outlineLevel="1" x14ac:dyDescent="0.25">
      <c r="B87" s="352">
        <v>42036</v>
      </c>
      <c r="C87" s="374">
        <v>361</v>
      </c>
      <c r="D87" s="374">
        <v>24</v>
      </c>
      <c r="E87" s="374">
        <v>18524</v>
      </c>
      <c r="F87" s="374"/>
      <c r="G87" s="374"/>
      <c r="H87" s="374">
        <v>17192</v>
      </c>
    </row>
    <row r="88" spans="2:8" hidden="1" outlineLevel="1" x14ac:dyDescent="0.25">
      <c r="B88" s="352">
        <v>42064</v>
      </c>
      <c r="C88" s="374">
        <v>712</v>
      </c>
      <c r="D88" s="374">
        <v>28</v>
      </c>
      <c r="E88" s="374">
        <v>26002</v>
      </c>
      <c r="F88" s="374"/>
      <c r="G88" s="374"/>
      <c r="H88" s="374">
        <v>22027</v>
      </c>
    </row>
    <row r="89" spans="2:8" hidden="1" outlineLevel="1" x14ac:dyDescent="0.25">
      <c r="B89" s="352">
        <v>42095</v>
      </c>
      <c r="C89" s="374">
        <v>255</v>
      </c>
      <c r="D89" s="374">
        <v>22</v>
      </c>
      <c r="E89" s="374">
        <v>23093</v>
      </c>
      <c r="F89" s="374"/>
      <c r="G89" s="374"/>
      <c r="H89" s="374">
        <v>21546</v>
      </c>
    </row>
    <row r="90" spans="2:8" hidden="1" outlineLevel="1" x14ac:dyDescent="0.25">
      <c r="B90" s="352">
        <v>42125</v>
      </c>
      <c r="C90" s="374">
        <v>891</v>
      </c>
      <c r="D90" s="374">
        <v>21</v>
      </c>
      <c r="E90" s="374">
        <v>22362</v>
      </c>
      <c r="F90" s="374"/>
      <c r="G90" s="374"/>
      <c r="H90" s="374">
        <v>20850</v>
      </c>
    </row>
    <row r="91" spans="2:8" hidden="1" outlineLevel="1" x14ac:dyDescent="0.25">
      <c r="B91" s="352">
        <v>42156</v>
      </c>
      <c r="C91" s="374">
        <v>117</v>
      </c>
      <c r="D91" s="374">
        <v>14</v>
      </c>
      <c r="E91" s="374">
        <v>12627</v>
      </c>
      <c r="F91" s="374"/>
      <c r="G91" s="374"/>
      <c r="H91" s="374">
        <v>11681</v>
      </c>
    </row>
    <row r="92" spans="2:8" hidden="1" outlineLevel="1" x14ac:dyDescent="0.25">
      <c r="B92" s="352">
        <v>42186</v>
      </c>
      <c r="C92" s="374">
        <v>181</v>
      </c>
      <c r="D92" s="374">
        <v>18</v>
      </c>
      <c r="E92" s="374">
        <v>19638</v>
      </c>
      <c r="F92" s="374"/>
      <c r="G92" s="374"/>
      <c r="H92" s="374">
        <v>18282</v>
      </c>
    </row>
    <row r="93" spans="2:8" hidden="1" outlineLevel="1" x14ac:dyDescent="0.25">
      <c r="B93" s="352">
        <v>42217</v>
      </c>
      <c r="C93" s="374">
        <v>128</v>
      </c>
      <c r="D93" s="374">
        <v>14</v>
      </c>
      <c r="E93" s="374">
        <v>21146</v>
      </c>
      <c r="F93" s="374"/>
      <c r="G93" s="374"/>
      <c r="H93" s="374">
        <v>19598</v>
      </c>
    </row>
    <row r="94" spans="2:8" hidden="1" outlineLevel="1" x14ac:dyDescent="0.25">
      <c r="B94" s="352">
        <v>42248</v>
      </c>
      <c r="C94" s="374">
        <v>161</v>
      </c>
      <c r="D94" s="374">
        <v>18</v>
      </c>
      <c r="E94" s="374">
        <v>27499</v>
      </c>
      <c r="F94" s="374"/>
      <c r="G94" s="374"/>
      <c r="H94" s="374">
        <v>21738</v>
      </c>
    </row>
    <row r="95" spans="2:8" hidden="1" outlineLevel="1" x14ac:dyDescent="0.25">
      <c r="B95" s="352">
        <v>42278</v>
      </c>
      <c r="C95" s="374">
        <v>195</v>
      </c>
      <c r="D95" s="374">
        <v>21</v>
      </c>
      <c r="E95" s="374">
        <v>25195</v>
      </c>
      <c r="F95" s="374"/>
      <c r="G95" s="374"/>
      <c r="H95" s="374">
        <v>20911</v>
      </c>
    </row>
    <row r="96" spans="2:8" hidden="1" outlineLevel="1" x14ac:dyDescent="0.25">
      <c r="B96" s="352">
        <v>42309</v>
      </c>
      <c r="C96" s="374">
        <v>225</v>
      </c>
      <c r="D96" s="374">
        <v>20</v>
      </c>
      <c r="E96" s="374">
        <v>22695</v>
      </c>
      <c r="F96" s="374"/>
      <c r="G96" s="374"/>
      <c r="H96" s="374">
        <v>19610</v>
      </c>
    </row>
    <row r="97" spans="2:8" hidden="1" outlineLevel="1" x14ac:dyDescent="0.25">
      <c r="B97" s="352">
        <v>42339</v>
      </c>
      <c r="C97" s="374">
        <v>212</v>
      </c>
      <c r="D97" s="374">
        <v>27</v>
      </c>
      <c r="E97" s="374">
        <v>22984</v>
      </c>
      <c r="F97" s="374"/>
      <c r="G97" s="374"/>
      <c r="H97" s="374">
        <v>20973</v>
      </c>
    </row>
    <row r="98" spans="2:8" collapsed="1" x14ac:dyDescent="0.25">
      <c r="B98" s="297" t="s">
        <v>706</v>
      </c>
      <c r="C98" s="298">
        <v>326.33333333333331</v>
      </c>
      <c r="D98" s="298">
        <v>20.666666666666668</v>
      </c>
      <c r="E98" s="298">
        <v>22068.416666666668</v>
      </c>
      <c r="F98" s="298"/>
      <c r="G98" s="298"/>
      <c r="H98" s="298">
        <v>19622.416666666668</v>
      </c>
    </row>
    <row r="99" spans="2:8" hidden="1" outlineLevel="1" x14ac:dyDescent="0.25">
      <c r="B99" s="352">
        <v>42370</v>
      </c>
      <c r="C99" s="374">
        <v>352</v>
      </c>
      <c r="D99" s="374">
        <v>37</v>
      </c>
      <c r="E99" s="374">
        <v>22006</v>
      </c>
      <c r="F99" s="374"/>
      <c r="G99" s="374"/>
      <c r="H99" s="374">
        <v>20462</v>
      </c>
    </row>
    <row r="100" spans="2:8" hidden="1" outlineLevel="1" x14ac:dyDescent="0.25">
      <c r="B100" s="352">
        <v>42401</v>
      </c>
      <c r="C100" s="374">
        <v>370</v>
      </c>
      <c r="D100" s="374">
        <v>34</v>
      </c>
      <c r="E100" s="374">
        <v>21509</v>
      </c>
      <c r="F100" s="374"/>
      <c r="G100" s="374"/>
      <c r="H100" s="374">
        <v>20333</v>
      </c>
    </row>
    <row r="101" spans="2:8" hidden="1" outlineLevel="1" x14ac:dyDescent="0.25">
      <c r="B101" s="352">
        <v>42430</v>
      </c>
      <c r="C101" s="374">
        <v>389</v>
      </c>
      <c r="D101" s="374">
        <v>23</v>
      </c>
      <c r="E101" s="374">
        <v>21336</v>
      </c>
      <c r="F101" s="374"/>
      <c r="G101" s="374"/>
      <c r="H101" s="374">
        <v>19910</v>
      </c>
    </row>
    <row r="102" spans="2:8" hidden="1" outlineLevel="1" x14ac:dyDescent="0.25">
      <c r="B102" s="352">
        <v>42461</v>
      </c>
      <c r="C102" s="374">
        <v>285</v>
      </c>
      <c r="D102" s="374">
        <v>18</v>
      </c>
      <c r="E102" s="374">
        <v>5659</v>
      </c>
      <c r="F102" s="374"/>
      <c r="G102" s="374"/>
      <c r="H102" s="374">
        <v>5480</v>
      </c>
    </row>
    <row r="103" spans="2:8" hidden="1" outlineLevel="1" x14ac:dyDescent="0.25">
      <c r="B103" s="352">
        <v>42491</v>
      </c>
      <c r="C103" s="374">
        <v>288</v>
      </c>
      <c r="D103" s="374">
        <v>16</v>
      </c>
      <c r="E103" s="374">
        <v>6651</v>
      </c>
      <c r="F103" s="374">
        <v>3426</v>
      </c>
      <c r="G103" s="374">
        <v>2372</v>
      </c>
      <c r="H103" s="374">
        <v>5798</v>
      </c>
    </row>
    <row r="104" spans="2:8" hidden="1" outlineLevel="1" x14ac:dyDescent="0.25">
      <c r="B104" s="352">
        <v>42522</v>
      </c>
      <c r="C104" s="374">
        <v>21</v>
      </c>
      <c r="D104" s="374">
        <v>15</v>
      </c>
      <c r="E104" s="374">
        <v>5426</v>
      </c>
      <c r="F104" s="374">
        <v>2014</v>
      </c>
      <c r="G104" s="374">
        <v>2742</v>
      </c>
      <c r="H104" s="374">
        <v>4756</v>
      </c>
    </row>
    <row r="105" spans="2:8" hidden="1" outlineLevel="1" x14ac:dyDescent="0.25">
      <c r="B105" s="352">
        <v>42552</v>
      </c>
      <c r="C105" s="374">
        <v>9</v>
      </c>
      <c r="D105" s="374">
        <v>9</v>
      </c>
      <c r="E105" s="374">
        <v>3253</v>
      </c>
      <c r="F105" s="374">
        <v>1416</v>
      </c>
      <c r="G105" s="374">
        <v>1620</v>
      </c>
      <c r="H105" s="374">
        <v>3036</v>
      </c>
    </row>
    <row r="106" spans="2:8" hidden="1" outlineLevel="1" x14ac:dyDescent="0.25">
      <c r="B106" s="352">
        <v>42583</v>
      </c>
      <c r="C106" s="374">
        <v>13</v>
      </c>
      <c r="D106" s="374">
        <v>10</v>
      </c>
      <c r="E106" s="374">
        <v>3343</v>
      </c>
      <c r="F106" s="374">
        <v>1336</v>
      </c>
      <c r="G106" s="374">
        <v>1688</v>
      </c>
      <c r="H106" s="374">
        <v>3024</v>
      </c>
    </row>
    <row r="107" spans="2:8" hidden="1" outlineLevel="1" x14ac:dyDescent="0.25">
      <c r="B107" s="352">
        <v>42614</v>
      </c>
      <c r="C107" s="374">
        <v>16</v>
      </c>
      <c r="D107" s="374">
        <v>11</v>
      </c>
      <c r="E107" s="374">
        <v>3298</v>
      </c>
      <c r="F107" s="374">
        <v>1358</v>
      </c>
      <c r="G107" s="374">
        <v>1715</v>
      </c>
      <c r="H107" s="374">
        <v>3073</v>
      </c>
    </row>
    <row r="108" spans="2:8" hidden="1" outlineLevel="1" x14ac:dyDescent="0.25">
      <c r="B108" s="352">
        <v>42644</v>
      </c>
      <c r="C108" s="374">
        <v>28</v>
      </c>
      <c r="D108" s="374">
        <v>12</v>
      </c>
      <c r="E108" s="374">
        <v>3465</v>
      </c>
      <c r="F108" s="374">
        <v>1455</v>
      </c>
      <c r="G108" s="374">
        <v>1819</v>
      </c>
      <c r="H108" s="374">
        <v>3274</v>
      </c>
    </row>
    <row r="109" spans="2:8" hidden="1" outlineLevel="1" x14ac:dyDescent="0.25">
      <c r="B109" s="352">
        <v>42675</v>
      </c>
      <c r="C109" s="374">
        <v>38</v>
      </c>
      <c r="D109" s="374">
        <v>13</v>
      </c>
      <c r="E109" s="374">
        <v>3225</v>
      </c>
      <c r="F109" s="374">
        <v>1369</v>
      </c>
      <c r="G109" s="374">
        <v>1699</v>
      </c>
      <c r="H109" s="374">
        <v>3068</v>
      </c>
    </row>
    <row r="110" spans="2:8" hidden="1" outlineLevel="1" x14ac:dyDescent="0.25">
      <c r="B110" s="352">
        <v>42705</v>
      </c>
      <c r="C110" s="374">
        <v>48</v>
      </c>
      <c r="D110" s="374">
        <v>20</v>
      </c>
      <c r="E110" s="374">
        <v>2951</v>
      </c>
      <c r="F110" s="374">
        <v>1273</v>
      </c>
      <c r="G110" s="374">
        <v>1530</v>
      </c>
      <c r="H110" s="374">
        <v>2803</v>
      </c>
    </row>
    <row r="111" spans="2:8" collapsed="1" x14ac:dyDescent="0.25">
      <c r="B111" s="297" t="s">
        <v>707</v>
      </c>
      <c r="C111" s="298">
        <v>154.75</v>
      </c>
      <c r="D111" s="298">
        <v>18.166666666666668</v>
      </c>
      <c r="E111" s="298">
        <v>8510.1666666666661</v>
      </c>
      <c r="F111" s="298">
        <v>1705.875</v>
      </c>
      <c r="G111" s="298">
        <v>1898.125</v>
      </c>
      <c r="H111" s="298">
        <v>7918.083333333333</v>
      </c>
    </row>
    <row r="112" spans="2:8" hidden="1" outlineLevel="1" x14ac:dyDescent="0.25">
      <c r="B112" s="352">
        <v>42736</v>
      </c>
      <c r="C112" s="374">
        <v>28</v>
      </c>
      <c r="D112" s="374">
        <v>16</v>
      </c>
      <c r="E112" s="374">
        <v>4231</v>
      </c>
      <c r="F112" s="374">
        <v>1377</v>
      </c>
      <c r="G112" s="374">
        <v>2288</v>
      </c>
      <c r="H112" s="374">
        <v>3665</v>
      </c>
    </row>
    <row r="113" spans="2:8" hidden="1" outlineLevel="1" x14ac:dyDescent="0.25">
      <c r="B113" s="352">
        <v>42767</v>
      </c>
      <c r="C113" s="374">
        <v>40</v>
      </c>
      <c r="D113" s="374">
        <v>21</v>
      </c>
      <c r="E113" s="374">
        <v>2725</v>
      </c>
      <c r="F113" s="374">
        <v>1152</v>
      </c>
      <c r="G113" s="374">
        <v>1411</v>
      </c>
      <c r="H113" s="374">
        <v>2563</v>
      </c>
    </row>
    <row r="114" spans="2:8" hidden="1" outlineLevel="1" x14ac:dyDescent="0.25">
      <c r="B114" s="352">
        <v>42795</v>
      </c>
      <c r="C114" s="374">
        <v>51</v>
      </c>
      <c r="D114" s="374">
        <v>19</v>
      </c>
      <c r="E114" s="374">
        <v>2482</v>
      </c>
      <c r="F114" s="374">
        <v>1042</v>
      </c>
      <c r="G114" s="374">
        <v>1321</v>
      </c>
      <c r="H114" s="374">
        <v>2363</v>
      </c>
    </row>
    <row r="115" spans="2:8" hidden="1" outlineLevel="1" x14ac:dyDescent="0.25">
      <c r="B115" s="352">
        <v>42826</v>
      </c>
      <c r="C115" s="374">
        <v>52</v>
      </c>
      <c r="D115" s="374">
        <v>16</v>
      </c>
      <c r="E115" s="374">
        <v>2908</v>
      </c>
      <c r="F115" s="374">
        <v>1301</v>
      </c>
      <c r="G115" s="374">
        <v>1304</v>
      </c>
      <c r="H115" s="374">
        <v>2605</v>
      </c>
    </row>
    <row r="116" spans="2:8" hidden="1" outlineLevel="1" x14ac:dyDescent="0.25">
      <c r="B116" s="352">
        <v>42856</v>
      </c>
      <c r="C116" s="374">
        <v>33</v>
      </c>
      <c r="D116" s="374">
        <v>11</v>
      </c>
      <c r="E116" s="374">
        <v>2762</v>
      </c>
      <c r="F116" s="374">
        <v>1203</v>
      </c>
      <c r="G116" s="374">
        <v>1396</v>
      </c>
      <c r="H116" s="374">
        <v>2599</v>
      </c>
    </row>
    <row r="117" spans="2:8" hidden="1" outlineLevel="1" x14ac:dyDescent="0.25">
      <c r="B117" s="352">
        <v>42887</v>
      </c>
      <c r="C117" s="374">
        <v>4096</v>
      </c>
      <c r="D117" s="374">
        <v>40</v>
      </c>
      <c r="E117" s="374">
        <v>176735</v>
      </c>
      <c r="F117" s="374">
        <v>21206</v>
      </c>
      <c r="G117" s="374">
        <v>29918</v>
      </c>
      <c r="H117" s="374">
        <v>51124</v>
      </c>
    </row>
    <row r="118" spans="2:8" hidden="1" outlineLevel="1" x14ac:dyDescent="0.25">
      <c r="B118" s="352">
        <v>42917</v>
      </c>
      <c r="C118" s="374">
        <v>6517</v>
      </c>
      <c r="D118" s="374">
        <v>46</v>
      </c>
      <c r="E118" s="374">
        <v>93102</v>
      </c>
      <c r="F118" s="374">
        <v>16060</v>
      </c>
      <c r="G118" s="374">
        <v>22383</v>
      </c>
      <c r="H118" s="374">
        <v>38443</v>
      </c>
    </row>
    <row r="119" spans="2:8" hidden="1" outlineLevel="1" x14ac:dyDescent="0.25">
      <c r="B119" s="352">
        <v>42948</v>
      </c>
      <c r="C119" s="374">
        <v>7909</v>
      </c>
      <c r="D119" s="374">
        <v>49</v>
      </c>
      <c r="E119" s="374">
        <v>2314</v>
      </c>
      <c r="F119" s="374">
        <v>1181</v>
      </c>
      <c r="G119" s="374">
        <v>999</v>
      </c>
      <c r="H119" s="374">
        <v>2180</v>
      </c>
    </row>
    <row r="120" spans="2:8" hidden="1" outlineLevel="1" x14ac:dyDescent="0.25">
      <c r="B120" s="352">
        <v>42979</v>
      </c>
      <c r="C120" s="374">
        <v>2045</v>
      </c>
      <c r="D120" s="374">
        <v>33</v>
      </c>
      <c r="E120" s="374">
        <v>37486</v>
      </c>
      <c r="F120" s="374">
        <v>9638</v>
      </c>
      <c r="G120" s="374">
        <v>14569</v>
      </c>
      <c r="H120" s="374">
        <v>24207</v>
      </c>
    </row>
    <row r="121" spans="2:8" hidden="1" outlineLevel="1" x14ac:dyDescent="0.25">
      <c r="B121" s="352">
        <v>43009</v>
      </c>
      <c r="C121" s="374">
        <v>1138</v>
      </c>
      <c r="D121" s="374">
        <v>31</v>
      </c>
      <c r="E121" s="374">
        <v>33256</v>
      </c>
      <c r="F121" s="374">
        <v>9130</v>
      </c>
      <c r="G121" s="374">
        <v>15883</v>
      </c>
      <c r="H121" s="374">
        <v>25013</v>
      </c>
    </row>
    <row r="122" spans="2:8" hidden="1" outlineLevel="1" x14ac:dyDescent="0.25">
      <c r="B122" s="352">
        <v>43040</v>
      </c>
      <c r="C122" s="374">
        <v>989</v>
      </c>
      <c r="D122" s="374">
        <v>32</v>
      </c>
      <c r="E122" s="374">
        <v>26590</v>
      </c>
      <c r="F122" s="374">
        <v>8080</v>
      </c>
      <c r="G122" s="374">
        <v>12842</v>
      </c>
      <c r="H122" s="374">
        <v>20922</v>
      </c>
    </row>
    <row r="123" spans="2:8" hidden="1" outlineLevel="1" x14ac:dyDescent="0.25">
      <c r="B123" s="352">
        <v>43070</v>
      </c>
      <c r="C123" s="374">
        <v>1027</v>
      </c>
      <c r="D123" s="374">
        <v>26</v>
      </c>
      <c r="E123" s="374">
        <v>18586</v>
      </c>
      <c r="F123" s="374">
        <v>7147</v>
      </c>
      <c r="G123" s="374">
        <v>10315</v>
      </c>
      <c r="H123" s="374">
        <v>17462</v>
      </c>
    </row>
    <row r="124" spans="2:8" collapsed="1" x14ac:dyDescent="0.25">
      <c r="B124" s="297" t="s">
        <v>708</v>
      </c>
      <c r="C124" s="298">
        <v>1993.75</v>
      </c>
      <c r="D124" s="298">
        <v>28.333333333333332</v>
      </c>
      <c r="E124" s="298">
        <v>33598.083333333336</v>
      </c>
      <c r="F124" s="298">
        <v>6543.083333333333</v>
      </c>
      <c r="G124" s="298">
        <v>9552.4166666666661</v>
      </c>
      <c r="H124" s="298">
        <v>16095.5</v>
      </c>
    </row>
    <row r="125" spans="2:8" hidden="1" outlineLevel="1" x14ac:dyDescent="0.25">
      <c r="B125" s="352">
        <v>43101</v>
      </c>
      <c r="C125" s="374">
        <v>1354</v>
      </c>
      <c r="D125" s="374">
        <v>30</v>
      </c>
      <c r="E125" s="374">
        <v>18570</v>
      </c>
      <c r="F125" s="374">
        <v>7039</v>
      </c>
      <c r="G125" s="374">
        <v>10476</v>
      </c>
      <c r="H125" s="374">
        <v>17515</v>
      </c>
    </row>
    <row r="126" spans="2:8" hidden="1" outlineLevel="1" x14ac:dyDescent="0.25">
      <c r="B126" s="352">
        <v>43132</v>
      </c>
      <c r="C126" s="374">
        <v>1044</v>
      </c>
      <c r="D126" s="374">
        <v>26</v>
      </c>
      <c r="E126" s="374">
        <v>12624</v>
      </c>
      <c r="F126" s="374">
        <v>7245</v>
      </c>
      <c r="G126" s="374">
        <v>4546</v>
      </c>
      <c r="H126" s="374">
        <v>11791</v>
      </c>
    </row>
    <row r="127" spans="2:8" hidden="1" outlineLevel="1" x14ac:dyDescent="0.25">
      <c r="B127" s="352">
        <v>43160</v>
      </c>
      <c r="C127" s="374">
        <v>923</v>
      </c>
      <c r="D127" s="374">
        <v>42</v>
      </c>
      <c r="E127" s="374">
        <v>19233</v>
      </c>
      <c r="F127" s="374">
        <v>7306</v>
      </c>
      <c r="G127" s="374">
        <v>10727</v>
      </c>
      <c r="H127" s="374">
        <v>18033</v>
      </c>
    </row>
    <row r="128" spans="2:8" hidden="1" outlineLevel="1" x14ac:dyDescent="0.25">
      <c r="B128" s="352">
        <v>43191</v>
      </c>
      <c r="C128" s="374">
        <v>1496</v>
      </c>
      <c r="D128" s="374">
        <v>53</v>
      </c>
      <c r="E128" s="374">
        <v>27469</v>
      </c>
      <c r="F128" s="374">
        <v>12706</v>
      </c>
      <c r="G128" s="374">
        <v>9262</v>
      </c>
      <c r="H128" s="374">
        <v>21968</v>
      </c>
    </row>
    <row r="129" spans="2:8" hidden="1" outlineLevel="1" x14ac:dyDescent="0.25">
      <c r="B129" s="352">
        <v>43221</v>
      </c>
      <c r="C129" s="374">
        <v>1099</v>
      </c>
      <c r="D129" s="374">
        <v>44</v>
      </c>
      <c r="E129" s="374">
        <v>19923</v>
      </c>
      <c r="F129" s="374">
        <v>7814</v>
      </c>
      <c r="G129" s="374">
        <v>11003</v>
      </c>
      <c r="H129" s="374">
        <v>18817</v>
      </c>
    </row>
    <row r="130" spans="2:8" hidden="1" outlineLevel="1" x14ac:dyDescent="0.25">
      <c r="B130" s="352">
        <v>43252</v>
      </c>
      <c r="C130" s="374">
        <v>2919</v>
      </c>
      <c r="D130" s="374">
        <v>53</v>
      </c>
      <c r="E130" s="374">
        <v>33135</v>
      </c>
      <c r="F130" s="374">
        <v>8927</v>
      </c>
      <c r="G130" s="374">
        <v>12977</v>
      </c>
      <c r="H130" s="374">
        <v>21904</v>
      </c>
    </row>
    <row r="131" spans="2:8" hidden="1" outlineLevel="1" x14ac:dyDescent="0.25">
      <c r="B131" s="352">
        <v>43282</v>
      </c>
      <c r="C131" s="374">
        <v>643</v>
      </c>
      <c r="D131" s="374">
        <v>53</v>
      </c>
      <c r="E131" s="374">
        <v>16559</v>
      </c>
      <c r="F131" s="374">
        <v>6259</v>
      </c>
      <c r="G131" s="374">
        <v>9397</v>
      </c>
      <c r="H131" s="374">
        <v>15656</v>
      </c>
    </row>
    <row r="132" spans="2:8" hidden="1" outlineLevel="1" x14ac:dyDescent="0.25">
      <c r="B132" s="352">
        <v>43313</v>
      </c>
      <c r="C132" s="374">
        <v>542</v>
      </c>
      <c r="D132" s="374">
        <v>55</v>
      </c>
      <c r="E132" s="374">
        <v>16468</v>
      </c>
      <c r="F132" s="374">
        <v>9380</v>
      </c>
      <c r="G132" s="374">
        <v>6293</v>
      </c>
      <c r="H132" s="374">
        <v>15673</v>
      </c>
    </row>
    <row r="133" spans="2:8" hidden="1" outlineLevel="1" x14ac:dyDescent="0.25">
      <c r="B133" s="352">
        <v>43344</v>
      </c>
      <c r="C133" s="374">
        <v>542</v>
      </c>
      <c r="D133" s="374">
        <v>47</v>
      </c>
      <c r="E133" s="374">
        <v>20636</v>
      </c>
      <c r="F133" s="374">
        <v>10966</v>
      </c>
      <c r="G133" s="374">
        <v>7467</v>
      </c>
      <c r="H133" s="374">
        <v>18433</v>
      </c>
    </row>
    <row r="134" spans="2:8" hidden="1" outlineLevel="1" x14ac:dyDescent="0.25">
      <c r="B134" s="352">
        <v>43374</v>
      </c>
      <c r="C134" s="374">
        <v>1166</v>
      </c>
      <c r="D134" s="374">
        <v>64</v>
      </c>
      <c r="E134" s="374">
        <v>18153</v>
      </c>
      <c r="F134" s="374">
        <v>6728</v>
      </c>
      <c r="G134" s="374">
        <v>9884</v>
      </c>
      <c r="H134" s="374">
        <v>16612</v>
      </c>
    </row>
    <row r="135" spans="2:8" hidden="1" outlineLevel="1" x14ac:dyDescent="0.25">
      <c r="B135" s="352">
        <v>43405</v>
      </c>
      <c r="C135" s="374">
        <v>684</v>
      </c>
      <c r="D135" s="374">
        <v>59</v>
      </c>
      <c r="E135" s="374">
        <v>22023</v>
      </c>
      <c r="F135" s="374">
        <v>10985</v>
      </c>
      <c r="G135" s="374">
        <v>7542</v>
      </c>
      <c r="H135" s="374">
        <v>18527</v>
      </c>
    </row>
    <row r="136" spans="2:8" hidden="1" outlineLevel="1" x14ac:dyDescent="0.25">
      <c r="B136" s="352">
        <v>43435</v>
      </c>
      <c r="C136" s="374">
        <v>1306</v>
      </c>
      <c r="D136" s="374">
        <v>51</v>
      </c>
      <c r="E136" s="374">
        <v>25922</v>
      </c>
      <c r="F136" s="374">
        <v>12754</v>
      </c>
      <c r="G136" s="374">
        <v>8814</v>
      </c>
      <c r="H136" s="374">
        <v>21568</v>
      </c>
    </row>
    <row r="137" spans="2:8" collapsed="1" x14ac:dyDescent="0.25">
      <c r="B137" s="297" t="s">
        <v>709</v>
      </c>
      <c r="C137" s="298">
        <v>1143.1666666666667</v>
      </c>
      <c r="D137" s="298">
        <v>48.083333333333336</v>
      </c>
      <c r="E137" s="298">
        <v>20892.916666666668</v>
      </c>
      <c r="F137" s="298">
        <v>9009.0833333333339</v>
      </c>
      <c r="G137" s="298">
        <v>9032.3333333333339</v>
      </c>
      <c r="H137" s="298">
        <v>18041.416666666668</v>
      </c>
    </row>
    <row r="138" spans="2:8" hidden="1" outlineLevel="1" x14ac:dyDescent="0.25">
      <c r="B138" s="352">
        <v>43466</v>
      </c>
      <c r="C138" s="374">
        <v>800</v>
      </c>
      <c r="D138" s="374">
        <v>51</v>
      </c>
      <c r="E138" s="374">
        <v>28255</v>
      </c>
      <c r="F138" s="374">
        <v>13972</v>
      </c>
      <c r="G138" s="374">
        <v>9596</v>
      </c>
      <c r="H138" s="374">
        <v>23568</v>
      </c>
    </row>
    <row r="139" spans="2:8" hidden="1" outlineLevel="1" x14ac:dyDescent="0.25">
      <c r="B139" s="352">
        <v>43497</v>
      </c>
      <c r="C139" s="374">
        <v>819</v>
      </c>
      <c r="D139" s="374">
        <v>47</v>
      </c>
      <c r="E139" s="374">
        <v>24473</v>
      </c>
      <c r="F139" s="374">
        <v>12346</v>
      </c>
      <c r="G139" s="374">
        <v>8362</v>
      </c>
      <c r="H139" s="374">
        <v>20708</v>
      </c>
    </row>
    <row r="140" spans="2:8" hidden="1" outlineLevel="1" x14ac:dyDescent="0.25">
      <c r="B140" s="352">
        <v>43525</v>
      </c>
      <c r="C140" s="374">
        <v>1105</v>
      </c>
      <c r="D140" s="374">
        <v>42</v>
      </c>
      <c r="E140" s="374">
        <v>20396</v>
      </c>
      <c r="F140" s="374">
        <v>11217</v>
      </c>
      <c r="G140" s="374">
        <v>7436</v>
      </c>
      <c r="H140" s="374">
        <v>18653</v>
      </c>
    </row>
    <row r="141" spans="2:8" hidden="1" outlineLevel="1" x14ac:dyDescent="0.25">
      <c r="B141" s="352">
        <v>43556</v>
      </c>
      <c r="C141" s="374">
        <v>1016</v>
      </c>
      <c r="D141" s="374">
        <v>35</v>
      </c>
      <c r="E141" s="374">
        <v>17319</v>
      </c>
      <c r="F141" s="374">
        <v>9829</v>
      </c>
      <c r="G141" s="374">
        <v>6577</v>
      </c>
      <c r="H141" s="374">
        <v>16406</v>
      </c>
    </row>
    <row r="142" spans="2:8" hidden="1" outlineLevel="1" x14ac:dyDescent="0.25">
      <c r="B142" s="352">
        <v>43586</v>
      </c>
      <c r="C142" s="374">
        <v>1094</v>
      </c>
      <c r="D142" s="374">
        <v>44</v>
      </c>
      <c r="E142" s="374">
        <v>26936</v>
      </c>
      <c r="F142" s="374">
        <v>8619</v>
      </c>
      <c r="G142" s="374">
        <v>12910</v>
      </c>
      <c r="H142" s="374">
        <v>21529</v>
      </c>
    </row>
    <row r="143" spans="2:8" hidden="1" outlineLevel="1" x14ac:dyDescent="0.25">
      <c r="B143" s="352">
        <v>43617</v>
      </c>
      <c r="C143" s="374">
        <v>962</v>
      </c>
      <c r="D143" s="374">
        <v>41</v>
      </c>
      <c r="E143" s="374">
        <v>17186</v>
      </c>
      <c r="F143" s="374">
        <v>6205</v>
      </c>
      <c r="G143" s="374">
        <v>9829</v>
      </c>
      <c r="H143" s="374">
        <v>16034</v>
      </c>
    </row>
    <row r="144" spans="2:8" hidden="1" outlineLevel="1" x14ac:dyDescent="0.25">
      <c r="B144" s="352">
        <v>43647</v>
      </c>
      <c r="C144" s="374">
        <v>1148</v>
      </c>
      <c r="D144" s="374">
        <v>41</v>
      </c>
      <c r="E144" s="374">
        <v>17113</v>
      </c>
      <c r="F144" s="374">
        <v>9788</v>
      </c>
      <c r="G144" s="374">
        <v>6179</v>
      </c>
      <c r="H144" s="374">
        <v>15967</v>
      </c>
    </row>
    <row r="145" spans="2:8" hidden="1" outlineLevel="1" x14ac:dyDescent="0.25">
      <c r="B145" s="352">
        <v>43678</v>
      </c>
      <c r="C145" s="374">
        <v>896</v>
      </c>
      <c r="D145" s="374">
        <v>34</v>
      </c>
      <c r="E145" s="374">
        <v>17644</v>
      </c>
      <c r="F145" s="374">
        <v>10151</v>
      </c>
      <c r="G145" s="374">
        <v>6422</v>
      </c>
      <c r="H145" s="374">
        <v>16573</v>
      </c>
    </row>
    <row r="146" spans="2:8" hidden="1" outlineLevel="1" x14ac:dyDescent="0.25">
      <c r="B146" s="352">
        <v>43709</v>
      </c>
      <c r="C146" s="374">
        <v>926</v>
      </c>
      <c r="D146" s="374">
        <v>31</v>
      </c>
      <c r="E146" s="374">
        <v>17905</v>
      </c>
      <c r="F146" s="374">
        <v>10281</v>
      </c>
      <c r="G146" s="374">
        <v>6541</v>
      </c>
      <c r="H146" s="374">
        <v>16573</v>
      </c>
    </row>
    <row r="147" spans="2:8" hidden="1" outlineLevel="1" x14ac:dyDescent="0.25">
      <c r="B147" s="352">
        <v>43739</v>
      </c>
      <c r="C147" s="374">
        <v>1371</v>
      </c>
      <c r="D147" s="374">
        <v>30</v>
      </c>
      <c r="E147" s="374">
        <v>18586</v>
      </c>
      <c r="F147" s="374">
        <v>6769</v>
      </c>
      <c r="G147" s="374">
        <v>10563</v>
      </c>
      <c r="H147" s="374">
        <v>17332</v>
      </c>
    </row>
    <row r="148" spans="2:8" hidden="1" outlineLevel="1" x14ac:dyDescent="0.25">
      <c r="B148" s="352">
        <v>43770</v>
      </c>
      <c r="C148" s="374">
        <v>1269</v>
      </c>
      <c r="D148" s="374">
        <v>37</v>
      </c>
      <c r="E148" s="374">
        <v>18254</v>
      </c>
      <c r="F148" s="374">
        <v>10266</v>
      </c>
      <c r="G148" s="374">
        <v>6534</v>
      </c>
      <c r="H148" s="374">
        <v>16800</v>
      </c>
    </row>
    <row r="149" spans="2:8" hidden="1" outlineLevel="1" x14ac:dyDescent="0.25">
      <c r="B149" s="352">
        <v>43800</v>
      </c>
      <c r="C149" s="374">
        <v>819</v>
      </c>
      <c r="D149" s="374">
        <v>36</v>
      </c>
      <c r="E149" s="374">
        <v>18254</v>
      </c>
      <c r="F149" s="374">
        <v>10460</v>
      </c>
      <c r="G149" s="374">
        <v>6540</v>
      </c>
      <c r="H149" s="374">
        <v>17000</v>
      </c>
    </row>
    <row r="150" spans="2:8" collapsed="1" x14ac:dyDescent="0.25">
      <c r="B150" s="297" t="s">
        <v>710</v>
      </c>
      <c r="C150" s="298">
        <v>1018.75</v>
      </c>
      <c r="D150" s="298">
        <v>39.083333333333336</v>
      </c>
      <c r="E150" s="298">
        <v>20193.416666666668</v>
      </c>
      <c r="F150" s="298">
        <v>9991.9166666666661</v>
      </c>
      <c r="G150" s="298">
        <v>8124.083333333333</v>
      </c>
      <c r="H150" s="298">
        <v>18095.25</v>
      </c>
    </row>
    <row r="151" spans="2:8" hidden="1" outlineLevel="1" x14ac:dyDescent="0.25">
      <c r="B151" s="352">
        <v>43831</v>
      </c>
      <c r="C151" s="374">
        <v>834</v>
      </c>
      <c r="D151" s="374">
        <v>42</v>
      </c>
      <c r="E151" s="374">
        <v>18617</v>
      </c>
      <c r="F151" s="374">
        <v>6664</v>
      </c>
      <c r="G151" s="374">
        <v>10715</v>
      </c>
      <c r="H151" s="374">
        <v>17379</v>
      </c>
    </row>
    <row r="152" spans="2:8" hidden="1" outlineLevel="1" x14ac:dyDescent="0.25">
      <c r="B152" s="352">
        <v>43862</v>
      </c>
      <c r="C152" s="374">
        <v>698</v>
      </c>
      <c r="D152" s="374">
        <v>37</v>
      </c>
      <c r="E152" s="374">
        <v>18087</v>
      </c>
      <c r="F152" s="374">
        <v>6398</v>
      </c>
      <c r="G152" s="374">
        <v>10470</v>
      </c>
      <c r="H152" s="374">
        <v>16868</v>
      </c>
    </row>
    <row r="153" spans="2:8" hidden="1" outlineLevel="1" x14ac:dyDescent="0.25">
      <c r="B153" s="352">
        <v>43891</v>
      </c>
      <c r="C153" s="374">
        <v>335</v>
      </c>
      <c r="D153" s="374">
        <v>11</v>
      </c>
      <c r="E153" s="374">
        <v>2479</v>
      </c>
      <c r="F153" s="374">
        <v>833</v>
      </c>
      <c r="G153" s="374">
        <v>1333</v>
      </c>
      <c r="H153" s="374">
        <v>2166</v>
      </c>
    </row>
    <row r="154" spans="2:8" hidden="1" outlineLevel="1" x14ac:dyDescent="0.25">
      <c r="B154" s="352">
        <v>43922</v>
      </c>
      <c r="C154" s="374">
        <v>1807</v>
      </c>
      <c r="D154" s="374">
        <v>46</v>
      </c>
      <c r="E154" s="374">
        <v>35380</v>
      </c>
      <c r="F154" s="374">
        <v>8953</v>
      </c>
      <c r="G154" s="374">
        <v>13726</v>
      </c>
      <c r="H154" s="374">
        <v>22679</v>
      </c>
    </row>
    <row r="155" spans="2:8" hidden="1" outlineLevel="1" x14ac:dyDescent="0.25">
      <c r="B155" s="352">
        <v>43952</v>
      </c>
      <c r="C155" s="374">
        <v>812</v>
      </c>
      <c r="D155" s="374">
        <v>43</v>
      </c>
      <c r="E155" s="374">
        <v>19198</v>
      </c>
      <c r="F155" s="374">
        <v>7081</v>
      </c>
      <c r="G155" s="374">
        <v>10993</v>
      </c>
      <c r="H155" s="374">
        <v>18074</v>
      </c>
    </row>
    <row r="156" spans="2:8" hidden="1" outlineLevel="1" x14ac:dyDescent="0.25">
      <c r="B156" s="352">
        <v>43983</v>
      </c>
      <c r="C156" s="374">
        <v>717</v>
      </c>
      <c r="D156" s="374">
        <v>40</v>
      </c>
      <c r="E156" s="374">
        <v>21037</v>
      </c>
      <c r="F156" s="374">
        <v>6751</v>
      </c>
      <c r="G156" s="374">
        <v>10650</v>
      </c>
      <c r="H156" s="374">
        <v>17401</v>
      </c>
    </row>
    <row r="157" spans="2:8" hidden="1" outlineLevel="1" x14ac:dyDescent="0.25">
      <c r="B157" s="352" t="s">
        <v>843</v>
      </c>
      <c r="C157" s="374">
        <v>403</v>
      </c>
      <c r="D157" s="374">
        <v>40</v>
      </c>
      <c r="E157" s="374">
        <v>15217</v>
      </c>
      <c r="F157" s="374">
        <v>5506</v>
      </c>
      <c r="G157" s="374">
        <v>8781</v>
      </c>
      <c r="H157" s="374">
        <v>14287</v>
      </c>
    </row>
    <row r="158" spans="2:8" hidden="1" outlineLevel="1" x14ac:dyDescent="0.25">
      <c r="B158" s="352">
        <v>44044</v>
      </c>
      <c r="C158" s="374">
        <v>226</v>
      </c>
      <c r="D158" s="374">
        <v>29</v>
      </c>
      <c r="E158" s="374">
        <v>16560</v>
      </c>
      <c r="F158" s="374">
        <v>9684</v>
      </c>
      <c r="G158" s="374">
        <v>6022</v>
      </c>
      <c r="H158" s="374">
        <v>15706</v>
      </c>
    </row>
    <row r="159" spans="2:8" hidden="1" outlineLevel="1" x14ac:dyDescent="0.25">
      <c r="B159" s="352">
        <v>44075</v>
      </c>
      <c r="C159" s="374">
        <v>130</v>
      </c>
      <c r="D159" s="374">
        <v>26</v>
      </c>
      <c r="E159" s="374">
        <v>17807</v>
      </c>
      <c r="F159" s="374">
        <v>6374</v>
      </c>
      <c r="G159" s="374">
        <v>10337</v>
      </c>
      <c r="H159" s="374">
        <v>16711</v>
      </c>
    </row>
    <row r="160" spans="2:8" hidden="1" outlineLevel="1" x14ac:dyDescent="0.25">
      <c r="B160" s="352">
        <v>44105</v>
      </c>
      <c r="C160" s="374">
        <v>85</v>
      </c>
      <c r="D160" s="374">
        <v>26</v>
      </c>
      <c r="E160" s="374">
        <v>19642</v>
      </c>
      <c r="F160" s="374">
        <v>7053</v>
      </c>
      <c r="G160" s="374">
        <v>11284</v>
      </c>
      <c r="H160" s="374">
        <v>18337</v>
      </c>
    </row>
    <row r="161" spans="2:8" hidden="1" outlineLevel="1" x14ac:dyDescent="0.25">
      <c r="B161" s="352">
        <v>44136</v>
      </c>
      <c r="C161" s="374">
        <v>64</v>
      </c>
      <c r="D161" s="374">
        <v>27</v>
      </c>
      <c r="E161" s="374">
        <v>20331</v>
      </c>
      <c r="F161" s="374">
        <v>7299</v>
      </c>
      <c r="G161" s="374">
        <v>11518</v>
      </c>
      <c r="H161" s="374">
        <v>18817</v>
      </c>
    </row>
    <row r="162" spans="2:8" hidden="1" outlineLevel="1" x14ac:dyDescent="0.25">
      <c r="B162" s="352">
        <v>44166</v>
      </c>
      <c r="C162" s="374">
        <v>61</v>
      </c>
      <c r="D162" s="374">
        <v>28</v>
      </c>
      <c r="E162" s="374">
        <v>22733</v>
      </c>
      <c r="F162" s="374">
        <v>8214</v>
      </c>
      <c r="G162" s="374">
        <v>12811</v>
      </c>
      <c r="H162" s="374">
        <v>21025</v>
      </c>
    </row>
    <row r="163" spans="2:8" collapsed="1" x14ac:dyDescent="0.25">
      <c r="B163" s="297" t="s">
        <v>711</v>
      </c>
      <c r="C163" s="298">
        <v>514.33333333333337</v>
      </c>
      <c r="D163" s="298">
        <v>32.916666666666664</v>
      </c>
      <c r="E163" s="298">
        <v>18924</v>
      </c>
      <c r="F163" s="298">
        <v>6734.166666666667</v>
      </c>
      <c r="G163" s="298">
        <v>9886.6666666666661</v>
      </c>
      <c r="H163" s="298">
        <v>16620.833333333332</v>
      </c>
    </row>
    <row r="164" spans="2:8" outlineLevel="1" x14ac:dyDescent="0.25">
      <c r="B164" s="352">
        <v>44197</v>
      </c>
      <c r="C164" s="374">
        <v>61</v>
      </c>
      <c r="D164" s="374">
        <v>23</v>
      </c>
      <c r="E164" s="374">
        <v>24914</v>
      </c>
      <c r="F164" s="374">
        <v>8732</v>
      </c>
      <c r="G164" s="374">
        <v>14109</v>
      </c>
      <c r="H164" s="374">
        <v>22841</v>
      </c>
    </row>
    <row r="165" spans="2:8" outlineLevel="1" x14ac:dyDescent="0.25">
      <c r="B165" s="352">
        <v>44228</v>
      </c>
      <c r="C165" s="374">
        <v>52</v>
      </c>
      <c r="D165" s="374">
        <v>18</v>
      </c>
      <c r="E165" s="374">
        <v>25495</v>
      </c>
      <c r="F165" s="374">
        <v>8692</v>
      </c>
      <c r="G165" s="374">
        <v>14503</v>
      </c>
      <c r="H165" s="374">
        <v>23195</v>
      </c>
    </row>
    <row r="166" spans="2:8" outlineLevel="1" x14ac:dyDescent="0.25">
      <c r="B166" s="352">
        <v>44256</v>
      </c>
      <c r="C166" s="374">
        <v>89</v>
      </c>
      <c r="D166" s="374">
        <v>22</v>
      </c>
      <c r="E166" s="374">
        <v>26451</v>
      </c>
      <c r="F166" s="374">
        <v>9196</v>
      </c>
      <c r="G166" s="374">
        <v>14960</v>
      </c>
      <c r="H166" s="374">
        <v>24156</v>
      </c>
    </row>
    <row r="167" spans="2:8" outlineLevel="1" x14ac:dyDescent="0.25">
      <c r="B167" s="352">
        <v>44287</v>
      </c>
      <c r="C167" s="374">
        <v>35</v>
      </c>
      <c r="D167" s="374">
        <v>19</v>
      </c>
      <c r="E167" s="374">
        <v>27062</v>
      </c>
      <c r="F167" s="374">
        <v>9299</v>
      </c>
      <c r="G167" s="374">
        <v>15603</v>
      </c>
      <c r="H167" s="374">
        <v>24902</v>
      </c>
    </row>
    <row r="168" spans="2:8" outlineLevel="1" x14ac:dyDescent="0.25">
      <c r="B168" s="352">
        <v>44317</v>
      </c>
      <c r="C168" s="374">
        <v>43</v>
      </c>
      <c r="D168" s="374">
        <v>18</v>
      </c>
      <c r="E168" s="374">
        <v>30323</v>
      </c>
      <c r="F168" s="374">
        <v>9912</v>
      </c>
      <c r="G168" s="374">
        <v>16497</v>
      </c>
      <c r="H168" s="374">
        <v>26409</v>
      </c>
    </row>
    <row r="169" spans="2:8" outlineLevel="1" x14ac:dyDescent="0.25">
      <c r="B169" s="352">
        <v>44348</v>
      </c>
      <c r="C169" s="374">
        <v>49</v>
      </c>
      <c r="D169" s="374">
        <v>20</v>
      </c>
      <c r="E169" s="374">
        <v>25728</v>
      </c>
      <c r="F169" s="374">
        <v>8894</v>
      </c>
      <c r="G169" s="374">
        <v>14936</v>
      </c>
      <c r="H169" s="374">
        <v>23830</v>
      </c>
    </row>
    <row r="170" spans="2:8" outlineLevel="1" x14ac:dyDescent="0.25">
      <c r="B170" s="352">
        <v>44378</v>
      </c>
      <c r="C170" s="374">
        <v>54</v>
      </c>
      <c r="D170" s="374">
        <v>25</v>
      </c>
      <c r="E170" s="374">
        <v>27581</v>
      </c>
      <c r="F170" s="374">
        <v>9481</v>
      </c>
      <c r="G170" s="374">
        <v>16038</v>
      </c>
      <c r="H170" s="374">
        <v>25519</v>
      </c>
    </row>
    <row r="171" spans="2:8" outlineLevel="1" x14ac:dyDescent="0.25">
      <c r="B171" s="352">
        <v>44409</v>
      </c>
      <c r="C171" s="374">
        <v>36</v>
      </c>
      <c r="D171" s="374">
        <v>24</v>
      </c>
      <c r="E171" s="374">
        <v>28456</v>
      </c>
      <c r="F171" s="374">
        <v>9849</v>
      </c>
      <c r="G171" s="374">
        <v>16277</v>
      </c>
      <c r="H171" s="374">
        <v>26126</v>
      </c>
    </row>
    <row r="172" spans="2:8" outlineLevel="1" x14ac:dyDescent="0.25">
      <c r="B172" s="352">
        <v>44440</v>
      </c>
      <c r="C172" s="374">
        <v>35</v>
      </c>
      <c r="D172" s="374">
        <v>24</v>
      </c>
      <c r="E172" s="374">
        <v>29198</v>
      </c>
      <c r="F172" s="374">
        <v>9726</v>
      </c>
      <c r="G172" s="374">
        <v>16702</v>
      </c>
      <c r="H172" s="374">
        <v>26428</v>
      </c>
    </row>
    <row r="173" spans="2:8" outlineLevel="1" x14ac:dyDescent="0.25">
      <c r="B173" s="352">
        <v>44470</v>
      </c>
      <c r="C173" s="374">
        <v>55</v>
      </c>
      <c r="D173" s="374">
        <v>24</v>
      </c>
      <c r="E173" s="374">
        <v>31131</v>
      </c>
      <c r="F173" s="374">
        <v>10352</v>
      </c>
      <c r="G173" s="374">
        <v>18028</v>
      </c>
      <c r="H173" s="374">
        <v>28380</v>
      </c>
    </row>
    <row r="174" spans="2:8" outlineLevel="1" x14ac:dyDescent="0.25">
      <c r="B174" s="352">
        <v>44501</v>
      </c>
      <c r="C174" s="374">
        <v>45</v>
      </c>
      <c r="D174" s="374">
        <v>18</v>
      </c>
      <c r="E174" s="374">
        <v>30171</v>
      </c>
      <c r="F174" s="374">
        <v>9798</v>
      </c>
      <c r="G174" s="374">
        <v>17755</v>
      </c>
      <c r="H174" s="374">
        <v>27553</v>
      </c>
    </row>
    <row r="175" spans="2:8" outlineLevel="1" x14ac:dyDescent="0.25">
      <c r="B175" s="352">
        <v>44531</v>
      </c>
      <c r="C175" s="374">
        <v>26</v>
      </c>
      <c r="D175" s="374">
        <v>17</v>
      </c>
      <c r="E175" s="374">
        <v>30869</v>
      </c>
      <c r="F175" s="374">
        <v>10052</v>
      </c>
      <c r="G175" s="374">
        <v>18529</v>
      </c>
      <c r="H175" s="374">
        <v>28581</v>
      </c>
    </row>
    <row r="176" spans="2:8" x14ac:dyDescent="0.25">
      <c r="B176" s="297" t="s">
        <v>712</v>
      </c>
      <c r="C176" s="298">
        <v>48.333333333333336</v>
      </c>
      <c r="D176" s="298">
        <v>21</v>
      </c>
      <c r="E176" s="298">
        <v>28114.916666666668</v>
      </c>
      <c r="F176" s="298">
        <v>9498.5833333333339</v>
      </c>
      <c r="G176" s="298">
        <v>16161.416666666666</v>
      </c>
      <c r="H176" s="298">
        <v>25660</v>
      </c>
    </row>
    <row r="177" spans="2:8" outlineLevel="1" x14ac:dyDescent="0.25">
      <c r="B177" s="352">
        <v>44562</v>
      </c>
      <c r="C177" s="374">
        <v>46</v>
      </c>
      <c r="D177" s="374">
        <v>20</v>
      </c>
      <c r="E177" s="374">
        <v>32712</v>
      </c>
      <c r="F177" s="374">
        <v>10458</v>
      </c>
      <c r="G177" s="374">
        <v>19591</v>
      </c>
      <c r="H177" s="374">
        <v>30049</v>
      </c>
    </row>
    <row r="178" spans="2:8" outlineLevel="1" x14ac:dyDescent="0.25">
      <c r="B178" s="352">
        <v>44593</v>
      </c>
      <c r="C178" s="374">
        <v>63</v>
      </c>
      <c r="D178" s="374">
        <v>28</v>
      </c>
      <c r="E178" s="374">
        <v>31230</v>
      </c>
      <c r="F178" s="374">
        <v>9626</v>
      </c>
      <c r="G178" s="374">
        <v>18893</v>
      </c>
      <c r="H178" s="374">
        <v>28519</v>
      </c>
    </row>
    <row r="179" spans="2:8" outlineLevel="1" x14ac:dyDescent="0.25">
      <c r="B179" s="352">
        <v>44621</v>
      </c>
      <c r="C179" s="374">
        <v>118</v>
      </c>
      <c r="D179" s="374">
        <v>46</v>
      </c>
      <c r="E179" s="374">
        <v>31857</v>
      </c>
      <c r="F179" s="374">
        <v>10028</v>
      </c>
      <c r="G179" s="374">
        <v>19428</v>
      </c>
      <c r="H179" s="374">
        <v>29456</v>
      </c>
    </row>
    <row r="180" spans="2:8" outlineLevel="1" x14ac:dyDescent="0.25">
      <c r="B180" s="352">
        <v>44652</v>
      </c>
      <c r="C180" s="374">
        <v>20</v>
      </c>
      <c r="D180" s="374">
        <v>12</v>
      </c>
      <c r="E180" s="374">
        <v>4626</v>
      </c>
      <c r="F180" s="374">
        <v>1247</v>
      </c>
      <c r="G180" s="374">
        <v>2850</v>
      </c>
      <c r="H180" s="374">
        <v>4097</v>
      </c>
    </row>
    <row r="181" spans="2:8" outlineLevel="1" x14ac:dyDescent="0.25">
      <c r="B181" s="352">
        <v>44682</v>
      </c>
      <c r="C181" s="374">
        <v>1528</v>
      </c>
      <c r="D181" s="374">
        <v>104</v>
      </c>
      <c r="E181" s="374">
        <v>52617</v>
      </c>
      <c r="F181" s="374">
        <v>12016</v>
      </c>
      <c r="G181" s="374">
        <v>23615</v>
      </c>
      <c r="H181" s="374">
        <v>35631</v>
      </c>
    </row>
    <row r="182" spans="2:8" outlineLevel="1" x14ac:dyDescent="0.25">
      <c r="B182" s="352">
        <v>44713</v>
      </c>
      <c r="C182" s="374">
        <v>720</v>
      </c>
      <c r="D182" s="374">
        <v>113</v>
      </c>
      <c r="E182" s="374">
        <v>34898</v>
      </c>
      <c r="F182" s="374">
        <v>9940</v>
      </c>
      <c r="G182" s="374">
        <v>19746</v>
      </c>
      <c r="H182" s="374">
        <v>29686</v>
      </c>
    </row>
    <row r="183" spans="2:8" outlineLevel="1" x14ac:dyDescent="0.25">
      <c r="B183" s="352">
        <v>44743</v>
      </c>
      <c r="C183" s="374">
        <v>609</v>
      </c>
      <c r="D183" s="374">
        <v>137</v>
      </c>
      <c r="E183" s="374">
        <v>33331</v>
      </c>
      <c r="F183" s="374">
        <v>10125</v>
      </c>
      <c r="G183" s="374">
        <v>20535</v>
      </c>
      <c r="H183" s="374">
        <v>30660</v>
      </c>
    </row>
    <row r="184" spans="2:8" outlineLevel="1" x14ac:dyDescent="0.25">
      <c r="B184" s="352">
        <v>44774</v>
      </c>
      <c r="C184" s="374">
        <v>323</v>
      </c>
      <c r="D184" s="374">
        <v>128</v>
      </c>
      <c r="E184" s="374">
        <v>32908</v>
      </c>
      <c r="F184" s="374">
        <v>10040</v>
      </c>
      <c r="G184" s="374">
        <v>20415</v>
      </c>
      <c r="H184" s="374">
        <v>30455</v>
      </c>
    </row>
    <row r="185" spans="2:8" outlineLevel="1" x14ac:dyDescent="0.25">
      <c r="B185" s="352">
        <v>44805</v>
      </c>
      <c r="C185" s="374">
        <v>282</v>
      </c>
      <c r="D185" s="374">
        <v>117</v>
      </c>
      <c r="E185" s="374">
        <v>34010</v>
      </c>
      <c r="F185" s="374">
        <v>10341</v>
      </c>
      <c r="G185" s="374">
        <v>20999</v>
      </c>
      <c r="H185" s="374">
        <v>31340</v>
      </c>
    </row>
    <row r="186" spans="2:8" outlineLevel="1" x14ac:dyDescent="0.25">
      <c r="B186" s="352">
        <v>44835</v>
      </c>
      <c r="C186" s="374">
        <v>260</v>
      </c>
      <c r="D186" s="374">
        <v>116</v>
      </c>
      <c r="E186" s="374">
        <v>35879</v>
      </c>
      <c r="F186" s="374">
        <v>10893</v>
      </c>
      <c r="G186" s="374">
        <v>22543</v>
      </c>
      <c r="H186" s="374">
        <v>33436</v>
      </c>
    </row>
    <row r="187" spans="2:8" outlineLevel="1" x14ac:dyDescent="0.25">
      <c r="B187" s="352">
        <v>44866</v>
      </c>
      <c r="C187" s="374">
        <v>215</v>
      </c>
      <c r="D187" s="374">
        <v>99</v>
      </c>
      <c r="E187" s="374">
        <v>35422</v>
      </c>
      <c r="F187" s="374">
        <v>10570</v>
      </c>
      <c r="G187" s="374">
        <v>21747</v>
      </c>
      <c r="H187" s="374">
        <v>32317</v>
      </c>
    </row>
    <row r="188" spans="2:8" outlineLevel="1" x14ac:dyDescent="0.25">
      <c r="B188" s="352">
        <v>44896</v>
      </c>
      <c r="C188" s="374">
        <v>198</v>
      </c>
      <c r="D188" s="374">
        <v>103</v>
      </c>
      <c r="E188" s="374">
        <v>36687</v>
      </c>
      <c r="F188" s="374">
        <v>10925</v>
      </c>
      <c r="G188" s="374">
        <v>23077</v>
      </c>
      <c r="H188" s="374">
        <v>34002</v>
      </c>
    </row>
    <row r="189" spans="2:8" x14ac:dyDescent="0.25">
      <c r="B189" s="297" t="s">
        <v>713</v>
      </c>
      <c r="C189" s="298">
        <v>365.16666666666669</v>
      </c>
      <c r="D189" s="298">
        <v>85.25</v>
      </c>
      <c r="E189" s="298">
        <v>33014.75</v>
      </c>
      <c r="F189" s="298">
        <v>9684.0833333333339</v>
      </c>
      <c r="G189" s="298">
        <v>19453.25</v>
      </c>
      <c r="H189" s="298">
        <v>29137.333333333332</v>
      </c>
    </row>
    <row r="190" spans="2:8" outlineLevel="1" x14ac:dyDescent="0.25">
      <c r="B190" s="352">
        <v>44927</v>
      </c>
      <c r="C190" s="374">
        <v>189</v>
      </c>
      <c r="D190" s="374">
        <v>102</v>
      </c>
      <c r="E190" s="374">
        <v>36869</v>
      </c>
      <c r="F190" s="374">
        <v>10688</v>
      </c>
      <c r="G190" s="374">
        <v>23174</v>
      </c>
      <c r="H190" s="374">
        <v>33862</v>
      </c>
    </row>
    <row r="191" spans="2:8" outlineLevel="1" x14ac:dyDescent="0.25">
      <c r="B191" s="352">
        <v>44958</v>
      </c>
      <c r="C191" s="374">
        <v>174</v>
      </c>
      <c r="D191" s="374">
        <v>81</v>
      </c>
      <c r="E191" s="374">
        <v>32585</v>
      </c>
      <c r="F191" s="374">
        <v>8981</v>
      </c>
      <c r="G191" s="374">
        <v>20134</v>
      </c>
      <c r="H191" s="374">
        <v>29115</v>
      </c>
    </row>
    <row r="192" spans="2:8" outlineLevel="1" x14ac:dyDescent="0.25">
      <c r="B192" s="352">
        <v>44986</v>
      </c>
      <c r="C192" s="374">
        <v>19</v>
      </c>
      <c r="D192" s="374">
        <v>5</v>
      </c>
      <c r="E192" s="374">
        <v>10516</v>
      </c>
      <c r="F192" s="374">
        <v>6615</v>
      </c>
      <c r="G192" s="374">
        <v>2718</v>
      </c>
      <c r="H192" s="374">
        <v>9333</v>
      </c>
    </row>
    <row r="193" spans="2:8" outlineLevel="1" x14ac:dyDescent="0.25">
      <c r="B193" s="352">
        <v>45017</v>
      </c>
      <c r="C193" s="374">
        <v>564</v>
      </c>
      <c r="D193" s="374">
        <v>89</v>
      </c>
      <c r="E193" s="374">
        <v>58536</v>
      </c>
      <c r="F193" s="374">
        <v>12865</v>
      </c>
      <c r="G193" s="374">
        <v>27365</v>
      </c>
      <c r="H193" s="374">
        <v>40230</v>
      </c>
    </row>
    <row r="194" spans="2:8" outlineLevel="1" x14ac:dyDescent="0.25">
      <c r="B194" s="352">
        <v>45047</v>
      </c>
      <c r="C194" s="374">
        <v>312</v>
      </c>
      <c r="D194" s="374">
        <v>92</v>
      </c>
      <c r="E194" s="374">
        <v>58591</v>
      </c>
      <c r="F194" s="374">
        <v>13865</v>
      </c>
      <c r="G194" s="374">
        <v>29696</v>
      </c>
      <c r="H194" s="374">
        <v>43561</v>
      </c>
    </row>
    <row r="195" spans="2:8" outlineLevel="1" x14ac:dyDescent="0.25">
      <c r="B195" s="352">
        <v>45078</v>
      </c>
      <c r="C195" s="374">
        <v>326</v>
      </c>
      <c r="D195" s="374">
        <v>71</v>
      </c>
      <c r="E195" s="374">
        <v>35028</v>
      </c>
      <c r="F195" s="374">
        <v>9883</v>
      </c>
      <c r="G195" s="374">
        <v>22235</v>
      </c>
      <c r="H195" s="374">
        <v>32118</v>
      </c>
    </row>
    <row r="196" spans="2:8" outlineLevel="1" x14ac:dyDescent="0.25">
      <c r="B196" s="352">
        <v>45108</v>
      </c>
      <c r="C196" s="374">
        <v>385</v>
      </c>
      <c r="D196" s="374">
        <v>76</v>
      </c>
      <c r="E196" s="374">
        <v>37977</v>
      </c>
      <c r="F196" s="374">
        <v>10938</v>
      </c>
      <c r="G196" s="374">
        <v>24101</v>
      </c>
      <c r="H196" s="374">
        <v>35039</v>
      </c>
    </row>
    <row r="197" spans="2:8" outlineLevel="1" x14ac:dyDescent="0.25">
      <c r="B197" s="352">
        <v>45139</v>
      </c>
      <c r="C197" s="374">
        <v>156</v>
      </c>
      <c r="D197" s="374">
        <v>76</v>
      </c>
      <c r="E197" s="374">
        <v>37789</v>
      </c>
      <c r="F197" s="374">
        <v>10655</v>
      </c>
      <c r="G197" s="374">
        <v>23927</v>
      </c>
      <c r="H197" s="374">
        <v>34582</v>
      </c>
    </row>
    <row r="198" spans="2:8" outlineLevel="1" x14ac:dyDescent="0.25">
      <c r="B198" s="352">
        <v>45170</v>
      </c>
      <c r="C198" s="374">
        <v>316</v>
      </c>
      <c r="D198" s="374">
        <v>61</v>
      </c>
      <c r="E198" s="374">
        <v>36982</v>
      </c>
      <c r="F198" s="374">
        <v>10620</v>
      </c>
      <c r="G198" s="374">
        <v>23610</v>
      </c>
      <c r="H198" s="374">
        <v>34230</v>
      </c>
    </row>
    <row r="199" spans="2:8" ht="30" x14ac:dyDescent="0.25">
      <c r="B199" s="241" t="s">
        <v>864</v>
      </c>
      <c r="C199" s="298">
        <v>271.22222222222223</v>
      </c>
      <c r="D199" s="298">
        <v>72.555555555555557</v>
      </c>
      <c r="E199" s="298">
        <v>38319.222222222219</v>
      </c>
      <c r="F199" s="298">
        <v>10567.777777777777</v>
      </c>
      <c r="G199" s="298">
        <v>21884.444444444445</v>
      </c>
      <c r="H199" s="298">
        <v>32452.222222222223</v>
      </c>
    </row>
    <row r="200" spans="2:8" x14ac:dyDescent="0.25">
      <c r="B200" s="4" t="s">
        <v>868</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291"/>
  <sheetViews>
    <sheetView showGridLines="0" workbookViewId="0"/>
    <sheetView workbookViewId="1"/>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752</v>
      </c>
    </row>
    <row r="4" spans="2:12" ht="18.75" x14ac:dyDescent="0.3">
      <c r="B4" s="2" t="s">
        <v>753</v>
      </c>
      <c r="C4" s="2"/>
      <c r="D4" s="2"/>
      <c r="E4" s="2"/>
      <c r="F4" s="2"/>
      <c r="G4" s="2"/>
      <c r="H4" s="2"/>
      <c r="I4" s="2"/>
      <c r="J4" s="2"/>
      <c r="K4" s="2"/>
      <c r="L4" s="2"/>
    </row>
    <row r="5" spans="2:12" x14ac:dyDescent="0.25">
      <c r="B5" s="15" t="s">
        <v>872</v>
      </c>
    </row>
    <row r="7" spans="2:12" ht="15" customHeight="1" x14ac:dyDescent="0.25">
      <c r="B7" s="493" t="s">
        <v>476</v>
      </c>
      <c r="C7" s="491" t="s">
        <v>754</v>
      </c>
      <c r="D7" s="496" t="s">
        <v>748</v>
      </c>
      <c r="E7" s="497"/>
      <c r="F7" s="498"/>
    </row>
    <row r="8" spans="2:12" x14ac:dyDescent="0.25">
      <c r="B8" s="494"/>
      <c r="C8" s="491"/>
      <c r="D8" s="250" t="s">
        <v>76</v>
      </c>
      <c r="E8" s="250" t="s">
        <v>77</v>
      </c>
      <c r="F8" s="250" t="s">
        <v>593</v>
      </c>
    </row>
    <row r="9" spans="2:12" x14ac:dyDescent="0.25">
      <c r="B9" s="286" t="s">
        <v>751</v>
      </c>
      <c r="C9" s="336">
        <v>333</v>
      </c>
      <c r="D9" s="336"/>
      <c r="E9" s="336"/>
      <c r="F9" s="336"/>
    </row>
    <row r="10" spans="2:12" x14ac:dyDescent="0.25">
      <c r="B10" s="287" t="s">
        <v>31</v>
      </c>
      <c r="C10" s="336">
        <v>2105</v>
      </c>
      <c r="D10" s="336"/>
      <c r="E10" s="336"/>
      <c r="F10" s="336"/>
    </row>
    <row r="11" spans="2:12" x14ac:dyDescent="0.25">
      <c r="B11" s="287" t="s">
        <v>32</v>
      </c>
      <c r="C11" s="336">
        <v>1759</v>
      </c>
      <c r="D11" s="336"/>
      <c r="E11" s="336"/>
      <c r="F11" s="336"/>
    </row>
    <row r="12" spans="2:12" x14ac:dyDescent="0.25">
      <c r="B12" s="287" t="s">
        <v>33</v>
      </c>
      <c r="C12" s="337">
        <v>1026</v>
      </c>
      <c r="D12" s="337"/>
      <c r="E12" s="337"/>
      <c r="F12" s="337"/>
    </row>
    <row r="13" spans="2:12" x14ac:dyDescent="0.25">
      <c r="B13" s="287" t="s">
        <v>735</v>
      </c>
      <c r="C13" s="337">
        <v>807</v>
      </c>
      <c r="D13" s="337"/>
      <c r="E13" s="337"/>
      <c r="F13" s="337">
        <v>75178</v>
      </c>
    </row>
    <row r="14" spans="2:12" x14ac:dyDescent="0.25">
      <c r="B14" s="287" t="s">
        <v>37</v>
      </c>
      <c r="C14" s="336">
        <v>654</v>
      </c>
      <c r="D14" s="336"/>
      <c r="E14" s="336"/>
      <c r="F14" s="336">
        <v>114198</v>
      </c>
    </row>
    <row r="15" spans="2:12" hidden="1" outlineLevel="1" x14ac:dyDescent="0.25">
      <c r="B15" s="375">
        <v>41640</v>
      </c>
      <c r="C15" s="335">
        <v>57</v>
      </c>
      <c r="D15" s="335"/>
      <c r="E15" s="335"/>
      <c r="F15" s="335">
        <v>10003</v>
      </c>
    </row>
    <row r="16" spans="2:12" hidden="1" outlineLevel="1" x14ac:dyDescent="0.25">
      <c r="B16" s="375">
        <v>41671</v>
      </c>
      <c r="C16" s="335">
        <v>36</v>
      </c>
      <c r="D16" s="335"/>
      <c r="E16" s="335"/>
      <c r="F16" s="335">
        <v>8116</v>
      </c>
    </row>
    <row r="17" spans="2:6" hidden="1" outlineLevel="1" x14ac:dyDescent="0.25">
      <c r="B17" s="375">
        <v>41699</v>
      </c>
      <c r="C17" s="335">
        <v>43</v>
      </c>
      <c r="D17" s="335"/>
      <c r="E17" s="335"/>
      <c r="F17" s="335">
        <v>3794</v>
      </c>
    </row>
    <row r="18" spans="2:6" hidden="1" outlineLevel="1" x14ac:dyDescent="0.25">
      <c r="B18" s="375">
        <v>41730</v>
      </c>
      <c r="C18" s="335">
        <v>44</v>
      </c>
      <c r="D18" s="335"/>
      <c r="E18" s="335"/>
      <c r="F18" s="335">
        <v>5833</v>
      </c>
    </row>
    <row r="19" spans="2:6" hidden="1" outlineLevel="1" x14ac:dyDescent="0.25">
      <c r="B19" s="375">
        <v>41760</v>
      </c>
      <c r="C19" s="335">
        <v>47</v>
      </c>
      <c r="D19" s="335"/>
      <c r="E19" s="335"/>
      <c r="F19" s="335">
        <v>3916</v>
      </c>
    </row>
    <row r="20" spans="2:6" hidden="1" outlineLevel="1" x14ac:dyDescent="0.25">
      <c r="B20" s="375">
        <v>41791</v>
      </c>
      <c r="C20" s="335">
        <v>48</v>
      </c>
      <c r="D20" s="335"/>
      <c r="E20" s="335"/>
      <c r="F20" s="335">
        <v>3251</v>
      </c>
    </row>
    <row r="21" spans="2:6" hidden="1" outlineLevel="1" x14ac:dyDescent="0.25">
      <c r="B21" s="375">
        <v>41821</v>
      </c>
      <c r="C21" s="335">
        <v>47</v>
      </c>
      <c r="D21" s="335"/>
      <c r="E21" s="335"/>
      <c r="F21" s="335">
        <v>3190</v>
      </c>
    </row>
    <row r="22" spans="2:6" hidden="1" outlineLevel="1" x14ac:dyDescent="0.25">
      <c r="B22" s="375">
        <v>41852</v>
      </c>
      <c r="C22" s="335">
        <v>44</v>
      </c>
      <c r="D22" s="335"/>
      <c r="E22" s="335"/>
      <c r="F22" s="335">
        <v>3136</v>
      </c>
    </row>
    <row r="23" spans="2:6" hidden="1" outlineLevel="1" x14ac:dyDescent="0.25">
      <c r="B23" s="375">
        <v>41883</v>
      </c>
      <c r="C23" s="335">
        <v>41</v>
      </c>
      <c r="D23" s="335"/>
      <c r="E23" s="335"/>
      <c r="F23" s="335">
        <v>2928</v>
      </c>
    </row>
    <row r="24" spans="2:6" hidden="1" outlineLevel="1" x14ac:dyDescent="0.25">
      <c r="B24" s="375">
        <v>41913</v>
      </c>
      <c r="C24" s="335">
        <v>34</v>
      </c>
      <c r="D24" s="335"/>
      <c r="E24" s="335"/>
      <c r="F24" s="335">
        <v>2732</v>
      </c>
    </row>
    <row r="25" spans="2:6" hidden="1" outlineLevel="1" x14ac:dyDescent="0.25">
      <c r="B25" s="375">
        <v>41944</v>
      </c>
      <c r="C25" s="335">
        <v>25</v>
      </c>
      <c r="D25" s="335"/>
      <c r="E25" s="335"/>
      <c r="F25" s="335">
        <v>3936</v>
      </c>
    </row>
    <row r="26" spans="2:6" hidden="1" outlineLevel="1" x14ac:dyDescent="0.25">
      <c r="B26" s="375">
        <v>41974</v>
      </c>
      <c r="C26" s="335">
        <v>47</v>
      </c>
      <c r="D26" s="335"/>
      <c r="E26" s="335"/>
      <c r="F26" s="335">
        <v>3018</v>
      </c>
    </row>
    <row r="27" spans="2:6" collapsed="1" x14ac:dyDescent="0.25">
      <c r="B27" s="287" t="s">
        <v>39</v>
      </c>
      <c r="C27" s="336">
        <v>513</v>
      </c>
      <c r="D27" s="336"/>
      <c r="E27" s="336"/>
      <c r="F27" s="336">
        <v>53853</v>
      </c>
    </row>
    <row r="28" spans="2:6" hidden="1" outlineLevel="1" x14ac:dyDescent="0.25">
      <c r="B28" s="375">
        <v>42005</v>
      </c>
      <c r="C28" s="335">
        <v>40</v>
      </c>
      <c r="D28" s="335"/>
      <c r="E28" s="335"/>
      <c r="F28" s="335">
        <v>2343</v>
      </c>
    </row>
    <row r="29" spans="2:6" hidden="1" outlineLevel="1" x14ac:dyDescent="0.25">
      <c r="B29" s="375">
        <v>42036</v>
      </c>
      <c r="C29" s="335">
        <v>37</v>
      </c>
      <c r="D29" s="335"/>
      <c r="E29" s="335"/>
      <c r="F29" s="335">
        <v>2758</v>
      </c>
    </row>
    <row r="30" spans="2:6" hidden="1" outlineLevel="1" x14ac:dyDescent="0.25">
      <c r="B30" s="375">
        <v>42064</v>
      </c>
      <c r="C30" s="335">
        <v>39</v>
      </c>
      <c r="D30" s="335"/>
      <c r="E30" s="335"/>
      <c r="F30" s="335">
        <v>2319</v>
      </c>
    </row>
    <row r="31" spans="2:6" hidden="1" outlineLevel="1" x14ac:dyDescent="0.25">
      <c r="B31" s="375">
        <v>42095</v>
      </c>
      <c r="C31" s="335">
        <v>33</v>
      </c>
      <c r="D31" s="335"/>
      <c r="E31" s="335"/>
      <c r="F31" s="335">
        <v>1250</v>
      </c>
    </row>
    <row r="32" spans="2:6" hidden="1" outlineLevel="1" x14ac:dyDescent="0.25">
      <c r="B32" s="375">
        <v>42125</v>
      </c>
      <c r="C32" s="335">
        <v>31</v>
      </c>
      <c r="D32" s="335"/>
      <c r="E32" s="335"/>
      <c r="F32" s="335">
        <v>1952</v>
      </c>
    </row>
    <row r="33" spans="2:6" hidden="1" outlineLevel="1" x14ac:dyDescent="0.25">
      <c r="B33" s="375">
        <v>42156</v>
      </c>
      <c r="C33" s="335">
        <v>38</v>
      </c>
      <c r="D33" s="335"/>
      <c r="E33" s="335"/>
      <c r="F33" s="335">
        <v>1536</v>
      </c>
    </row>
    <row r="34" spans="2:6" hidden="1" outlineLevel="1" x14ac:dyDescent="0.25">
      <c r="B34" s="375">
        <v>42186</v>
      </c>
      <c r="C34" s="335">
        <v>33</v>
      </c>
      <c r="D34" s="335"/>
      <c r="E34" s="335"/>
      <c r="F34" s="335">
        <v>2640</v>
      </c>
    </row>
    <row r="35" spans="2:6" hidden="1" outlineLevel="1" x14ac:dyDescent="0.25">
      <c r="B35" s="375">
        <v>42217</v>
      </c>
      <c r="C35" s="335">
        <v>37</v>
      </c>
      <c r="D35" s="335"/>
      <c r="E35" s="335"/>
      <c r="F35" s="335">
        <v>1723</v>
      </c>
    </row>
    <row r="36" spans="2:6" hidden="1" outlineLevel="1" x14ac:dyDescent="0.25">
      <c r="B36" s="375">
        <v>42248</v>
      </c>
      <c r="C36" s="335">
        <v>40</v>
      </c>
      <c r="D36" s="335"/>
      <c r="E36" s="335"/>
      <c r="F36" s="335">
        <v>2602</v>
      </c>
    </row>
    <row r="37" spans="2:6" hidden="1" outlineLevel="1" x14ac:dyDescent="0.25">
      <c r="B37" s="375">
        <v>42278</v>
      </c>
      <c r="C37" s="335">
        <v>39</v>
      </c>
      <c r="D37" s="335"/>
      <c r="E37" s="335"/>
      <c r="F37" s="335">
        <v>2691</v>
      </c>
    </row>
    <row r="38" spans="2:6" hidden="1" outlineLevel="1" x14ac:dyDescent="0.25">
      <c r="B38" s="375">
        <v>42309</v>
      </c>
      <c r="C38" s="335">
        <v>37</v>
      </c>
      <c r="D38" s="335"/>
      <c r="E38" s="335"/>
      <c r="F38" s="335">
        <v>2518</v>
      </c>
    </row>
    <row r="39" spans="2:6" hidden="1" outlineLevel="1" x14ac:dyDescent="0.25">
      <c r="B39" s="375">
        <v>42339</v>
      </c>
      <c r="C39" s="335">
        <v>33</v>
      </c>
      <c r="D39" s="335"/>
      <c r="E39" s="335"/>
      <c r="F39" s="335">
        <v>2358</v>
      </c>
    </row>
    <row r="40" spans="2:6" collapsed="1" x14ac:dyDescent="0.25">
      <c r="B40" s="287" t="s">
        <v>41</v>
      </c>
      <c r="C40" s="336">
        <v>437</v>
      </c>
      <c r="D40" s="336"/>
      <c r="E40" s="336"/>
      <c r="F40" s="336">
        <v>26690</v>
      </c>
    </row>
    <row r="41" spans="2:6" hidden="1" outlineLevel="1" x14ac:dyDescent="0.25">
      <c r="B41" s="375">
        <v>42370</v>
      </c>
      <c r="C41" s="335">
        <v>33</v>
      </c>
      <c r="D41" s="335"/>
      <c r="E41" s="335"/>
      <c r="F41" s="335">
        <v>3308</v>
      </c>
    </row>
    <row r="42" spans="2:6" hidden="1" outlineLevel="1" x14ac:dyDescent="0.25">
      <c r="B42" s="375">
        <v>42401</v>
      </c>
      <c r="C42" s="335">
        <v>33</v>
      </c>
      <c r="D42" s="335"/>
      <c r="E42" s="335"/>
      <c r="F42" s="335">
        <v>2327</v>
      </c>
    </row>
    <row r="43" spans="2:6" hidden="1" outlineLevel="1" x14ac:dyDescent="0.25">
      <c r="B43" s="375">
        <v>42430</v>
      </c>
      <c r="C43" s="335">
        <v>40</v>
      </c>
      <c r="D43" s="335"/>
      <c r="E43" s="335"/>
      <c r="F43" s="335">
        <v>2621</v>
      </c>
    </row>
    <row r="44" spans="2:6" hidden="1" outlineLevel="1" x14ac:dyDescent="0.25">
      <c r="B44" s="375">
        <v>42461</v>
      </c>
      <c r="C44" s="335">
        <v>39</v>
      </c>
      <c r="D44" s="335"/>
      <c r="E44" s="335"/>
      <c r="F44" s="335">
        <v>2495</v>
      </c>
    </row>
    <row r="45" spans="2:6" hidden="1" outlineLevel="1" x14ac:dyDescent="0.25">
      <c r="B45" s="375">
        <v>42491</v>
      </c>
      <c r="C45" s="335">
        <v>40</v>
      </c>
      <c r="D45" s="335">
        <v>1000</v>
      </c>
      <c r="E45" s="335">
        <v>1038</v>
      </c>
      <c r="F45" s="335">
        <v>2038</v>
      </c>
    </row>
    <row r="46" spans="2:6" hidden="1" outlineLevel="1" x14ac:dyDescent="0.25">
      <c r="B46" s="375">
        <v>42522</v>
      </c>
      <c r="C46" s="335">
        <v>37</v>
      </c>
      <c r="D46" s="335" t="s">
        <v>844</v>
      </c>
      <c r="E46" s="335" t="s">
        <v>844</v>
      </c>
      <c r="F46" s="335">
        <v>1960</v>
      </c>
    </row>
    <row r="47" spans="2:6" hidden="1" outlineLevel="1" x14ac:dyDescent="0.25">
      <c r="B47" s="375">
        <v>42552</v>
      </c>
      <c r="C47" s="335">
        <v>46</v>
      </c>
      <c r="D47" s="335">
        <v>1739</v>
      </c>
      <c r="E47" s="335">
        <v>1498</v>
      </c>
      <c r="F47" s="335">
        <v>3237</v>
      </c>
    </row>
    <row r="48" spans="2:6" hidden="1" outlineLevel="1" x14ac:dyDescent="0.25">
      <c r="B48" s="375">
        <v>42583</v>
      </c>
      <c r="C48" s="335">
        <v>47</v>
      </c>
      <c r="D48" s="335">
        <v>1262</v>
      </c>
      <c r="E48" s="335">
        <v>1077</v>
      </c>
      <c r="F48" s="335">
        <v>2339</v>
      </c>
    </row>
    <row r="49" spans="2:6" hidden="1" outlineLevel="1" x14ac:dyDescent="0.25">
      <c r="B49" s="375">
        <v>42614</v>
      </c>
      <c r="C49" s="335">
        <v>38</v>
      </c>
      <c r="D49" s="335">
        <v>1119</v>
      </c>
      <c r="E49" s="335">
        <v>1309</v>
      </c>
      <c r="F49" s="335">
        <v>2428</v>
      </c>
    </row>
    <row r="50" spans="2:6" hidden="1" outlineLevel="1" x14ac:dyDescent="0.25">
      <c r="B50" s="375">
        <v>42644</v>
      </c>
      <c r="C50" s="335">
        <v>36</v>
      </c>
      <c r="D50" s="335">
        <v>943</v>
      </c>
      <c r="E50" s="335">
        <v>705</v>
      </c>
      <c r="F50" s="335">
        <v>1648</v>
      </c>
    </row>
    <row r="51" spans="2:6" hidden="1" outlineLevel="1" x14ac:dyDescent="0.25">
      <c r="B51" s="375">
        <v>42675</v>
      </c>
      <c r="C51" s="335">
        <v>42</v>
      </c>
      <c r="D51" s="335">
        <v>2225</v>
      </c>
      <c r="E51" s="335">
        <v>1770</v>
      </c>
      <c r="F51" s="335">
        <v>3995</v>
      </c>
    </row>
    <row r="52" spans="2:6" hidden="1" outlineLevel="1" x14ac:dyDescent="0.25">
      <c r="B52" s="375">
        <v>42705</v>
      </c>
      <c r="C52" s="335">
        <v>50</v>
      </c>
      <c r="D52" s="335">
        <v>3021</v>
      </c>
      <c r="E52" s="335">
        <v>2296</v>
      </c>
      <c r="F52" s="335">
        <v>5317</v>
      </c>
    </row>
    <row r="53" spans="2:6" collapsed="1" x14ac:dyDescent="0.25">
      <c r="B53" s="287" t="s">
        <v>58</v>
      </c>
      <c r="C53" s="336">
        <v>481</v>
      </c>
      <c r="D53" s="336"/>
      <c r="E53" s="336"/>
      <c r="F53" s="336">
        <v>33713</v>
      </c>
    </row>
    <row r="54" spans="2:6" hidden="1" outlineLevel="1" x14ac:dyDescent="0.25">
      <c r="B54" s="375">
        <v>42736</v>
      </c>
      <c r="C54" s="335">
        <v>40</v>
      </c>
      <c r="D54" s="335">
        <v>2335</v>
      </c>
      <c r="E54" s="335">
        <v>1830</v>
      </c>
      <c r="F54" s="335">
        <v>4165</v>
      </c>
    </row>
    <row r="55" spans="2:6" hidden="1" outlineLevel="1" x14ac:dyDescent="0.25">
      <c r="B55" s="375">
        <v>42767</v>
      </c>
      <c r="C55" s="335">
        <v>32</v>
      </c>
      <c r="D55" s="335">
        <v>2075</v>
      </c>
      <c r="E55" s="335">
        <v>1511</v>
      </c>
      <c r="F55" s="335">
        <v>3586</v>
      </c>
    </row>
    <row r="56" spans="2:6" hidden="1" outlineLevel="1" x14ac:dyDescent="0.25">
      <c r="B56" s="375">
        <v>42795</v>
      </c>
      <c r="C56" s="335">
        <v>37</v>
      </c>
      <c r="D56" s="335">
        <v>922</v>
      </c>
      <c r="E56" s="335">
        <v>763</v>
      </c>
      <c r="F56" s="335">
        <v>1685</v>
      </c>
    </row>
    <row r="57" spans="2:6" hidden="1" outlineLevel="1" x14ac:dyDescent="0.25">
      <c r="B57" s="375">
        <v>42826</v>
      </c>
      <c r="C57" s="335">
        <v>27</v>
      </c>
      <c r="D57" s="335">
        <v>464</v>
      </c>
      <c r="E57" s="335">
        <v>377</v>
      </c>
      <c r="F57" s="335">
        <v>841</v>
      </c>
    </row>
    <row r="58" spans="2:6" hidden="1" outlineLevel="1" x14ac:dyDescent="0.25">
      <c r="B58" s="375">
        <v>42856</v>
      </c>
      <c r="C58" s="335">
        <v>36</v>
      </c>
      <c r="D58" s="335">
        <v>870</v>
      </c>
      <c r="E58" s="335">
        <v>555</v>
      </c>
      <c r="F58" s="335">
        <v>1425</v>
      </c>
    </row>
    <row r="59" spans="2:6" hidden="1" outlineLevel="1" x14ac:dyDescent="0.25">
      <c r="B59" s="375">
        <v>42887</v>
      </c>
      <c r="C59" s="335">
        <v>38</v>
      </c>
      <c r="D59" s="335">
        <v>479</v>
      </c>
      <c r="E59" s="335">
        <v>437</v>
      </c>
      <c r="F59" s="335">
        <v>916</v>
      </c>
    </row>
    <row r="60" spans="2:6" hidden="1" outlineLevel="1" x14ac:dyDescent="0.25">
      <c r="B60" s="375">
        <v>42917</v>
      </c>
      <c r="C60" s="335">
        <v>31</v>
      </c>
      <c r="D60" s="335">
        <v>544</v>
      </c>
      <c r="E60" s="335">
        <v>385</v>
      </c>
      <c r="F60" s="335">
        <v>929</v>
      </c>
    </row>
    <row r="61" spans="2:6" hidden="1" outlineLevel="1" x14ac:dyDescent="0.25">
      <c r="B61" s="375">
        <v>42948</v>
      </c>
      <c r="C61" s="335">
        <v>34</v>
      </c>
      <c r="D61" s="335">
        <v>715</v>
      </c>
      <c r="E61" s="335">
        <v>414</v>
      </c>
      <c r="F61" s="335">
        <v>1129</v>
      </c>
    </row>
    <row r="62" spans="2:6" hidden="1" outlineLevel="1" x14ac:dyDescent="0.25">
      <c r="B62" s="375">
        <v>42979</v>
      </c>
      <c r="C62" s="335">
        <v>36</v>
      </c>
      <c r="D62" s="335">
        <v>680</v>
      </c>
      <c r="E62" s="335">
        <v>537</v>
      </c>
      <c r="F62" s="335">
        <v>1217</v>
      </c>
    </row>
    <row r="63" spans="2:6" hidden="1" outlineLevel="1" x14ac:dyDescent="0.25">
      <c r="B63" s="375">
        <v>43009</v>
      </c>
      <c r="C63" s="335">
        <v>33</v>
      </c>
      <c r="D63" s="335">
        <v>503</v>
      </c>
      <c r="E63" s="335">
        <v>374</v>
      </c>
      <c r="F63" s="335">
        <v>877</v>
      </c>
    </row>
    <row r="64" spans="2:6" hidden="1" outlineLevel="1" x14ac:dyDescent="0.25">
      <c r="B64" s="375">
        <v>43040</v>
      </c>
      <c r="C64" s="335">
        <v>40</v>
      </c>
      <c r="D64" s="335">
        <v>676</v>
      </c>
      <c r="E64" s="335">
        <v>640</v>
      </c>
      <c r="F64" s="335">
        <v>1316</v>
      </c>
    </row>
    <row r="65" spans="2:6" hidden="1" outlineLevel="1" x14ac:dyDescent="0.25">
      <c r="B65" s="375">
        <v>43070</v>
      </c>
      <c r="C65" s="335">
        <v>56</v>
      </c>
      <c r="D65" s="335">
        <v>742</v>
      </c>
      <c r="E65" s="335">
        <v>697</v>
      </c>
      <c r="F65" s="335">
        <v>1439</v>
      </c>
    </row>
    <row r="66" spans="2:6" collapsed="1" x14ac:dyDescent="0.25">
      <c r="B66" s="287" t="s">
        <v>61</v>
      </c>
      <c r="C66" s="336">
        <v>440</v>
      </c>
      <c r="D66" s="336">
        <v>11005</v>
      </c>
      <c r="E66" s="336">
        <v>8520</v>
      </c>
      <c r="F66" s="336">
        <v>19525</v>
      </c>
    </row>
    <row r="67" spans="2:6" hidden="1" outlineLevel="1" x14ac:dyDescent="0.25">
      <c r="B67" s="375">
        <v>43101</v>
      </c>
      <c r="C67" s="335">
        <v>46</v>
      </c>
      <c r="D67" s="335">
        <v>1310</v>
      </c>
      <c r="E67" s="335">
        <v>1294</v>
      </c>
      <c r="F67" s="335">
        <v>2604</v>
      </c>
    </row>
    <row r="68" spans="2:6" hidden="1" outlineLevel="1" x14ac:dyDescent="0.25">
      <c r="B68" s="375">
        <v>43132</v>
      </c>
      <c r="C68" s="335">
        <v>61</v>
      </c>
      <c r="D68" s="335">
        <v>1107</v>
      </c>
      <c r="E68" s="335">
        <v>809</v>
      </c>
      <c r="F68" s="335">
        <v>1916</v>
      </c>
    </row>
    <row r="69" spans="2:6" hidden="1" outlineLevel="1" x14ac:dyDescent="0.25">
      <c r="B69" s="375">
        <v>43160</v>
      </c>
      <c r="C69" s="335">
        <v>44</v>
      </c>
      <c r="D69" s="335">
        <v>861</v>
      </c>
      <c r="E69" s="335">
        <v>608</v>
      </c>
      <c r="F69" s="335">
        <v>1469</v>
      </c>
    </row>
    <row r="70" spans="2:6" hidden="1" outlineLevel="1" x14ac:dyDescent="0.25">
      <c r="B70" s="375">
        <v>43191</v>
      </c>
      <c r="C70" s="335">
        <v>39</v>
      </c>
      <c r="D70" s="335">
        <v>653</v>
      </c>
      <c r="E70" s="335">
        <v>498</v>
      </c>
      <c r="F70" s="335">
        <v>1151</v>
      </c>
    </row>
    <row r="71" spans="2:6" hidden="1" outlineLevel="1" x14ac:dyDescent="0.25">
      <c r="B71" s="375">
        <v>43221</v>
      </c>
      <c r="C71" s="335">
        <v>40</v>
      </c>
      <c r="D71" s="335">
        <v>965</v>
      </c>
      <c r="E71" s="335">
        <v>663</v>
      </c>
      <c r="F71" s="335">
        <v>1628</v>
      </c>
    </row>
    <row r="72" spans="2:6" hidden="1" outlineLevel="1" x14ac:dyDescent="0.25">
      <c r="B72" s="375">
        <v>43252</v>
      </c>
      <c r="C72" s="335">
        <v>55</v>
      </c>
      <c r="D72" s="335">
        <v>836</v>
      </c>
      <c r="E72" s="335">
        <v>774</v>
      </c>
      <c r="F72" s="335">
        <v>1610</v>
      </c>
    </row>
    <row r="73" spans="2:6" hidden="1" outlineLevel="1" x14ac:dyDescent="0.25">
      <c r="B73" s="375">
        <v>43282</v>
      </c>
      <c r="C73" s="335">
        <v>54</v>
      </c>
      <c r="D73" s="335">
        <v>1124</v>
      </c>
      <c r="E73" s="335">
        <v>980</v>
      </c>
      <c r="F73" s="335">
        <v>2104</v>
      </c>
    </row>
    <row r="74" spans="2:6" hidden="1" outlineLevel="1" x14ac:dyDescent="0.25">
      <c r="B74" s="375">
        <v>43313</v>
      </c>
      <c r="C74" s="335">
        <v>74</v>
      </c>
      <c r="D74" s="335">
        <v>1725</v>
      </c>
      <c r="E74" s="335">
        <v>1398</v>
      </c>
      <c r="F74" s="335">
        <v>3123</v>
      </c>
    </row>
    <row r="75" spans="2:6" hidden="1" outlineLevel="1" x14ac:dyDescent="0.25">
      <c r="B75" s="375">
        <v>43344</v>
      </c>
      <c r="C75" s="335">
        <v>50</v>
      </c>
      <c r="D75" s="335">
        <v>1229</v>
      </c>
      <c r="E75" s="335">
        <v>1067</v>
      </c>
      <c r="F75" s="335">
        <v>2296</v>
      </c>
    </row>
    <row r="76" spans="2:6" hidden="1" outlineLevel="1" x14ac:dyDescent="0.25">
      <c r="B76" s="375">
        <v>43374</v>
      </c>
      <c r="C76" s="335">
        <v>31</v>
      </c>
      <c r="D76" s="335">
        <v>1359</v>
      </c>
      <c r="E76" s="335">
        <v>477</v>
      </c>
      <c r="F76" s="335">
        <v>1836</v>
      </c>
    </row>
    <row r="77" spans="2:6" hidden="1" outlineLevel="1" x14ac:dyDescent="0.25">
      <c r="B77" s="375">
        <v>43405</v>
      </c>
      <c r="C77" s="335">
        <v>21</v>
      </c>
      <c r="D77" s="335">
        <v>1224</v>
      </c>
      <c r="E77" s="335">
        <v>699</v>
      </c>
      <c r="F77" s="335">
        <v>1923</v>
      </c>
    </row>
    <row r="78" spans="2:6" hidden="1" outlineLevel="1" x14ac:dyDescent="0.25">
      <c r="B78" s="375">
        <v>43435</v>
      </c>
      <c r="C78" s="335">
        <v>63</v>
      </c>
      <c r="D78" s="335">
        <v>1322</v>
      </c>
      <c r="E78" s="335">
        <v>1102</v>
      </c>
      <c r="F78" s="335">
        <v>2424</v>
      </c>
    </row>
    <row r="79" spans="2:6" collapsed="1" x14ac:dyDescent="0.25">
      <c r="B79" s="287" t="s">
        <v>62</v>
      </c>
      <c r="C79" s="336">
        <v>578</v>
      </c>
      <c r="D79" s="336">
        <v>13715</v>
      </c>
      <c r="E79" s="336">
        <v>10369</v>
      </c>
      <c r="F79" s="336">
        <v>24084</v>
      </c>
    </row>
    <row r="80" spans="2:6" hidden="1" outlineLevel="1" x14ac:dyDescent="0.25">
      <c r="B80" s="375">
        <v>43466</v>
      </c>
      <c r="C80" s="335">
        <v>46</v>
      </c>
      <c r="D80" s="335">
        <v>1409</v>
      </c>
      <c r="E80" s="335">
        <v>848</v>
      </c>
      <c r="F80" s="335">
        <v>2257</v>
      </c>
    </row>
    <row r="81" spans="2:6" hidden="1" outlineLevel="1" x14ac:dyDescent="0.25">
      <c r="B81" s="375">
        <v>43497</v>
      </c>
      <c r="C81" s="335">
        <v>47</v>
      </c>
      <c r="D81" s="335">
        <v>543</v>
      </c>
      <c r="E81" s="335">
        <v>395</v>
      </c>
      <c r="F81" s="335">
        <v>938</v>
      </c>
    </row>
    <row r="82" spans="2:6" hidden="1" outlineLevel="1" x14ac:dyDescent="0.25">
      <c r="B82" s="375">
        <v>43525</v>
      </c>
      <c r="C82" s="335">
        <v>42</v>
      </c>
      <c r="D82" s="335">
        <v>524</v>
      </c>
      <c r="E82" s="335">
        <v>314</v>
      </c>
      <c r="F82" s="335">
        <v>838</v>
      </c>
    </row>
    <row r="83" spans="2:6" hidden="1" outlineLevel="1" x14ac:dyDescent="0.25">
      <c r="B83" s="375">
        <v>43556</v>
      </c>
      <c r="C83" s="335">
        <v>49</v>
      </c>
      <c r="D83" s="335">
        <v>627</v>
      </c>
      <c r="E83" s="335">
        <v>551</v>
      </c>
      <c r="F83" s="335">
        <v>1178</v>
      </c>
    </row>
    <row r="84" spans="2:6" hidden="1" outlineLevel="1" x14ac:dyDescent="0.25">
      <c r="B84" s="375">
        <v>43586</v>
      </c>
      <c r="C84" s="335">
        <v>71</v>
      </c>
      <c r="D84" s="335">
        <v>1402</v>
      </c>
      <c r="E84" s="335">
        <v>1306</v>
      </c>
      <c r="F84" s="335">
        <v>2708</v>
      </c>
    </row>
    <row r="85" spans="2:6" hidden="1" outlineLevel="1" x14ac:dyDescent="0.25">
      <c r="B85" s="375">
        <v>43617</v>
      </c>
      <c r="C85" s="335">
        <v>68</v>
      </c>
      <c r="D85" s="335">
        <v>1687</v>
      </c>
      <c r="E85" s="335">
        <v>1029</v>
      </c>
      <c r="F85" s="335">
        <v>2716</v>
      </c>
    </row>
    <row r="86" spans="2:6" hidden="1" outlineLevel="1" x14ac:dyDescent="0.25">
      <c r="B86" s="375">
        <v>43647</v>
      </c>
      <c r="C86" s="335">
        <v>73</v>
      </c>
      <c r="D86" s="335">
        <v>1201</v>
      </c>
      <c r="E86" s="335">
        <v>953</v>
      </c>
      <c r="F86" s="335">
        <v>2154</v>
      </c>
    </row>
    <row r="87" spans="2:6" hidden="1" outlineLevel="1" x14ac:dyDescent="0.25">
      <c r="B87" s="375">
        <v>43678</v>
      </c>
      <c r="C87" s="335">
        <v>72</v>
      </c>
      <c r="D87" s="335">
        <v>1090</v>
      </c>
      <c r="E87" s="335">
        <v>1128</v>
      </c>
      <c r="F87" s="335">
        <v>2218</v>
      </c>
    </row>
    <row r="88" spans="2:6" hidden="1" outlineLevel="1" x14ac:dyDescent="0.25">
      <c r="B88" s="375">
        <v>43709</v>
      </c>
      <c r="C88" s="335">
        <v>81</v>
      </c>
      <c r="D88" s="335">
        <v>620</v>
      </c>
      <c r="E88" s="335">
        <v>590</v>
      </c>
      <c r="F88" s="335">
        <v>1210</v>
      </c>
    </row>
    <row r="89" spans="2:6" hidden="1" outlineLevel="1" x14ac:dyDescent="0.25">
      <c r="B89" s="375">
        <v>43739</v>
      </c>
      <c r="C89" s="335">
        <v>33</v>
      </c>
      <c r="D89" s="335">
        <v>599</v>
      </c>
      <c r="E89" s="335">
        <v>438</v>
      </c>
      <c r="F89" s="335">
        <v>1037</v>
      </c>
    </row>
    <row r="90" spans="2:6" hidden="1" outlineLevel="1" x14ac:dyDescent="0.25">
      <c r="B90" s="375">
        <v>43770</v>
      </c>
      <c r="C90" s="335">
        <v>78</v>
      </c>
      <c r="D90" s="335">
        <v>535</v>
      </c>
      <c r="E90" s="335">
        <v>508</v>
      </c>
      <c r="F90" s="335">
        <v>1043</v>
      </c>
    </row>
    <row r="91" spans="2:6" hidden="1" outlineLevel="1" x14ac:dyDescent="0.25">
      <c r="B91" s="375">
        <v>43800</v>
      </c>
      <c r="C91" s="335">
        <v>77</v>
      </c>
      <c r="D91" s="335">
        <v>536</v>
      </c>
      <c r="E91" s="335">
        <v>544</v>
      </c>
      <c r="F91" s="335">
        <v>1080</v>
      </c>
    </row>
    <row r="92" spans="2:6" collapsed="1" x14ac:dyDescent="0.25">
      <c r="B92" s="287" t="s">
        <v>63</v>
      </c>
      <c r="C92" s="336">
        <v>737</v>
      </c>
      <c r="D92" s="336">
        <v>10773</v>
      </c>
      <c r="E92" s="336">
        <v>8604</v>
      </c>
      <c r="F92" s="336">
        <v>19377</v>
      </c>
    </row>
    <row r="93" spans="2:6" hidden="1" outlineLevel="1" x14ac:dyDescent="0.25">
      <c r="B93" s="375">
        <v>43831</v>
      </c>
      <c r="C93" s="335">
        <v>83</v>
      </c>
      <c r="D93" s="335">
        <v>1062</v>
      </c>
      <c r="E93" s="335">
        <v>1446</v>
      </c>
      <c r="F93" s="335">
        <v>2508</v>
      </c>
    </row>
    <row r="94" spans="2:6" hidden="1" outlineLevel="1" x14ac:dyDescent="0.25">
      <c r="B94" s="375">
        <v>43862</v>
      </c>
      <c r="C94" s="335">
        <v>91</v>
      </c>
      <c r="D94" s="335">
        <v>1308</v>
      </c>
      <c r="E94" s="335">
        <v>1064</v>
      </c>
      <c r="F94" s="335">
        <v>2372</v>
      </c>
    </row>
    <row r="95" spans="2:6" hidden="1" outlineLevel="1" x14ac:dyDescent="0.25">
      <c r="B95" s="375">
        <v>43891</v>
      </c>
      <c r="C95" s="335">
        <v>73</v>
      </c>
      <c r="D95" s="335">
        <v>908</v>
      </c>
      <c r="E95" s="335">
        <v>827</v>
      </c>
      <c r="F95" s="335">
        <v>1735</v>
      </c>
    </row>
    <row r="96" spans="2:6" hidden="1" outlineLevel="1" x14ac:dyDescent="0.25">
      <c r="B96" s="375">
        <v>43922</v>
      </c>
      <c r="C96" s="335">
        <v>13</v>
      </c>
      <c r="D96" s="335">
        <v>34</v>
      </c>
      <c r="E96" s="335">
        <v>58</v>
      </c>
      <c r="F96" s="335">
        <v>92</v>
      </c>
    </row>
    <row r="97" spans="2:6" hidden="1" outlineLevel="1" x14ac:dyDescent="0.25">
      <c r="B97" s="375">
        <v>43952</v>
      </c>
      <c r="C97" s="335">
        <v>16</v>
      </c>
      <c r="D97" s="335">
        <v>356</v>
      </c>
      <c r="E97" s="335">
        <v>298</v>
      </c>
      <c r="F97" s="335">
        <v>654</v>
      </c>
    </row>
    <row r="98" spans="2:6" hidden="1" outlineLevel="1" x14ac:dyDescent="0.25">
      <c r="B98" s="375">
        <v>43983</v>
      </c>
      <c r="C98" s="335">
        <v>16</v>
      </c>
      <c r="D98" s="335">
        <v>143</v>
      </c>
      <c r="E98" s="335">
        <v>150</v>
      </c>
      <c r="F98" s="335">
        <v>293</v>
      </c>
    </row>
    <row r="99" spans="2:6" hidden="1" outlineLevel="1" x14ac:dyDescent="0.25">
      <c r="B99" s="375">
        <v>44013</v>
      </c>
      <c r="C99" s="335">
        <v>26</v>
      </c>
      <c r="D99" s="335">
        <v>245</v>
      </c>
      <c r="E99" s="335">
        <v>212</v>
      </c>
      <c r="F99" s="335">
        <v>457</v>
      </c>
    </row>
    <row r="100" spans="2:6" hidden="1" outlineLevel="1" x14ac:dyDescent="0.25">
      <c r="B100" s="375">
        <v>44044</v>
      </c>
      <c r="C100" s="335">
        <v>27</v>
      </c>
      <c r="D100" s="335">
        <v>364</v>
      </c>
      <c r="E100" s="335">
        <v>280</v>
      </c>
      <c r="F100" s="335">
        <v>644</v>
      </c>
    </row>
    <row r="101" spans="2:6" hidden="1" outlineLevel="1" x14ac:dyDescent="0.25">
      <c r="B101" s="375">
        <v>44075</v>
      </c>
      <c r="C101" s="335">
        <v>32</v>
      </c>
      <c r="D101" s="335">
        <v>439</v>
      </c>
      <c r="E101" s="335">
        <v>549</v>
      </c>
      <c r="F101" s="335">
        <v>988</v>
      </c>
    </row>
    <row r="102" spans="2:6" hidden="1" outlineLevel="1" x14ac:dyDescent="0.25">
      <c r="B102" s="375">
        <v>44105</v>
      </c>
      <c r="C102" s="335">
        <v>45</v>
      </c>
      <c r="D102" s="335">
        <v>439</v>
      </c>
      <c r="E102" s="335">
        <v>356</v>
      </c>
      <c r="F102" s="335">
        <v>795</v>
      </c>
    </row>
    <row r="103" spans="2:6" hidden="1" outlineLevel="1" x14ac:dyDescent="0.25">
      <c r="B103" s="375">
        <v>44136</v>
      </c>
      <c r="C103" s="335">
        <v>21</v>
      </c>
      <c r="D103" s="335">
        <v>423</v>
      </c>
      <c r="E103" s="335">
        <v>315</v>
      </c>
      <c r="F103" s="335">
        <v>738</v>
      </c>
    </row>
    <row r="104" spans="2:6" hidden="1" outlineLevel="1" x14ac:dyDescent="0.25">
      <c r="B104" s="375">
        <v>44166</v>
      </c>
      <c r="C104" s="335">
        <v>14</v>
      </c>
      <c r="D104" s="335">
        <v>326</v>
      </c>
      <c r="E104" s="335">
        <v>348</v>
      </c>
      <c r="F104" s="335">
        <v>674</v>
      </c>
    </row>
    <row r="105" spans="2:6" collapsed="1" x14ac:dyDescent="0.25">
      <c r="B105" s="287" t="s">
        <v>67</v>
      </c>
      <c r="C105" s="336">
        <v>457</v>
      </c>
      <c r="D105" s="336">
        <v>6047</v>
      </c>
      <c r="E105" s="336">
        <v>5903</v>
      </c>
      <c r="F105" s="336">
        <v>11950</v>
      </c>
    </row>
    <row r="106" spans="2:6" hidden="1" outlineLevel="1" x14ac:dyDescent="0.25">
      <c r="B106" s="375">
        <v>44197</v>
      </c>
      <c r="C106" s="335">
        <v>21</v>
      </c>
      <c r="D106" s="335">
        <v>863</v>
      </c>
      <c r="E106" s="335">
        <v>646</v>
      </c>
      <c r="F106" s="335">
        <v>1509</v>
      </c>
    </row>
    <row r="107" spans="2:6" hidden="1" outlineLevel="1" x14ac:dyDescent="0.25">
      <c r="B107" s="375">
        <v>44228</v>
      </c>
      <c r="C107" s="335">
        <v>12</v>
      </c>
      <c r="D107" s="335">
        <v>504</v>
      </c>
      <c r="E107" s="335">
        <v>400</v>
      </c>
      <c r="F107" s="335">
        <v>904</v>
      </c>
    </row>
    <row r="108" spans="2:6" hidden="1" outlineLevel="1" x14ac:dyDescent="0.25">
      <c r="B108" s="375">
        <v>44256</v>
      </c>
      <c r="C108" s="335">
        <v>17</v>
      </c>
      <c r="D108" s="335">
        <v>371</v>
      </c>
      <c r="E108" s="335">
        <v>245</v>
      </c>
      <c r="F108" s="335">
        <v>616</v>
      </c>
    </row>
    <row r="109" spans="2:6" hidden="1" outlineLevel="1" x14ac:dyDescent="0.25">
      <c r="B109" s="375">
        <v>44287</v>
      </c>
      <c r="C109" s="335">
        <v>9</v>
      </c>
      <c r="D109" s="335">
        <v>304</v>
      </c>
      <c r="E109" s="335">
        <v>210</v>
      </c>
      <c r="F109" s="335">
        <v>514</v>
      </c>
    </row>
    <row r="110" spans="2:6" hidden="1" outlineLevel="1" x14ac:dyDescent="0.25">
      <c r="B110" s="375">
        <v>44317</v>
      </c>
      <c r="C110" s="335">
        <v>37</v>
      </c>
      <c r="D110" s="335">
        <v>321</v>
      </c>
      <c r="E110" s="335">
        <v>719</v>
      </c>
      <c r="F110" s="335">
        <v>1040</v>
      </c>
    </row>
    <row r="111" spans="2:6" hidden="1" outlineLevel="1" x14ac:dyDescent="0.25">
      <c r="B111" s="375">
        <v>44348</v>
      </c>
      <c r="C111" s="335">
        <v>54</v>
      </c>
      <c r="D111" s="335">
        <v>420</v>
      </c>
      <c r="E111" s="335">
        <v>429</v>
      </c>
      <c r="F111" s="335">
        <v>849</v>
      </c>
    </row>
    <row r="112" spans="2:6" hidden="1" outlineLevel="1" x14ac:dyDescent="0.25">
      <c r="B112" s="375">
        <v>44378</v>
      </c>
      <c r="C112" s="335">
        <v>14</v>
      </c>
      <c r="D112" s="335">
        <v>83</v>
      </c>
      <c r="E112" s="335">
        <v>65</v>
      </c>
      <c r="F112" s="335">
        <v>148</v>
      </c>
    </row>
    <row r="113" spans="2:6" hidden="1" outlineLevel="1" x14ac:dyDescent="0.25">
      <c r="B113" s="375">
        <v>44409</v>
      </c>
      <c r="C113" s="335">
        <v>50</v>
      </c>
      <c r="D113" s="335">
        <v>526</v>
      </c>
      <c r="E113" s="335">
        <v>488</v>
      </c>
      <c r="F113" s="335">
        <v>1014</v>
      </c>
    </row>
    <row r="114" spans="2:6" hidden="1" outlineLevel="1" x14ac:dyDescent="0.25">
      <c r="B114" s="375">
        <v>44440</v>
      </c>
      <c r="C114" s="335">
        <v>17</v>
      </c>
      <c r="D114" s="335">
        <v>200</v>
      </c>
      <c r="E114" s="335">
        <v>159</v>
      </c>
      <c r="F114" s="335">
        <v>359</v>
      </c>
    </row>
    <row r="115" spans="2:6" hidden="1" outlineLevel="1" x14ac:dyDescent="0.25">
      <c r="B115" s="375">
        <v>44470</v>
      </c>
      <c r="C115" s="335">
        <v>17</v>
      </c>
      <c r="D115" s="335">
        <v>244</v>
      </c>
      <c r="E115" s="335">
        <v>174</v>
      </c>
      <c r="F115" s="335">
        <v>418</v>
      </c>
    </row>
    <row r="116" spans="2:6" hidden="1" outlineLevel="1" x14ac:dyDescent="0.25">
      <c r="B116" s="375">
        <v>44501</v>
      </c>
      <c r="C116" s="335">
        <v>13</v>
      </c>
      <c r="D116" s="335">
        <v>138</v>
      </c>
      <c r="E116" s="335">
        <v>158</v>
      </c>
      <c r="F116" s="335">
        <v>296</v>
      </c>
    </row>
    <row r="117" spans="2:6" hidden="1" outlineLevel="1" x14ac:dyDescent="0.25">
      <c r="B117" s="375">
        <v>44531</v>
      </c>
      <c r="C117" s="335">
        <v>35</v>
      </c>
      <c r="D117" s="335">
        <v>241</v>
      </c>
      <c r="E117" s="335">
        <v>258</v>
      </c>
      <c r="F117" s="335">
        <v>499</v>
      </c>
    </row>
    <row r="118" spans="2:6" collapsed="1" x14ac:dyDescent="0.25">
      <c r="B118" s="243" t="s">
        <v>68</v>
      </c>
      <c r="C118" s="306">
        <v>296</v>
      </c>
      <c r="D118" s="306">
        <v>4215</v>
      </c>
      <c r="E118" s="306">
        <v>3951</v>
      </c>
      <c r="F118" s="306">
        <v>8166</v>
      </c>
    </row>
    <row r="119" spans="2:6" outlineLevel="1" x14ac:dyDescent="0.25">
      <c r="B119" s="375">
        <v>44562</v>
      </c>
      <c r="C119" s="335">
        <v>52</v>
      </c>
      <c r="D119" s="335">
        <v>987</v>
      </c>
      <c r="E119" s="335">
        <v>892</v>
      </c>
      <c r="F119" s="335">
        <v>1879</v>
      </c>
    </row>
    <row r="120" spans="2:6" outlineLevel="1" x14ac:dyDescent="0.25">
      <c r="B120" s="375">
        <v>44593</v>
      </c>
      <c r="C120" s="335">
        <v>47</v>
      </c>
      <c r="D120" s="335">
        <v>751</v>
      </c>
      <c r="E120" s="335">
        <v>629</v>
      </c>
      <c r="F120" s="335">
        <v>1380</v>
      </c>
    </row>
    <row r="121" spans="2:6" outlineLevel="1" x14ac:dyDescent="0.25">
      <c r="B121" s="375">
        <v>44621</v>
      </c>
      <c r="C121" s="335">
        <v>69</v>
      </c>
      <c r="D121" s="335">
        <v>383</v>
      </c>
      <c r="E121" s="335">
        <v>358</v>
      </c>
      <c r="F121" s="335">
        <v>741</v>
      </c>
    </row>
    <row r="122" spans="2:6" outlineLevel="1" x14ac:dyDescent="0.25">
      <c r="B122" s="375">
        <v>44652</v>
      </c>
      <c r="C122" s="335">
        <v>75</v>
      </c>
      <c r="D122" s="335">
        <v>425</v>
      </c>
      <c r="E122" s="335">
        <v>381</v>
      </c>
      <c r="F122" s="335">
        <v>806</v>
      </c>
    </row>
    <row r="123" spans="2:6" outlineLevel="1" x14ac:dyDescent="0.25">
      <c r="B123" s="375">
        <v>44682</v>
      </c>
      <c r="C123" s="335">
        <v>80</v>
      </c>
      <c r="D123" s="335">
        <v>426</v>
      </c>
      <c r="E123" s="335">
        <v>325</v>
      </c>
      <c r="F123" s="335">
        <v>751</v>
      </c>
    </row>
    <row r="124" spans="2:6" outlineLevel="1" x14ac:dyDescent="0.25">
      <c r="B124" s="375">
        <v>44713</v>
      </c>
      <c r="C124" s="335">
        <v>51</v>
      </c>
      <c r="D124" s="335">
        <v>361</v>
      </c>
      <c r="E124" s="335">
        <v>295</v>
      </c>
      <c r="F124" s="335">
        <v>656</v>
      </c>
    </row>
    <row r="125" spans="2:6" outlineLevel="1" x14ac:dyDescent="0.25">
      <c r="B125" s="375">
        <v>44743</v>
      </c>
      <c r="C125" s="335">
        <v>38</v>
      </c>
      <c r="D125" s="335">
        <v>482</v>
      </c>
      <c r="E125" s="335">
        <v>401</v>
      </c>
      <c r="F125" s="335">
        <v>883</v>
      </c>
    </row>
    <row r="126" spans="2:6" outlineLevel="1" x14ac:dyDescent="0.25">
      <c r="B126" s="375">
        <v>44774</v>
      </c>
      <c r="C126" s="335">
        <v>35</v>
      </c>
      <c r="D126" s="335">
        <v>909</v>
      </c>
      <c r="E126" s="335">
        <v>570</v>
      </c>
      <c r="F126" s="335">
        <v>1479</v>
      </c>
    </row>
    <row r="127" spans="2:6" outlineLevel="1" x14ac:dyDescent="0.25">
      <c r="B127" s="375">
        <v>44805</v>
      </c>
      <c r="C127" s="335">
        <v>20</v>
      </c>
      <c r="D127" s="335">
        <v>387</v>
      </c>
      <c r="E127" s="335">
        <v>319</v>
      </c>
      <c r="F127" s="335">
        <v>706</v>
      </c>
    </row>
    <row r="128" spans="2:6" outlineLevel="1" x14ac:dyDescent="0.25">
      <c r="B128" s="375">
        <v>44835</v>
      </c>
      <c r="C128" s="335">
        <v>33</v>
      </c>
      <c r="D128" s="335">
        <v>504</v>
      </c>
      <c r="E128" s="335">
        <v>459</v>
      </c>
      <c r="F128" s="335">
        <v>963</v>
      </c>
    </row>
    <row r="129" spans="2:6" outlineLevel="1" x14ac:dyDescent="0.25">
      <c r="B129" s="375">
        <v>44866</v>
      </c>
      <c r="C129" s="335">
        <v>53</v>
      </c>
      <c r="D129" s="335">
        <v>204</v>
      </c>
      <c r="E129" s="335">
        <v>266</v>
      </c>
      <c r="F129" s="335">
        <v>470</v>
      </c>
    </row>
    <row r="130" spans="2:6" outlineLevel="1" x14ac:dyDescent="0.25">
      <c r="B130" s="375">
        <v>44896</v>
      </c>
      <c r="C130" s="335">
        <v>49</v>
      </c>
      <c r="D130" s="335">
        <v>219</v>
      </c>
      <c r="E130" s="335">
        <v>281</v>
      </c>
      <c r="F130" s="335">
        <v>500</v>
      </c>
    </row>
    <row r="131" spans="2:6" x14ac:dyDescent="0.25">
      <c r="B131" s="243" t="s">
        <v>69</v>
      </c>
      <c r="C131" s="306">
        <v>602</v>
      </c>
      <c r="D131" s="306">
        <v>6038</v>
      </c>
      <c r="E131" s="306">
        <v>5176</v>
      </c>
      <c r="F131" s="306">
        <v>11214</v>
      </c>
    </row>
    <row r="132" spans="2:6" outlineLevel="1" x14ac:dyDescent="0.25">
      <c r="B132" s="375">
        <v>44927</v>
      </c>
      <c r="C132" s="335">
        <v>49</v>
      </c>
      <c r="D132" s="335">
        <v>321</v>
      </c>
      <c r="E132" s="335">
        <v>409</v>
      </c>
      <c r="F132" s="335">
        <v>730</v>
      </c>
    </row>
    <row r="133" spans="2:6" outlineLevel="1" x14ac:dyDescent="0.25">
      <c r="B133" s="375">
        <v>44958</v>
      </c>
      <c r="C133" s="335">
        <v>19</v>
      </c>
      <c r="D133" s="335">
        <v>443</v>
      </c>
      <c r="E133" s="335">
        <v>408</v>
      </c>
      <c r="F133" s="335">
        <v>851</v>
      </c>
    </row>
    <row r="134" spans="2:6" outlineLevel="1" x14ac:dyDescent="0.25">
      <c r="B134" s="375">
        <v>44986</v>
      </c>
      <c r="C134" s="335">
        <v>41</v>
      </c>
      <c r="D134" s="335">
        <v>272</v>
      </c>
      <c r="E134" s="335">
        <v>339</v>
      </c>
      <c r="F134" s="335">
        <v>611</v>
      </c>
    </row>
    <row r="135" spans="2:6" outlineLevel="1" x14ac:dyDescent="0.25">
      <c r="B135" s="375">
        <v>45017</v>
      </c>
      <c r="C135" s="335">
        <v>37</v>
      </c>
      <c r="D135" s="335">
        <v>872</v>
      </c>
      <c r="E135" s="335">
        <v>903</v>
      </c>
      <c r="F135" s="335">
        <v>1775</v>
      </c>
    </row>
    <row r="136" spans="2:6" outlineLevel="1" x14ac:dyDescent="0.25">
      <c r="B136" s="375">
        <v>45047</v>
      </c>
      <c r="C136" s="335">
        <v>23</v>
      </c>
      <c r="D136" s="335">
        <v>166</v>
      </c>
      <c r="E136" s="335">
        <v>181</v>
      </c>
      <c r="F136" s="335">
        <v>347</v>
      </c>
    </row>
    <row r="137" spans="2:6" outlineLevel="1" x14ac:dyDescent="0.25">
      <c r="B137" s="375">
        <v>45078</v>
      </c>
      <c r="C137" s="335">
        <v>15</v>
      </c>
      <c r="D137" s="335">
        <v>274</v>
      </c>
      <c r="E137" s="335">
        <v>259</v>
      </c>
      <c r="F137" s="335">
        <v>533</v>
      </c>
    </row>
    <row r="138" spans="2:6" outlineLevel="1" x14ac:dyDescent="0.25">
      <c r="B138" s="375">
        <v>45108</v>
      </c>
      <c r="C138" s="335">
        <v>31</v>
      </c>
      <c r="D138" s="335">
        <v>993</v>
      </c>
      <c r="E138" s="335">
        <v>939</v>
      </c>
      <c r="F138" s="335">
        <v>1932</v>
      </c>
    </row>
    <row r="139" spans="2:6" outlineLevel="1" x14ac:dyDescent="0.25">
      <c r="B139" s="375">
        <v>45139</v>
      </c>
      <c r="C139" s="335">
        <v>23</v>
      </c>
      <c r="D139" s="335">
        <v>53</v>
      </c>
      <c r="E139" s="335">
        <v>68</v>
      </c>
      <c r="F139" s="335">
        <v>121</v>
      </c>
    </row>
    <row r="140" spans="2:6" outlineLevel="1" x14ac:dyDescent="0.25">
      <c r="B140" s="375">
        <v>45170</v>
      </c>
      <c r="C140" s="335">
        <v>22</v>
      </c>
      <c r="D140" s="335">
        <v>214</v>
      </c>
      <c r="E140" s="335">
        <v>285</v>
      </c>
      <c r="F140" s="335">
        <v>499</v>
      </c>
    </row>
    <row r="141" spans="2:6" ht="31.5" customHeight="1" x14ac:dyDescent="0.25">
      <c r="B141" s="241" t="s">
        <v>870</v>
      </c>
      <c r="C141" s="306">
        <v>260</v>
      </c>
      <c r="D141" s="306">
        <v>3608</v>
      </c>
      <c r="E141" s="306">
        <v>3791</v>
      </c>
      <c r="F141" s="306">
        <v>7399</v>
      </c>
    </row>
    <row r="142" spans="2:6" x14ac:dyDescent="0.25">
      <c r="B142" s="243" t="s">
        <v>491</v>
      </c>
      <c r="C142" s="320">
        <v>11485</v>
      </c>
      <c r="D142" s="320">
        <v>55401</v>
      </c>
      <c r="E142" s="320">
        <v>46314</v>
      </c>
      <c r="F142" s="320">
        <v>405347</v>
      </c>
    </row>
    <row r="143" spans="2:6" x14ac:dyDescent="0.25">
      <c r="B143" s="4" t="s">
        <v>868</v>
      </c>
    </row>
    <row r="145" spans="2:11" ht="18.75" x14ac:dyDescent="0.3">
      <c r="B145" s="2" t="s">
        <v>756</v>
      </c>
      <c r="C145" s="2"/>
      <c r="D145" s="2"/>
      <c r="E145" s="2"/>
      <c r="F145" s="2"/>
      <c r="G145" s="2"/>
      <c r="H145" s="2"/>
      <c r="I145" s="2"/>
      <c r="J145" s="2"/>
      <c r="K145" s="2"/>
    </row>
    <row r="146" spans="2:11" x14ac:dyDescent="0.25">
      <c r="B146" s="3" t="s">
        <v>874</v>
      </c>
    </row>
    <row r="148" spans="2:11" x14ac:dyDescent="0.25">
      <c r="B148" s="492" t="s">
        <v>476</v>
      </c>
      <c r="C148" s="406" t="s">
        <v>696</v>
      </c>
      <c r="D148" s="406"/>
      <c r="E148" s="406"/>
      <c r="F148" s="495" t="s">
        <v>754</v>
      </c>
    </row>
    <row r="149" spans="2:11" x14ac:dyDescent="0.25">
      <c r="B149" s="492"/>
      <c r="C149" s="255" t="s">
        <v>15</v>
      </c>
      <c r="D149" s="255" t="s">
        <v>16</v>
      </c>
      <c r="E149" s="255" t="s">
        <v>755</v>
      </c>
      <c r="F149" s="495"/>
    </row>
    <row r="150" spans="2:11" x14ac:dyDescent="0.25">
      <c r="B150" s="305" t="s">
        <v>735</v>
      </c>
      <c r="C150" s="306">
        <v>114</v>
      </c>
      <c r="D150" s="306">
        <v>539</v>
      </c>
      <c r="E150" s="298">
        <v>154</v>
      </c>
      <c r="F150" s="306">
        <v>807</v>
      </c>
    </row>
    <row r="151" spans="2:11" hidden="1" outlineLevel="1" x14ac:dyDescent="0.25">
      <c r="B151" s="376">
        <v>41275</v>
      </c>
      <c r="C151" s="335">
        <v>8</v>
      </c>
      <c r="D151" s="335">
        <v>38</v>
      </c>
      <c r="E151" s="374">
        <v>12</v>
      </c>
      <c r="F151" s="335">
        <v>58</v>
      </c>
    </row>
    <row r="152" spans="2:11" hidden="1" outlineLevel="1" x14ac:dyDescent="0.25">
      <c r="B152" s="376">
        <v>41306</v>
      </c>
      <c r="C152" s="335">
        <v>5</v>
      </c>
      <c r="D152" s="335">
        <v>35</v>
      </c>
      <c r="E152" s="374">
        <v>15</v>
      </c>
      <c r="F152" s="335">
        <v>55</v>
      </c>
    </row>
    <row r="153" spans="2:11" hidden="1" outlineLevel="1" x14ac:dyDescent="0.25">
      <c r="B153" s="376">
        <v>41334</v>
      </c>
      <c r="C153" s="335">
        <v>10</v>
      </c>
      <c r="D153" s="335">
        <v>42</v>
      </c>
      <c r="E153" s="374">
        <v>12</v>
      </c>
      <c r="F153" s="335">
        <v>64</v>
      </c>
    </row>
    <row r="154" spans="2:11" hidden="1" outlineLevel="1" x14ac:dyDescent="0.25">
      <c r="B154" s="376">
        <v>41365</v>
      </c>
      <c r="C154" s="335">
        <v>10</v>
      </c>
      <c r="D154" s="335">
        <v>41</v>
      </c>
      <c r="E154" s="374">
        <v>15</v>
      </c>
      <c r="F154" s="335">
        <v>66</v>
      </c>
    </row>
    <row r="155" spans="2:11" hidden="1" outlineLevel="1" x14ac:dyDescent="0.25">
      <c r="B155" s="376">
        <v>41395</v>
      </c>
      <c r="C155" s="335">
        <v>6</v>
      </c>
      <c r="D155" s="335">
        <v>43</v>
      </c>
      <c r="E155" s="374">
        <v>11</v>
      </c>
      <c r="F155" s="335">
        <v>60</v>
      </c>
    </row>
    <row r="156" spans="2:11" hidden="1" outlineLevel="1" x14ac:dyDescent="0.25">
      <c r="B156" s="376">
        <v>41426</v>
      </c>
      <c r="C156" s="335">
        <v>6</v>
      </c>
      <c r="D156" s="335">
        <v>34</v>
      </c>
      <c r="E156" s="374">
        <v>14</v>
      </c>
      <c r="F156" s="335">
        <v>54</v>
      </c>
    </row>
    <row r="157" spans="2:11" hidden="1" outlineLevel="1" x14ac:dyDescent="0.25">
      <c r="B157" s="376">
        <v>41456</v>
      </c>
      <c r="C157" s="335">
        <v>4</v>
      </c>
      <c r="D157" s="335">
        <v>42</v>
      </c>
      <c r="E157" s="374">
        <v>12</v>
      </c>
      <c r="F157" s="335">
        <v>58</v>
      </c>
    </row>
    <row r="158" spans="2:11" hidden="1" outlineLevel="1" x14ac:dyDescent="0.25">
      <c r="B158" s="376">
        <v>41487</v>
      </c>
      <c r="C158" s="335">
        <v>7</v>
      </c>
      <c r="D158" s="335">
        <v>39</v>
      </c>
      <c r="E158" s="374">
        <v>12</v>
      </c>
      <c r="F158" s="335">
        <v>58</v>
      </c>
    </row>
    <row r="159" spans="2:11" hidden="1" outlineLevel="1" x14ac:dyDescent="0.25">
      <c r="B159" s="376">
        <v>41518</v>
      </c>
      <c r="C159" s="335">
        <v>5</v>
      </c>
      <c r="D159" s="335">
        <v>33</v>
      </c>
      <c r="E159" s="374">
        <v>12</v>
      </c>
      <c r="F159" s="335">
        <v>50</v>
      </c>
    </row>
    <row r="160" spans="2:11" hidden="1" outlineLevel="1" x14ac:dyDescent="0.25">
      <c r="B160" s="376">
        <v>41548</v>
      </c>
      <c r="C160" s="335">
        <v>3</v>
      </c>
      <c r="D160" s="335">
        <v>28</v>
      </c>
      <c r="E160" s="374">
        <v>17</v>
      </c>
      <c r="F160" s="335">
        <v>48</v>
      </c>
    </row>
    <row r="161" spans="2:6" hidden="1" outlineLevel="1" x14ac:dyDescent="0.25">
      <c r="B161" s="376">
        <v>41579</v>
      </c>
      <c r="C161" s="335">
        <v>3</v>
      </c>
      <c r="D161" s="335">
        <v>18</v>
      </c>
      <c r="E161" s="374">
        <v>7</v>
      </c>
      <c r="F161" s="335">
        <v>28</v>
      </c>
    </row>
    <row r="162" spans="2:6" hidden="1" outlineLevel="1" x14ac:dyDescent="0.25">
      <c r="B162" s="376">
        <v>41609</v>
      </c>
      <c r="C162" s="335">
        <v>7</v>
      </c>
      <c r="D162" s="335">
        <v>37</v>
      </c>
      <c r="E162" s="374">
        <v>11</v>
      </c>
      <c r="F162" s="335">
        <v>55</v>
      </c>
    </row>
    <row r="163" spans="2:6" collapsed="1" x14ac:dyDescent="0.25">
      <c r="B163" s="305" t="s">
        <v>37</v>
      </c>
      <c r="C163" s="306">
        <v>74</v>
      </c>
      <c r="D163" s="306">
        <v>430</v>
      </c>
      <c r="E163" s="298">
        <v>150</v>
      </c>
      <c r="F163" s="298">
        <v>654</v>
      </c>
    </row>
    <row r="164" spans="2:6" hidden="1" outlineLevel="1" x14ac:dyDescent="0.25">
      <c r="B164" s="376">
        <v>41640</v>
      </c>
      <c r="C164" s="335">
        <v>7</v>
      </c>
      <c r="D164" s="335">
        <v>32</v>
      </c>
      <c r="E164" s="374">
        <v>18</v>
      </c>
      <c r="F164" s="335">
        <v>57</v>
      </c>
    </row>
    <row r="165" spans="2:6" hidden="1" outlineLevel="1" x14ac:dyDescent="0.25">
      <c r="B165" s="376">
        <v>41671</v>
      </c>
      <c r="C165" s="335">
        <v>3</v>
      </c>
      <c r="D165" s="335">
        <v>24</v>
      </c>
      <c r="E165" s="374">
        <v>9</v>
      </c>
      <c r="F165" s="335">
        <v>36</v>
      </c>
    </row>
    <row r="166" spans="2:6" hidden="1" outlineLevel="1" x14ac:dyDescent="0.25">
      <c r="B166" s="376">
        <v>41699</v>
      </c>
      <c r="C166" s="335">
        <v>7</v>
      </c>
      <c r="D166" s="335">
        <v>21</v>
      </c>
      <c r="E166" s="374">
        <v>15</v>
      </c>
      <c r="F166" s="335">
        <v>43</v>
      </c>
    </row>
    <row r="167" spans="2:6" hidden="1" outlineLevel="1" x14ac:dyDescent="0.25">
      <c r="B167" s="376">
        <v>41730</v>
      </c>
      <c r="C167" s="335">
        <v>9</v>
      </c>
      <c r="D167" s="335">
        <v>25</v>
      </c>
      <c r="E167" s="374">
        <v>10</v>
      </c>
      <c r="F167" s="335">
        <v>44</v>
      </c>
    </row>
    <row r="168" spans="2:6" hidden="1" outlineLevel="1" x14ac:dyDescent="0.25">
      <c r="B168" s="376">
        <v>41760</v>
      </c>
      <c r="C168" s="335">
        <v>7</v>
      </c>
      <c r="D168" s="335">
        <v>29</v>
      </c>
      <c r="E168" s="374">
        <v>11</v>
      </c>
      <c r="F168" s="335">
        <v>47</v>
      </c>
    </row>
    <row r="169" spans="2:6" hidden="1" outlineLevel="1" x14ac:dyDescent="0.25">
      <c r="B169" s="376">
        <v>41791</v>
      </c>
      <c r="C169" s="335">
        <v>0</v>
      </c>
      <c r="D169" s="335">
        <v>31</v>
      </c>
      <c r="E169" s="374">
        <v>17</v>
      </c>
      <c r="F169" s="335">
        <v>48</v>
      </c>
    </row>
    <row r="170" spans="2:6" hidden="1" outlineLevel="1" x14ac:dyDescent="0.25">
      <c r="B170" s="376">
        <v>41821</v>
      </c>
      <c r="C170" s="335">
        <v>3</v>
      </c>
      <c r="D170" s="335">
        <v>29</v>
      </c>
      <c r="E170" s="374">
        <v>15</v>
      </c>
      <c r="F170" s="335">
        <v>47</v>
      </c>
    </row>
    <row r="171" spans="2:6" hidden="1" outlineLevel="1" x14ac:dyDescent="0.25">
      <c r="B171" s="376">
        <v>41852</v>
      </c>
      <c r="C171" s="335">
        <v>5</v>
      </c>
      <c r="D171" s="335">
        <v>30</v>
      </c>
      <c r="E171" s="374">
        <v>9</v>
      </c>
      <c r="F171" s="335">
        <v>44</v>
      </c>
    </row>
    <row r="172" spans="2:6" hidden="1" outlineLevel="1" x14ac:dyDescent="0.25">
      <c r="B172" s="376">
        <v>41883</v>
      </c>
      <c r="C172" s="335">
        <v>2</v>
      </c>
      <c r="D172" s="335">
        <v>39</v>
      </c>
      <c r="E172" s="374"/>
      <c r="F172" s="335">
        <v>41</v>
      </c>
    </row>
    <row r="173" spans="2:6" hidden="1" outlineLevel="1" x14ac:dyDescent="0.25">
      <c r="B173" s="376">
        <v>41913</v>
      </c>
      <c r="C173" s="335">
        <v>5</v>
      </c>
      <c r="D173" s="335">
        <v>29</v>
      </c>
      <c r="E173" s="374"/>
      <c r="F173" s="335">
        <v>34</v>
      </c>
    </row>
    <row r="174" spans="2:6" hidden="1" outlineLevel="1" x14ac:dyDescent="0.25">
      <c r="B174" s="376">
        <v>41944</v>
      </c>
      <c r="C174" s="335">
        <v>1</v>
      </c>
      <c r="D174" s="335">
        <v>20</v>
      </c>
      <c r="E174" s="374">
        <v>4</v>
      </c>
      <c r="F174" s="335">
        <v>25</v>
      </c>
    </row>
    <row r="175" spans="2:6" hidden="1" outlineLevel="1" x14ac:dyDescent="0.25">
      <c r="B175" s="376">
        <v>41974</v>
      </c>
      <c r="C175" s="335">
        <v>4</v>
      </c>
      <c r="D175" s="335">
        <v>38</v>
      </c>
      <c r="E175" s="374">
        <v>5</v>
      </c>
      <c r="F175" s="335">
        <v>47</v>
      </c>
    </row>
    <row r="176" spans="2:6" collapsed="1" x14ac:dyDescent="0.25">
      <c r="B176" s="305" t="s">
        <v>39</v>
      </c>
      <c r="C176" s="306">
        <v>53</v>
      </c>
      <c r="D176" s="306">
        <v>347</v>
      </c>
      <c r="E176" s="298">
        <v>113</v>
      </c>
      <c r="F176" s="306">
        <v>513</v>
      </c>
    </row>
    <row r="177" spans="2:6" hidden="1" outlineLevel="1" x14ac:dyDescent="0.25">
      <c r="B177" s="376">
        <v>42005</v>
      </c>
      <c r="C177" s="335">
        <v>2</v>
      </c>
      <c r="D177" s="335">
        <v>26</v>
      </c>
      <c r="E177" s="374">
        <v>12</v>
      </c>
      <c r="F177" s="335">
        <v>40</v>
      </c>
    </row>
    <row r="178" spans="2:6" hidden="1" outlineLevel="1" x14ac:dyDescent="0.25">
      <c r="B178" s="376">
        <v>42036</v>
      </c>
      <c r="C178" s="335">
        <v>1</v>
      </c>
      <c r="D178" s="335">
        <v>21</v>
      </c>
      <c r="E178" s="374">
        <v>15</v>
      </c>
      <c r="F178" s="335">
        <v>37</v>
      </c>
    </row>
    <row r="179" spans="2:6" hidden="1" outlineLevel="1" x14ac:dyDescent="0.25">
      <c r="B179" s="376">
        <v>42064</v>
      </c>
      <c r="C179" s="335">
        <v>7</v>
      </c>
      <c r="D179" s="335">
        <v>24</v>
      </c>
      <c r="E179" s="374">
        <v>8</v>
      </c>
      <c r="F179" s="335">
        <v>39</v>
      </c>
    </row>
    <row r="180" spans="2:6" hidden="1" outlineLevel="1" x14ac:dyDescent="0.25">
      <c r="B180" s="376">
        <v>42095</v>
      </c>
      <c r="C180" s="335">
        <v>7</v>
      </c>
      <c r="D180" s="335">
        <v>21</v>
      </c>
      <c r="E180" s="374">
        <v>5</v>
      </c>
      <c r="F180" s="335">
        <v>33</v>
      </c>
    </row>
    <row r="181" spans="2:6" hidden="1" outlineLevel="1" x14ac:dyDescent="0.25">
      <c r="B181" s="376">
        <v>42125</v>
      </c>
      <c r="C181" s="335"/>
      <c r="D181" s="335">
        <v>18</v>
      </c>
      <c r="E181" s="374">
        <v>13</v>
      </c>
      <c r="F181" s="335">
        <v>31</v>
      </c>
    </row>
    <row r="182" spans="2:6" hidden="1" outlineLevel="1" x14ac:dyDescent="0.25">
      <c r="B182" s="376">
        <v>42156</v>
      </c>
      <c r="C182" s="335">
        <v>5</v>
      </c>
      <c r="D182" s="335">
        <v>22</v>
      </c>
      <c r="E182" s="374">
        <v>11</v>
      </c>
      <c r="F182" s="335">
        <v>38</v>
      </c>
    </row>
    <row r="183" spans="2:6" hidden="1" outlineLevel="1" x14ac:dyDescent="0.25">
      <c r="B183" s="376">
        <v>42186</v>
      </c>
      <c r="C183" s="335">
        <v>1</v>
      </c>
      <c r="D183" s="335">
        <v>22</v>
      </c>
      <c r="E183" s="374">
        <v>10</v>
      </c>
      <c r="F183" s="335">
        <v>33</v>
      </c>
    </row>
    <row r="184" spans="2:6" hidden="1" outlineLevel="1" x14ac:dyDescent="0.25">
      <c r="B184" s="376">
        <v>42217</v>
      </c>
      <c r="C184" s="335">
        <v>4</v>
      </c>
      <c r="D184" s="335">
        <v>27</v>
      </c>
      <c r="E184" s="374">
        <v>6</v>
      </c>
      <c r="F184" s="335">
        <v>37</v>
      </c>
    </row>
    <row r="185" spans="2:6" hidden="1" outlineLevel="1" x14ac:dyDescent="0.25">
      <c r="B185" s="376">
        <v>42248</v>
      </c>
      <c r="C185" s="335">
        <v>1</v>
      </c>
      <c r="D185" s="335">
        <v>32</v>
      </c>
      <c r="E185" s="374">
        <v>7</v>
      </c>
      <c r="F185" s="335">
        <v>40</v>
      </c>
    </row>
    <row r="186" spans="2:6" hidden="1" outlineLevel="1" x14ac:dyDescent="0.25">
      <c r="B186" s="376">
        <v>42278</v>
      </c>
      <c r="C186" s="335">
        <v>9</v>
      </c>
      <c r="D186" s="335">
        <v>21</v>
      </c>
      <c r="E186" s="374">
        <v>9</v>
      </c>
      <c r="F186" s="335">
        <v>39</v>
      </c>
    </row>
    <row r="187" spans="2:6" hidden="1" outlineLevel="1" x14ac:dyDescent="0.25">
      <c r="B187" s="376">
        <v>42309</v>
      </c>
      <c r="C187" s="335">
        <v>7</v>
      </c>
      <c r="D187" s="335">
        <v>26</v>
      </c>
      <c r="E187" s="374">
        <v>4</v>
      </c>
      <c r="F187" s="335">
        <v>37</v>
      </c>
    </row>
    <row r="188" spans="2:6" hidden="1" outlineLevel="1" x14ac:dyDescent="0.25">
      <c r="B188" s="376">
        <v>42339</v>
      </c>
      <c r="C188" s="335">
        <v>6</v>
      </c>
      <c r="D188" s="335">
        <v>21</v>
      </c>
      <c r="E188" s="374">
        <v>6</v>
      </c>
      <c r="F188" s="335">
        <v>33</v>
      </c>
    </row>
    <row r="189" spans="2:6" collapsed="1" x14ac:dyDescent="0.25">
      <c r="B189" s="305" t="s">
        <v>41</v>
      </c>
      <c r="C189" s="306">
        <v>50</v>
      </c>
      <c r="D189" s="306">
        <v>281</v>
      </c>
      <c r="E189" s="306">
        <v>106</v>
      </c>
      <c r="F189" s="306">
        <v>437</v>
      </c>
    </row>
    <row r="190" spans="2:6" hidden="1" outlineLevel="1" x14ac:dyDescent="0.25">
      <c r="B190" s="376">
        <v>42370</v>
      </c>
      <c r="C190" s="335">
        <v>4</v>
      </c>
      <c r="D190" s="335">
        <v>19</v>
      </c>
      <c r="E190" s="374">
        <v>10</v>
      </c>
      <c r="F190" s="335">
        <v>33</v>
      </c>
    </row>
    <row r="191" spans="2:6" hidden="1" outlineLevel="1" x14ac:dyDescent="0.25">
      <c r="B191" s="376">
        <v>42401</v>
      </c>
      <c r="C191" s="335">
        <v>17</v>
      </c>
      <c r="D191" s="335">
        <v>16</v>
      </c>
      <c r="E191" s="374">
        <v>0</v>
      </c>
      <c r="F191" s="335">
        <v>33</v>
      </c>
    </row>
    <row r="192" spans="2:6" hidden="1" outlineLevel="1" x14ac:dyDescent="0.25">
      <c r="B192" s="376">
        <v>42430</v>
      </c>
      <c r="C192" s="335">
        <v>14</v>
      </c>
      <c r="D192" s="335">
        <v>13</v>
      </c>
      <c r="E192" s="374">
        <v>13</v>
      </c>
      <c r="F192" s="335">
        <v>40</v>
      </c>
    </row>
    <row r="193" spans="2:6" hidden="1" outlineLevel="1" x14ac:dyDescent="0.25">
      <c r="B193" s="376">
        <v>42461</v>
      </c>
      <c r="C193" s="335">
        <v>8</v>
      </c>
      <c r="D193" s="335">
        <v>19</v>
      </c>
      <c r="E193" s="374">
        <v>12</v>
      </c>
      <c r="F193" s="335">
        <v>39</v>
      </c>
    </row>
    <row r="194" spans="2:6" hidden="1" outlineLevel="1" x14ac:dyDescent="0.25">
      <c r="B194" s="376">
        <v>42491</v>
      </c>
      <c r="C194" s="335">
        <v>7</v>
      </c>
      <c r="D194" s="335">
        <v>21</v>
      </c>
      <c r="E194" s="374">
        <v>12</v>
      </c>
      <c r="F194" s="335">
        <v>40</v>
      </c>
    </row>
    <row r="195" spans="2:6" hidden="1" outlineLevel="1" x14ac:dyDescent="0.25">
      <c r="B195" s="376">
        <v>42522</v>
      </c>
      <c r="C195" s="335">
        <v>7</v>
      </c>
      <c r="D195" s="335">
        <v>19</v>
      </c>
      <c r="E195" s="374">
        <v>11</v>
      </c>
      <c r="F195" s="335">
        <v>37</v>
      </c>
    </row>
    <row r="196" spans="2:6" hidden="1" outlineLevel="1" x14ac:dyDescent="0.25">
      <c r="B196" s="376">
        <v>42552</v>
      </c>
      <c r="C196" s="335">
        <v>18</v>
      </c>
      <c r="D196" s="335">
        <v>16</v>
      </c>
      <c r="E196" s="374">
        <v>12</v>
      </c>
      <c r="F196" s="335">
        <v>46</v>
      </c>
    </row>
    <row r="197" spans="2:6" hidden="1" outlineLevel="1" x14ac:dyDescent="0.25">
      <c r="B197" s="376">
        <v>42583</v>
      </c>
      <c r="C197" s="335">
        <v>12</v>
      </c>
      <c r="D197" s="335">
        <v>18</v>
      </c>
      <c r="E197" s="374">
        <v>17</v>
      </c>
      <c r="F197" s="335">
        <v>47</v>
      </c>
    </row>
    <row r="198" spans="2:6" hidden="1" outlineLevel="1" x14ac:dyDescent="0.25">
      <c r="B198" s="376">
        <v>42614</v>
      </c>
      <c r="C198" s="335">
        <v>6</v>
      </c>
      <c r="D198" s="335">
        <v>19</v>
      </c>
      <c r="E198" s="374">
        <v>13</v>
      </c>
      <c r="F198" s="335">
        <v>38</v>
      </c>
    </row>
    <row r="199" spans="2:6" hidden="1" outlineLevel="1" x14ac:dyDescent="0.25">
      <c r="B199" s="376">
        <v>42644</v>
      </c>
      <c r="C199" s="335">
        <v>10</v>
      </c>
      <c r="D199" s="335">
        <v>15</v>
      </c>
      <c r="E199" s="374">
        <v>11</v>
      </c>
      <c r="F199" s="335">
        <v>36</v>
      </c>
    </row>
    <row r="200" spans="2:6" hidden="1" outlineLevel="1" x14ac:dyDescent="0.25">
      <c r="B200" s="376">
        <v>42675</v>
      </c>
      <c r="C200" s="335">
        <v>14</v>
      </c>
      <c r="D200" s="335">
        <v>16</v>
      </c>
      <c r="E200" s="374">
        <v>12</v>
      </c>
      <c r="F200" s="335">
        <v>42</v>
      </c>
    </row>
    <row r="201" spans="2:6" hidden="1" outlineLevel="1" x14ac:dyDescent="0.25">
      <c r="B201" s="376">
        <v>42705</v>
      </c>
      <c r="C201" s="335">
        <v>14</v>
      </c>
      <c r="D201" s="335">
        <v>16</v>
      </c>
      <c r="E201" s="374">
        <v>20</v>
      </c>
      <c r="F201" s="335">
        <v>50</v>
      </c>
    </row>
    <row r="202" spans="2:6" collapsed="1" x14ac:dyDescent="0.25">
      <c r="B202" s="305" t="s">
        <v>58</v>
      </c>
      <c r="C202" s="306">
        <v>131</v>
      </c>
      <c r="D202" s="306">
        <v>207</v>
      </c>
      <c r="E202" s="306">
        <v>143</v>
      </c>
      <c r="F202" s="306">
        <v>481</v>
      </c>
    </row>
    <row r="203" spans="2:6" hidden="1" outlineLevel="1" x14ac:dyDescent="0.25">
      <c r="B203" s="376">
        <v>42736</v>
      </c>
      <c r="C203" s="335">
        <v>8</v>
      </c>
      <c r="D203" s="335">
        <v>17</v>
      </c>
      <c r="E203" s="374">
        <v>15</v>
      </c>
      <c r="F203" s="335">
        <v>40</v>
      </c>
    </row>
    <row r="204" spans="2:6" hidden="1" outlineLevel="1" x14ac:dyDescent="0.25">
      <c r="B204" s="376">
        <v>42767</v>
      </c>
      <c r="C204" s="335">
        <v>9</v>
      </c>
      <c r="D204" s="335">
        <v>11</v>
      </c>
      <c r="E204" s="374">
        <v>12</v>
      </c>
      <c r="F204" s="335">
        <v>32</v>
      </c>
    </row>
    <row r="205" spans="2:6" hidden="1" outlineLevel="1" x14ac:dyDescent="0.25">
      <c r="B205" s="376">
        <v>42795</v>
      </c>
      <c r="C205" s="335">
        <v>9</v>
      </c>
      <c r="D205" s="335">
        <v>13</v>
      </c>
      <c r="E205" s="374">
        <v>15</v>
      </c>
      <c r="F205" s="335">
        <v>37</v>
      </c>
    </row>
    <row r="206" spans="2:6" hidden="1" outlineLevel="1" x14ac:dyDescent="0.25">
      <c r="B206" s="376">
        <v>42826</v>
      </c>
      <c r="C206" s="335">
        <v>3</v>
      </c>
      <c r="D206" s="335">
        <v>17</v>
      </c>
      <c r="E206" s="374">
        <v>7</v>
      </c>
      <c r="F206" s="335">
        <v>27</v>
      </c>
    </row>
    <row r="207" spans="2:6" hidden="1" outlineLevel="1" x14ac:dyDescent="0.25">
      <c r="B207" s="376">
        <v>42856</v>
      </c>
      <c r="C207" s="335">
        <v>8</v>
      </c>
      <c r="D207" s="335">
        <v>18</v>
      </c>
      <c r="E207" s="374">
        <v>10</v>
      </c>
      <c r="F207" s="335">
        <v>36</v>
      </c>
    </row>
    <row r="208" spans="2:6" hidden="1" outlineLevel="1" x14ac:dyDescent="0.25">
      <c r="B208" s="376">
        <v>42887</v>
      </c>
      <c r="C208" s="335">
        <v>12</v>
      </c>
      <c r="D208" s="335">
        <v>19</v>
      </c>
      <c r="E208" s="374">
        <v>7</v>
      </c>
      <c r="F208" s="335">
        <v>38</v>
      </c>
    </row>
    <row r="209" spans="2:6" hidden="1" outlineLevel="1" x14ac:dyDescent="0.25">
      <c r="B209" s="376">
        <v>42917</v>
      </c>
      <c r="C209" s="335">
        <v>8</v>
      </c>
      <c r="D209" s="335">
        <v>12</v>
      </c>
      <c r="E209" s="374">
        <v>11</v>
      </c>
      <c r="F209" s="335">
        <v>31</v>
      </c>
    </row>
    <row r="210" spans="2:6" hidden="1" outlineLevel="1" x14ac:dyDescent="0.25">
      <c r="B210" s="376">
        <v>42948</v>
      </c>
      <c r="C210" s="335">
        <v>10</v>
      </c>
      <c r="D210" s="335">
        <v>13</v>
      </c>
      <c r="E210" s="374">
        <v>11</v>
      </c>
      <c r="F210" s="335">
        <v>34</v>
      </c>
    </row>
    <row r="211" spans="2:6" hidden="1" outlineLevel="1" x14ac:dyDescent="0.25">
      <c r="B211" s="376">
        <v>42979</v>
      </c>
      <c r="C211" s="335">
        <v>10</v>
      </c>
      <c r="D211" s="335">
        <v>9</v>
      </c>
      <c r="E211" s="374">
        <v>17</v>
      </c>
      <c r="F211" s="335">
        <v>36</v>
      </c>
    </row>
    <row r="212" spans="2:6" hidden="1" outlineLevel="1" x14ac:dyDescent="0.25">
      <c r="B212" s="376">
        <v>43009</v>
      </c>
      <c r="C212" s="335">
        <v>6</v>
      </c>
      <c r="D212" s="335">
        <v>14</v>
      </c>
      <c r="E212" s="374">
        <v>13</v>
      </c>
      <c r="F212" s="335">
        <v>33</v>
      </c>
    </row>
    <row r="213" spans="2:6" hidden="1" outlineLevel="1" x14ac:dyDescent="0.25">
      <c r="B213" s="376">
        <v>43040</v>
      </c>
      <c r="C213" s="335">
        <v>5</v>
      </c>
      <c r="D213" s="335">
        <v>23</v>
      </c>
      <c r="E213" s="374">
        <v>12</v>
      </c>
      <c r="F213" s="335">
        <v>40</v>
      </c>
    </row>
    <row r="214" spans="2:6" hidden="1" outlineLevel="1" x14ac:dyDescent="0.25">
      <c r="B214" s="376">
        <v>43070</v>
      </c>
      <c r="C214" s="335">
        <v>19</v>
      </c>
      <c r="D214" s="335">
        <v>22</v>
      </c>
      <c r="E214" s="374">
        <v>15</v>
      </c>
      <c r="F214" s="335">
        <v>56</v>
      </c>
    </row>
    <row r="215" spans="2:6" collapsed="1" x14ac:dyDescent="0.25">
      <c r="B215" s="305" t="s">
        <v>61</v>
      </c>
      <c r="C215" s="306">
        <v>107</v>
      </c>
      <c r="D215" s="306">
        <v>188</v>
      </c>
      <c r="E215" s="306">
        <v>145</v>
      </c>
      <c r="F215" s="306">
        <v>440</v>
      </c>
    </row>
    <row r="216" spans="2:6" hidden="1" outlineLevel="1" x14ac:dyDescent="0.25">
      <c r="B216" s="376">
        <v>43101</v>
      </c>
      <c r="C216" s="335">
        <v>13</v>
      </c>
      <c r="D216" s="335">
        <v>23</v>
      </c>
      <c r="E216" s="374">
        <v>10</v>
      </c>
      <c r="F216" s="335">
        <v>46</v>
      </c>
    </row>
    <row r="217" spans="2:6" hidden="1" outlineLevel="1" x14ac:dyDescent="0.25">
      <c r="B217" s="376">
        <v>43132</v>
      </c>
      <c r="C217" s="335">
        <v>16</v>
      </c>
      <c r="D217" s="335">
        <v>22</v>
      </c>
      <c r="E217" s="374">
        <v>23</v>
      </c>
      <c r="F217" s="335">
        <v>61</v>
      </c>
    </row>
    <row r="218" spans="2:6" hidden="1" outlineLevel="1" x14ac:dyDescent="0.25">
      <c r="B218" s="376">
        <v>43160</v>
      </c>
      <c r="C218" s="335">
        <v>14</v>
      </c>
      <c r="D218" s="335">
        <v>19</v>
      </c>
      <c r="E218" s="374">
        <v>11</v>
      </c>
      <c r="F218" s="335">
        <v>44</v>
      </c>
    </row>
    <row r="219" spans="2:6" hidden="1" outlineLevel="1" x14ac:dyDescent="0.25">
      <c r="B219" s="376">
        <v>43191</v>
      </c>
      <c r="C219" s="335">
        <v>10</v>
      </c>
      <c r="D219" s="335">
        <v>18</v>
      </c>
      <c r="E219" s="374">
        <v>11</v>
      </c>
      <c r="F219" s="335">
        <v>39</v>
      </c>
    </row>
    <row r="220" spans="2:6" hidden="1" outlineLevel="1" x14ac:dyDescent="0.25">
      <c r="B220" s="376">
        <v>43221</v>
      </c>
      <c r="C220" s="335">
        <v>22</v>
      </c>
      <c r="D220" s="335">
        <v>9</v>
      </c>
      <c r="E220" s="374">
        <v>9</v>
      </c>
      <c r="F220" s="335">
        <v>40</v>
      </c>
    </row>
    <row r="221" spans="2:6" hidden="1" outlineLevel="1" x14ac:dyDescent="0.25">
      <c r="B221" s="376">
        <v>43252</v>
      </c>
      <c r="C221" s="335">
        <v>27</v>
      </c>
      <c r="D221" s="335">
        <v>18</v>
      </c>
      <c r="E221" s="374">
        <v>10</v>
      </c>
      <c r="F221" s="335">
        <v>55</v>
      </c>
    </row>
    <row r="222" spans="2:6" hidden="1" outlineLevel="1" x14ac:dyDescent="0.25">
      <c r="B222" s="376">
        <v>43282</v>
      </c>
      <c r="C222" s="335">
        <v>15</v>
      </c>
      <c r="D222" s="335">
        <v>20</v>
      </c>
      <c r="E222" s="374">
        <v>19</v>
      </c>
      <c r="F222" s="335">
        <v>54</v>
      </c>
    </row>
    <row r="223" spans="2:6" hidden="1" outlineLevel="1" x14ac:dyDescent="0.25">
      <c r="B223" s="376">
        <v>43313</v>
      </c>
      <c r="C223" s="335">
        <v>17</v>
      </c>
      <c r="D223" s="335">
        <v>40</v>
      </c>
      <c r="E223" s="374">
        <v>17</v>
      </c>
      <c r="F223" s="335">
        <v>74</v>
      </c>
    </row>
    <row r="224" spans="2:6" hidden="1" outlineLevel="1" x14ac:dyDescent="0.25">
      <c r="B224" s="376">
        <v>43344</v>
      </c>
      <c r="C224" s="335">
        <v>16</v>
      </c>
      <c r="D224" s="335">
        <v>31</v>
      </c>
      <c r="E224" s="374">
        <v>3</v>
      </c>
      <c r="F224" s="335">
        <v>50</v>
      </c>
    </row>
    <row r="225" spans="2:6" hidden="1" outlineLevel="1" x14ac:dyDescent="0.25">
      <c r="B225" s="376">
        <v>43374</v>
      </c>
      <c r="C225" s="335">
        <v>4</v>
      </c>
      <c r="D225" s="335">
        <v>22</v>
      </c>
      <c r="E225" s="374">
        <v>5</v>
      </c>
      <c r="F225" s="335">
        <v>31</v>
      </c>
    </row>
    <row r="226" spans="2:6" hidden="1" outlineLevel="1" x14ac:dyDescent="0.25">
      <c r="B226" s="376">
        <v>43405</v>
      </c>
      <c r="C226" s="335">
        <v>3</v>
      </c>
      <c r="D226" s="335">
        <v>16</v>
      </c>
      <c r="E226" s="374">
        <v>2</v>
      </c>
      <c r="F226" s="335">
        <v>21</v>
      </c>
    </row>
    <row r="227" spans="2:6" hidden="1" outlineLevel="1" x14ac:dyDescent="0.25">
      <c r="B227" s="376">
        <v>43435</v>
      </c>
      <c r="C227" s="335">
        <v>21</v>
      </c>
      <c r="D227" s="335">
        <v>40</v>
      </c>
      <c r="E227" s="374">
        <v>2</v>
      </c>
      <c r="F227" s="335">
        <v>63</v>
      </c>
    </row>
    <row r="228" spans="2:6" collapsed="1" x14ac:dyDescent="0.25">
      <c r="B228" s="305" t="s">
        <v>62</v>
      </c>
      <c r="C228" s="306">
        <v>178</v>
      </c>
      <c r="D228" s="306">
        <v>278</v>
      </c>
      <c r="E228" s="306">
        <v>122</v>
      </c>
      <c r="F228" s="306">
        <v>578</v>
      </c>
    </row>
    <row r="229" spans="2:6" hidden="1" outlineLevel="1" x14ac:dyDescent="0.25">
      <c r="B229" s="376">
        <v>43466</v>
      </c>
      <c r="C229" s="335">
        <v>19</v>
      </c>
      <c r="D229" s="335">
        <v>25</v>
      </c>
      <c r="E229" s="374">
        <v>2</v>
      </c>
      <c r="F229" s="335">
        <v>46</v>
      </c>
    </row>
    <row r="230" spans="2:6" hidden="1" outlineLevel="1" x14ac:dyDescent="0.25">
      <c r="B230" s="376">
        <v>43497</v>
      </c>
      <c r="C230" s="335">
        <v>15</v>
      </c>
      <c r="D230" s="335">
        <v>30</v>
      </c>
      <c r="E230" s="374">
        <v>2</v>
      </c>
      <c r="F230" s="335">
        <v>47</v>
      </c>
    </row>
    <row r="231" spans="2:6" hidden="1" outlineLevel="1" x14ac:dyDescent="0.25">
      <c r="B231" s="376">
        <v>43525</v>
      </c>
      <c r="C231" s="335">
        <v>9</v>
      </c>
      <c r="D231" s="335">
        <v>30</v>
      </c>
      <c r="E231" s="374">
        <v>3</v>
      </c>
      <c r="F231" s="335">
        <v>42</v>
      </c>
    </row>
    <row r="232" spans="2:6" hidden="1" outlineLevel="1" x14ac:dyDescent="0.25">
      <c r="B232" s="376">
        <v>43556</v>
      </c>
      <c r="C232" s="335">
        <v>8</v>
      </c>
      <c r="D232" s="335">
        <v>39</v>
      </c>
      <c r="E232" s="374">
        <v>2</v>
      </c>
      <c r="F232" s="335">
        <v>49</v>
      </c>
    </row>
    <row r="233" spans="2:6" hidden="1" outlineLevel="1" x14ac:dyDescent="0.25">
      <c r="B233" s="376">
        <v>43586</v>
      </c>
      <c r="C233" s="335">
        <v>27</v>
      </c>
      <c r="D233" s="335">
        <v>34</v>
      </c>
      <c r="E233" s="374">
        <v>10</v>
      </c>
      <c r="F233" s="335">
        <v>71</v>
      </c>
    </row>
    <row r="234" spans="2:6" hidden="1" outlineLevel="1" x14ac:dyDescent="0.25">
      <c r="B234" s="376">
        <v>43617</v>
      </c>
      <c r="C234" s="335">
        <v>22</v>
      </c>
      <c r="D234" s="335">
        <v>41</v>
      </c>
      <c r="E234" s="374">
        <v>5</v>
      </c>
      <c r="F234" s="335">
        <v>68</v>
      </c>
    </row>
    <row r="235" spans="2:6" hidden="1" outlineLevel="1" x14ac:dyDescent="0.25">
      <c r="B235" s="376">
        <v>43647</v>
      </c>
      <c r="C235" s="335">
        <v>25</v>
      </c>
      <c r="D235" s="335">
        <v>40</v>
      </c>
      <c r="E235" s="374">
        <v>8</v>
      </c>
      <c r="F235" s="335">
        <v>73</v>
      </c>
    </row>
    <row r="236" spans="2:6" hidden="1" outlineLevel="1" x14ac:dyDescent="0.25">
      <c r="B236" s="376">
        <v>43678</v>
      </c>
      <c r="C236" s="335">
        <v>17</v>
      </c>
      <c r="D236" s="335">
        <v>50</v>
      </c>
      <c r="E236" s="374">
        <v>5</v>
      </c>
      <c r="F236" s="335">
        <v>72</v>
      </c>
    </row>
    <row r="237" spans="2:6" hidden="1" outlineLevel="1" x14ac:dyDescent="0.25">
      <c r="B237" s="376">
        <v>43709</v>
      </c>
      <c r="C237" s="335">
        <v>19</v>
      </c>
      <c r="D237" s="335">
        <v>54</v>
      </c>
      <c r="E237" s="374">
        <v>8</v>
      </c>
      <c r="F237" s="335">
        <v>81</v>
      </c>
    </row>
    <row r="238" spans="2:6" hidden="1" outlineLevel="1" x14ac:dyDescent="0.25">
      <c r="B238" s="376">
        <v>43739</v>
      </c>
      <c r="C238" s="335">
        <v>7</v>
      </c>
      <c r="D238" s="335">
        <v>24</v>
      </c>
      <c r="E238" s="374">
        <v>2</v>
      </c>
      <c r="F238" s="335">
        <v>33</v>
      </c>
    </row>
    <row r="239" spans="2:6" hidden="1" outlineLevel="1" x14ac:dyDescent="0.25">
      <c r="B239" s="376">
        <v>43770</v>
      </c>
      <c r="C239" s="335">
        <v>16</v>
      </c>
      <c r="D239" s="335">
        <v>57</v>
      </c>
      <c r="E239" s="374">
        <v>5</v>
      </c>
      <c r="F239" s="335">
        <v>78</v>
      </c>
    </row>
    <row r="240" spans="2:6" hidden="1" outlineLevel="1" x14ac:dyDescent="0.25">
      <c r="B240" s="376">
        <v>43800</v>
      </c>
      <c r="C240" s="335">
        <v>1</v>
      </c>
      <c r="D240" s="335">
        <v>72</v>
      </c>
      <c r="E240" s="374">
        <v>4</v>
      </c>
      <c r="F240" s="335">
        <v>77</v>
      </c>
    </row>
    <row r="241" spans="2:6" collapsed="1" x14ac:dyDescent="0.25">
      <c r="B241" s="305" t="s">
        <v>63</v>
      </c>
      <c r="C241" s="306">
        <v>185</v>
      </c>
      <c r="D241" s="306">
        <v>496</v>
      </c>
      <c r="E241" s="306">
        <v>56</v>
      </c>
      <c r="F241" s="306">
        <v>737</v>
      </c>
    </row>
    <row r="242" spans="2:6" hidden="1" outlineLevel="1" x14ac:dyDescent="0.25">
      <c r="B242" s="376">
        <v>43831</v>
      </c>
      <c r="C242" s="335">
        <v>5</v>
      </c>
      <c r="D242" s="335">
        <v>54</v>
      </c>
      <c r="E242" s="374">
        <v>24</v>
      </c>
      <c r="F242" s="335">
        <v>83</v>
      </c>
    </row>
    <row r="243" spans="2:6" hidden="1" outlineLevel="1" x14ac:dyDescent="0.25">
      <c r="B243" s="376">
        <v>43862</v>
      </c>
      <c r="C243" s="335">
        <v>7</v>
      </c>
      <c r="D243" s="335">
        <v>70</v>
      </c>
      <c r="E243" s="374">
        <v>14</v>
      </c>
      <c r="F243" s="335">
        <v>91</v>
      </c>
    </row>
    <row r="244" spans="2:6" hidden="1" outlineLevel="1" x14ac:dyDescent="0.25">
      <c r="B244" s="376">
        <v>43891</v>
      </c>
      <c r="C244" s="335">
        <v>6</v>
      </c>
      <c r="D244" s="335">
        <v>59</v>
      </c>
      <c r="E244" s="374">
        <v>8</v>
      </c>
      <c r="F244" s="335">
        <v>73</v>
      </c>
    </row>
    <row r="245" spans="2:6" hidden="1" outlineLevel="1" x14ac:dyDescent="0.25">
      <c r="B245" s="376">
        <v>43922</v>
      </c>
      <c r="C245" s="335">
        <v>3</v>
      </c>
      <c r="D245" s="335">
        <v>8</v>
      </c>
      <c r="E245" s="374">
        <v>2</v>
      </c>
      <c r="F245" s="335">
        <v>13</v>
      </c>
    </row>
    <row r="246" spans="2:6" hidden="1" outlineLevel="1" x14ac:dyDescent="0.25">
      <c r="B246" s="376">
        <v>43952</v>
      </c>
      <c r="C246" s="335">
        <v>5</v>
      </c>
      <c r="D246" s="335">
        <v>7</v>
      </c>
      <c r="E246" s="374">
        <v>4</v>
      </c>
      <c r="F246" s="335">
        <v>16</v>
      </c>
    </row>
    <row r="247" spans="2:6" hidden="1" outlineLevel="1" x14ac:dyDescent="0.25">
      <c r="B247" s="376">
        <v>43983</v>
      </c>
      <c r="C247" s="335">
        <v>4</v>
      </c>
      <c r="D247" s="335">
        <v>9</v>
      </c>
      <c r="E247" s="374">
        <v>3</v>
      </c>
      <c r="F247" s="335">
        <v>16</v>
      </c>
    </row>
    <row r="248" spans="2:6" hidden="1" outlineLevel="1" x14ac:dyDescent="0.25">
      <c r="B248" s="376">
        <v>44013</v>
      </c>
      <c r="C248" s="335">
        <v>5</v>
      </c>
      <c r="D248" s="335">
        <v>9</v>
      </c>
      <c r="E248" s="374">
        <v>12</v>
      </c>
      <c r="F248" s="335">
        <v>26</v>
      </c>
    </row>
    <row r="249" spans="2:6" hidden="1" outlineLevel="1" x14ac:dyDescent="0.25">
      <c r="B249" s="376">
        <v>44044</v>
      </c>
      <c r="C249" s="335">
        <v>2</v>
      </c>
      <c r="D249" s="335">
        <v>14</v>
      </c>
      <c r="E249" s="374">
        <v>11</v>
      </c>
      <c r="F249" s="335">
        <v>27</v>
      </c>
    </row>
    <row r="250" spans="2:6" hidden="1" outlineLevel="1" x14ac:dyDescent="0.25">
      <c r="B250" s="376">
        <v>44075</v>
      </c>
      <c r="C250" s="335">
        <v>7</v>
      </c>
      <c r="D250" s="335">
        <v>22</v>
      </c>
      <c r="E250" s="374">
        <v>3</v>
      </c>
      <c r="F250" s="335">
        <v>32</v>
      </c>
    </row>
    <row r="251" spans="2:6" hidden="1" outlineLevel="1" x14ac:dyDescent="0.25">
      <c r="B251" s="376">
        <v>44105</v>
      </c>
      <c r="C251" s="335">
        <v>2</v>
      </c>
      <c r="D251" s="335">
        <v>38</v>
      </c>
      <c r="E251" s="374">
        <v>5</v>
      </c>
      <c r="F251" s="335">
        <v>45</v>
      </c>
    </row>
    <row r="252" spans="2:6" hidden="1" outlineLevel="1" x14ac:dyDescent="0.25">
      <c r="B252" s="376">
        <v>44136</v>
      </c>
      <c r="C252" s="335">
        <v>0</v>
      </c>
      <c r="D252" s="335">
        <v>16</v>
      </c>
      <c r="E252" s="374">
        <v>5</v>
      </c>
      <c r="F252" s="335">
        <v>21</v>
      </c>
    </row>
    <row r="253" spans="2:6" hidden="1" outlineLevel="1" x14ac:dyDescent="0.25">
      <c r="B253" s="376">
        <v>44166</v>
      </c>
      <c r="C253" s="335">
        <v>0</v>
      </c>
      <c r="D253" s="335">
        <v>11</v>
      </c>
      <c r="E253" s="374">
        <v>3</v>
      </c>
      <c r="F253" s="335">
        <v>14</v>
      </c>
    </row>
    <row r="254" spans="2:6" collapsed="1" x14ac:dyDescent="0.25">
      <c r="B254" s="303" t="s">
        <v>67</v>
      </c>
      <c r="C254" s="306">
        <v>46</v>
      </c>
      <c r="D254" s="306">
        <v>317</v>
      </c>
      <c r="E254" s="306">
        <v>94</v>
      </c>
      <c r="F254" s="306">
        <v>457</v>
      </c>
    </row>
    <row r="255" spans="2:6" hidden="1" outlineLevel="1" x14ac:dyDescent="0.25">
      <c r="B255" s="376">
        <v>44197</v>
      </c>
      <c r="C255" s="335">
        <v>1</v>
      </c>
      <c r="D255" s="335">
        <v>19</v>
      </c>
      <c r="E255" s="374">
        <v>1</v>
      </c>
      <c r="F255" s="335">
        <v>21</v>
      </c>
    </row>
    <row r="256" spans="2:6" hidden="1" outlineLevel="1" x14ac:dyDescent="0.25">
      <c r="B256" s="376">
        <v>44228</v>
      </c>
      <c r="C256" s="335">
        <v>0</v>
      </c>
      <c r="D256" s="335">
        <v>12</v>
      </c>
      <c r="E256" s="374">
        <v>0</v>
      </c>
      <c r="F256" s="335">
        <v>12</v>
      </c>
    </row>
    <row r="257" spans="2:6" hidden="1" outlineLevel="1" x14ac:dyDescent="0.25">
      <c r="B257" s="376">
        <v>44256</v>
      </c>
      <c r="C257" s="335">
        <v>2</v>
      </c>
      <c r="D257" s="335">
        <v>13</v>
      </c>
      <c r="E257" s="374">
        <v>2</v>
      </c>
      <c r="F257" s="335">
        <v>17</v>
      </c>
    </row>
    <row r="258" spans="2:6" hidden="1" outlineLevel="1" x14ac:dyDescent="0.25">
      <c r="B258" s="376">
        <v>44287</v>
      </c>
      <c r="C258" s="335">
        <v>0</v>
      </c>
      <c r="D258" s="335">
        <v>9</v>
      </c>
      <c r="E258" s="374">
        <v>0</v>
      </c>
      <c r="F258" s="335">
        <v>9</v>
      </c>
    </row>
    <row r="259" spans="2:6" hidden="1" outlineLevel="1" x14ac:dyDescent="0.25">
      <c r="B259" s="376">
        <v>44317</v>
      </c>
      <c r="C259" s="335">
        <v>1</v>
      </c>
      <c r="D259" s="335">
        <v>28</v>
      </c>
      <c r="E259" s="374">
        <v>8</v>
      </c>
      <c r="F259" s="335">
        <v>37</v>
      </c>
    </row>
    <row r="260" spans="2:6" hidden="1" outlineLevel="1" x14ac:dyDescent="0.25">
      <c r="B260" s="376">
        <v>44348</v>
      </c>
      <c r="C260" s="335">
        <v>3</v>
      </c>
      <c r="D260" s="335">
        <v>35</v>
      </c>
      <c r="E260" s="374">
        <v>16</v>
      </c>
      <c r="F260" s="335">
        <v>54</v>
      </c>
    </row>
    <row r="261" spans="2:6" hidden="1" outlineLevel="1" x14ac:dyDescent="0.25">
      <c r="B261" s="376">
        <v>44378</v>
      </c>
      <c r="C261" s="335">
        <v>4</v>
      </c>
      <c r="D261" s="335">
        <v>9</v>
      </c>
      <c r="E261" s="374">
        <v>1</v>
      </c>
      <c r="F261" s="335">
        <v>14</v>
      </c>
    </row>
    <row r="262" spans="2:6" hidden="1" outlineLevel="1" x14ac:dyDescent="0.25">
      <c r="B262" s="376">
        <v>44409</v>
      </c>
      <c r="C262" s="335">
        <v>1</v>
      </c>
      <c r="D262" s="335">
        <v>38</v>
      </c>
      <c r="E262" s="374">
        <v>11</v>
      </c>
      <c r="F262" s="335">
        <v>50</v>
      </c>
    </row>
    <row r="263" spans="2:6" hidden="1" outlineLevel="1" x14ac:dyDescent="0.25">
      <c r="B263" s="376">
        <v>44440</v>
      </c>
      <c r="C263" s="335">
        <v>2</v>
      </c>
      <c r="D263" s="335">
        <v>15</v>
      </c>
      <c r="E263" s="374">
        <v>0</v>
      </c>
      <c r="F263" s="335">
        <v>17</v>
      </c>
    </row>
    <row r="264" spans="2:6" hidden="1" outlineLevel="1" x14ac:dyDescent="0.25">
      <c r="B264" s="376">
        <v>44470</v>
      </c>
      <c r="C264" s="335">
        <v>3</v>
      </c>
      <c r="D264" s="335">
        <v>14</v>
      </c>
      <c r="E264" s="374">
        <v>0</v>
      </c>
      <c r="F264" s="335">
        <v>17</v>
      </c>
    </row>
    <row r="265" spans="2:6" hidden="1" outlineLevel="1" x14ac:dyDescent="0.25">
      <c r="B265" s="376">
        <v>44501</v>
      </c>
      <c r="C265" s="335">
        <v>2</v>
      </c>
      <c r="D265" s="335">
        <v>11</v>
      </c>
      <c r="E265" s="374">
        <v>0</v>
      </c>
      <c r="F265" s="335">
        <v>13</v>
      </c>
    </row>
    <row r="266" spans="2:6" hidden="1" outlineLevel="1" x14ac:dyDescent="0.25">
      <c r="B266" s="376">
        <v>44531</v>
      </c>
      <c r="C266" s="335">
        <v>10</v>
      </c>
      <c r="D266" s="335">
        <v>13</v>
      </c>
      <c r="E266" s="374">
        <v>12</v>
      </c>
      <c r="F266" s="335">
        <v>35</v>
      </c>
    </row>
    <row r="267" spans="2:6" collapsed="1" x14ac:dyDescent="0.25">
      <c r="B267" s="303" t="s">
        <v>68</v>
      </c>
      <c r="C267" s="306">
        <v>29</v>
      </c>
      <c r="D267" s="306">
        <v>216</v>
      </c>
      <c r="E267" s="306">
        <v>51</v>
      </c>
      <c r="F267" s="306">
        <v>296</v>
      </c>
    </row>
    <row r="268" spans="2:6" outlineLevel="1" x14ac:dyDescent="0.25">
      <c r="B268" s="376">
        <v>44562</v>
      </c>
      <c r="C268" s="335">
        <v>21</v>
      </c>
      <c r="D268" s="335">
        <v>8</v>
      </c>
      <c r="E268" s="374">
        <v>23</v>
      </c>
      <c r="F268" s="335">
        <v>52</v>
      </c>
    </row>
    <row r="269" spans="2:6" outlineLevel="1" x14ac:dyDescent="0.25">
      <c r="B269" s="376">
        <v>44593</v>
      </c>
      <c r="C269" s="335">
        <v>24</v>
      </c>
      <c r="D269" s="335">
        <v>10</v>
      </c>
      <c r="E269" s="374">
        <v>13</v>
      </c>
      <c r="F269" s="335">
        <v>47</v>
      </c>
    </row>
    <row r="270" spans="2:6" outlineLevel="1" x14ac:dyDescent="0.25">
      <c r="B270" s="376">
        <v>44621</v>
      </c>
      <c r="C270" s="335">
        <v>44</v>
      </c>
      <c r="D270" s="335">
        <v>13</v>
      </c>
      <c r="E270" s="374">
        <v>12</v>
      </c>
      <c r="F270" s="335">
        <v>69</v>
      </c>
    </row>
    <row r="271" spans="2:6" outlineLevel="1" x14ac:dyDescent="0.25">
      <c r="B271" s="376">
        <v>44652</v>
      </c>
      <c r="C271" s="335">
        <v>41</v>
      </c>
      <c r="D271" s="335">
        <v>6</v>
      </c>
      <c r="E271" s="374">
        <v>28</v>
      </c>
      <c r="F271" s="335">
        <v>75</v>
      </c>
    </row>
    <row r="272" spans="2:6" outlineLevel="1" x14ac:dyDescent="0.25">
      <c r="B272" s="376">
        <v>44682</v>
      </c>
      <c r="C272" s="335">
        <v>49</v>
      </c>
      <c r="D272" s="335">
        <v>13</v>
      </c>
      <c r="E272" s="374">
        <v>18</v>
      </c>
      <c r="F272" s="335">
        <v>80</v>
      </c>
    </row>
    <row r="273" spans="2:6" outlineLevel="1" x14ac:dyDescent="0.25">
      <c r="B273" s="376">
        <v>44713</v>
      </c>
      <c r="C273" s="335">
        <v>24</v>
      </c>
      <c r="D273" s="335">
        <v>13</v>
      </c>
      <c r="E273" s="374">
        <v>14</v>
      </c>
      <c r="F273" s="335">
        <v>51</v>
      </c>
    </row>
    <row r="274" spans="2:6" outlineLevel="1" x14ac:dyDescent="0.25">
      <c r="B274" s="376">
        <v>44743</v>
      </c>
      <c r="C274" s="335">
        <v>17</v>
      </c>
      <c r="D274" s="335">
        <v>9</v>
      </c>
      <c r="E274" s="374">
        <v>12</v>
      </c>
      <c r="F274" s="335">
        <v>38</v>
      </c>
    </row>
    <row r="275" spans="2:6" outlineLevel="1" x14ac:dyDescent="0.25">
      <c r="B275" s="376">
        <v>44774</v>
      </c>
      <c r="C275" s="335">
        <v>12</v>
      </c>
      <c r="D275" s="335">
        <v>17</v>
      </c>
      <c r="E275" s="374">
        <v>6</v>
      </c>
      <c r="F275" s="335">
        <v>35</v>
      </c>
    </row>
    <row r="276" spans="2:6" outlineLevel="1" x14ac:dyDescent="0.25">
      <c r="B276" s="376">
        <v>44805</v>
      </c>
      <c r="C276" s="335">
        <v>11</v>
      </c>
      <c r="D276" s="335">
        <v>2</v>
      </c>
      <c r="E276" s="374">
        <v>2</v>
      </c>
      <c r="F276" s="335">
        <v>15</v>
      </c>
    </row>
    <row r="277" spans="2:6" outlineLevel="1" x14ac:dyDescent="0.25">
      <c r="B277" s="376">
        <v>44835</v>
      </c>
      <c r="C277" s="335">
        <v>12</v>
      </c>
      <c r="D277" s="335">
        <v>15</v>
      </c>
      <c r="E277" s="374">
        <v>6</v>
      </c>
      <c r="F277" s="335">
        <v>33</v>
      </c>
    </row>
    <row r="278" spans="2:6" outlineLevel="1" x14ac:dyDescent="0.25">
      <c r="B278" s="376">
        <v>44866</v>
      </c>
      <c r="C278" s="335">
        <v>9</v>
      </c>
      <c r="D278" s="335">
        <v>29</v>
      </c>
      <c r="E278" s="374">
        <v>15</v>
      </c>
      <c r="F278" s="335">
        <v>53</v>
      </c>
    </row>
    <row r="279" spans="2:6" outlineLevel="1" x14ac:dyDescent="0.25">
      <c r="B279" s="376">
        <v>44896</v>
      </c>
      <c r="C279" s="335">
        <v>8</v>
      </c>
      <c r="D279" s="335">
        <v>31</v>
      </c>
      <c r="E279" s="374">
        <v>10</v>
      </c>
      <c r="F279" s="335">
        <v>49</v>
      </c>
    </row>
    <row r="280" spans="2:6" x14ac:dyDescent="0.25">
      <c r="B280" s="303" t="s">
        <v>69</v>
      </c>
      <c r="C280" s="306">
        <v>272</v>
      </c>
      <c r="D280" s="306">
        <v>166</v>
      </c>
      <c r="E280" s="306">
        <v>159</v>
      </c>
      <c r="F280" s="306">
        <v>597</v>
      </c>
    </row>
    <row r="281" spans="2:6" outlineLevel="1" x14ac:dyDescent="0.25">
      <c r="B281" s="376">
        <v>44927</v>
      </c>
      <c r="C281" s="335">
        <v>5</v>
      </c>
      <c r="D281" s="335">
        <v>40</v>
      </c>
      <c r="E281" s="374">
        <v>4</v>
      </c>
      <c r="F281" s="335">
        <v>49</v>
      </c>
    </row>
    <row r="282" spans="2:6" outlineLevel="1" x14ac:dyDescent="0.25">
      <c r="B282" s="376">
        <v>44958</v>
      </c>
      <c r="C282" s="335">
        <v>2</v>
      </c>
      <c r="D282" s="335">
        <v>13</v>
      </c>
      <c r="E282" s="374">
        <v>4</v>
      </c>
      <c r="F282" s="335">
        <v>19</v>
      </c>
    </row>
    <row r="283" spans="2:6" outlineLevel="1" x14ac:dyDescent="0.25">
      <c r="B283" s="376">
        <v>44986</v>
      </c>
      <c r="C283" s="335">
        <v>22</v>
      </c>
      <c r="D283" s="335">
        <v>15</v>
      </c>
      <c r="E283" s="374">
        <v>4</v>
      </c>
      <c r="F283" s="335">
        <v>41</v>
      </c>
    </row>
    <row r="284" spans="2:6" outlineLevel="1" x14ac:dyDescent="0.25">
      <c r="B284" s="376">
        <v>45017</v>
      </c>
      <c r="C284" s="335">
        <v>12</v>
      </c>
      <c r="D284" s="335">
        <v>9</v>
      </c>
      <c r="E284" s="374">
        <v>16</v>
      </c>
      <c r="F284" s="335">
        <v>37</v>
      </c>
    </row>
    <row r="285" spans="2:6" outlineLevel="1" x14ac:dyDescent="0.25">
      <c r="B285" s="376">
        <v>45047</v>
      </c>
      <c r="C285" s="335">
        <v>13</v>
      </c>
      <c r="D285" s="335">
        <v>6</v>
      </c>
      <c r="E285" s="374">
        <v>4</v>
      </c>
      <c r="F285" s="335">
        <v>23</v>
      </c>
    </row>
    <row r="286" spans="2:6" outlineLevel="1" x14ac:dyDescent="0.25">
      <c r="B286" s="376">
        <v>45078</v>
      </c>
      <c r="C286" s="335">
        <v>5</v>
      </c>
      <c r="D286" s="335">
        <v>4</v>
      </c>
      <c r="E286" s="374">
        <v>6</v>
      </c>
      <c r="F286" s="335">
        <v>15</v>
      </c>
    </row>
    <row r="287" spans="2:6" outlineLevel="1" x14ac:dyDescent="0.25">
      <c r="B287" s="376">
        <v>45108</v>
      </c>
      <c r="C287" s="335">
        <v>9</v>
      </c>
      <c r="D287" s="335">
        <v>15</v>
      </c>
      <c r="E287" s="374">
        <v>7</v>
      </c>
      <c r="F287" s="335">
        <v>31</v>
      </c>
    </row>
    <row r="288" spans="2:6" outlineLevel="1" x14ac:dyDescent="0.25">
      <c r="B288" s="376">
        <v>45139</v>
      </c>
      <c r="C288" s="335">
        <v>6</v>
      </c>
      <c r="D288" s="335">
        <v>12</v>
      </c>
      <c r="E288" s="374">
        <v>5</v>
      </c>
      <c r="F288" s="335">
        <v>23</v>
      </c>
    </row>
    <row r="289" spans="2:6" outlineLevel="1" x14ac:dyDescent="0.25">
      <c r="B289" s="376">
        <v>45170</v>
      </c>
      <c r="C289" s="335">
        <v>3</v>
      </c>
      <c r="D289" s="335">
        <v>16</v>
      </c>
      <c r="E289" s="374">
        <v>3</v>
      </c>
      <c r="F289" s="335">
        <v>22</v>
      </c>
    </row>
    <row r="290" spans="2:6" ht="30" x14ac:dyDescent="0.25">
      <c r="B290" s="241" t="s">
        <v>870</v>
      </c>
      <c r="C290" s="306">
        <v>77</v>
      </c>
      <c r="D290" s="306">
        <v>130</v>
      </c>
      <c r="E290" s="306">
        <v>53</v>
      </c>
      <c r="F290" s="306">
        <v>260</v>
      </c>
    </row>
    <row r="291" spans="2:6" x14ac:dyDescent="0.25">
      <c r="B291" s="4" t="s">
        <v>868</v>
      </c>
    </row>
  </sheetData>
  <mergeCells count="6">
    <mergeCell ref="B148:B149"/>
    <mergeCell ref="C148:E148"/>
    <mergeCell ref="F148:F149"/>
    <mergeCell ref="D7:F7"/>
    <mergeCell ref="C7:C8"/>
    <mergeCell ref="B7:B8"/>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301"/>
  <sheetViews>
    <sheetView showGridLines="0" workbookViewId="0"/>
    <sheetView workbookViewId="1"/>
  </sheetViews>
  <sheetFormatPr baseColWidth="10" defaultRowHeight="15" outlineLevelRow="1" x14ac:dyDescent="0.25"/>
  <cols>
    <col min="2" max="2" width="19.28515625" customWidth="1"/>
  </cols>
  <sheetData>
    <row r="2" spans="2:12" ht="23.25" x14ac:dyDescent="0.25">
      <c r="B2" s="1" t="s">
        <v>759</v>
      </c>
    </row>
    <row r="4" spans="2:12" ht="18.75" x14ac:dyDescent="0.3">
      <c r="B4" s="2" t="s">
        <v>760</v>
      </c>
      <c r="C4" s="2"/>
      <c r="D4" s="2"/>
      <c r="E4" s="2"/>
      <c r="F4" s="2"/>
      <c r="G4" s="2"/>
      <c r="H4" s="2"/>
      <c r="I4" s="2"/>
      <c r="J4" s="2"/>
      <c r="K4" s="2"/>
      <c r="L4" s="2"/>
    </row>
    <row r="5" spans="2:12" x14ac:dyDescent="0.25">
      <c r="B5" s="15" t="s">
        <v>871</v>
      </c>
    </row>
    <row r="7" spans="2:12" x14ac:dyDescent="0.25">
      <c r="B7" s="254" t="s">
        <v>476</v>
      </c>
      <c r="C7" s="250" t="s">
        <v>76</v>
      </c>
      <c r="D7" s="250" t="s">
        <v>77</v>
      </c>
      <c r="E7" s="250" t="s">
        <v>28</v>
      </c>
    </row>
    <row r="8" spans="2:12" x14ac:dyDescent="0.25">
      <c r="B8" s="301" t="s">
        <v>757</v>
      </c>
      <c r="C8" s="266"/>
      <c r="D8" s="266"/>
      <c r="E8" s="299">
        <v>122650</v>
      </c>
    </row>
    <row r="9" spans="2:12" x14ac:dyDescent="0.25">
      <c r="B9" s="302" t="s">
        <v>735</v>
      </c>
      <c r="C9" s="266"/>
      <c r="D9" s="266"/>
      <c r="E9" s="299">
        <v>32605</v>
      </c>
    </row>
    <row r="10" spans="2:12" hidden="1" outlineLevel="1" x14ac:dyDescent="0.25">
      <c r="B10" s="377">
        <v>41275</v>
      </c>
      <c r="C10" s="267"/>
      <c r="D10" s="267"/>
      <c r="E10" s="378">
        <v>2532</v>
      </c>
    </row>
    <row r="11" spans="2:12" hidden="1" outlineLevel="1" x14ac:dyDescent="0.25">
      <c r="B11" s="377">
        <v>41306</v>
      </c>
      <c r="C11" s="267"/>
      <c r="D11" s="267"/>
      <c r="E11" s="378">
        <v>2439</v>
      </c>
    </row>
    <row r="12" spans="2:12" hidden="1" outlineLevel="1" x14ac:dyDescent="0.25">
      <c r="B12" s="377">
        <v>41334</v>
      </c>
      <c r="C12" s="267"/>
      <c r="D12" s="267"/>
      <c r="E12" s="378">
        <v>2431</v>
      </c>
    </row>
    <row r="13" spans="2:12" hidden="1" outlineLevel="1" x14ac:dyDescent="0.25">
      <c r="B13" s="377">
        <v>41365</v>
      </c>
      <c r="C13" s="267"/>
      <c r="D13" s="267"/>
      <c r="E13" s="378">
        <v>1851</v>
      </c>
    </row>
    <row r="14" spans="2:12" hidden="1" outlineLevel="1" x14ac:dyDescent="0.25">
      <c r="B14" s="377">
        <v>41395</v>
      </c>
      <c r="C14" s="267"/>
      <c r="D14" s="267"/>
      <c r="E14" s="378">
        <v>2369</v>
      </c>
    </row>
    <row r="15" spans="2:12" hidden="1" outlineLevel="1" x14ac:dyDescent="0.25">
      <c r="B15" s="377">
        <v>41426</v>
      </c>
      <c r="C15" s="267"/>
      <c r="D15" s="267"/>
      <c r="E15" s="378">
        <v>2281</v>
      </c>
    </row>
    <row r="16" spans="2:12" hidden="1" outlineLevel="1" x14ac:dyDescent="0.25">
      <c r="B16" s="377">
        <v>41456</v>
      </c>
      <c r="C16" s="267"/>
      <c r="D16" s="267"/>
      <c r="E16" s="378">
        <v>2297</v>
      </c>
    </row>
    <row r="17" spans="2:5" hidden="1" outlineLevel="1" x14ac:dyDescent="0.25">
      <c r="B17" s="377">
        <v>41487</v>
      </c>
      <c r="C17" s="267"/>
      <c r="D17" s="267"/>
      <c r="E17" s="378">
        <v>1478</v>
      </c>
    </row>
    <row r="18" spans="2:5" hidden="1" outlineLevel="1" x14ac:dyDescent="0.25">
      <c r="B18" s="377">
        <v>41518</v>
      </c>
      <c r="C18" s="267"/>
      <c r="D18" s="267"/>
      <c r="E18" s="378">
        <v>1310</v>
      </c>
    </row>
    <row r="19" spans="2:5" hidden="1" outlineLevel="1" x14ac:dyDescent="0.25">
      <c r="B19" s="377">
        <v>41548</v>
      </c>
      <c r="C19" s="267"/>
      <c r="D19" s="267"/>
      <c r="E19" s="378">
        <v>1141</v>
      </c>
    </row>
    <row r="20" spans="2:5" hidden="1" outlineLevel="1" x14ac:dyDescent="0.25">
      <c r="B20" s="377">
        <v>41579</v>
      </c>
      <c r="C20" s="267"/>
      <c r="D20" s="267"/>
      <c r="E20" s="378">
        <v>925</v>
      </c>
    </row>
    <row r="21" spans="2:5" hidden="1" outlineLevel="1" x14ac:dyDescent="0.25">
      <c r="B21" s="377">
        <v>41609</v>
      </c>
      <c r="C21" s="267"/>
      <c r="D21" s="267"/>
      <c r="E21" s="378">
        <v>2271</v>
      </c>
    </row>
    <row r="22" spans="2:5" collapsed="1" x14ac:dyDescent="0.25">
      <c r="B22" s="302" t="s">
        <v>37</v>
      </c>
      <c r="C22" s="266"/>
      <c r="D22" s="266"/>
      <c r="E22" s="299">
        <v>23325</v>
      </c>
    </row>
    <row r="23" spans="2:5" hidden="1" outlineLevel="1" x14ac:dyDescent="0.25">
      <c r="B23" s="377">
        <v>41640</v>
      </c>
      <c r="C23" s="267"/>
      <c r="D23" s="267"/>
      <c r="E23" s="378">
        <v>2624</v>
      </c>
    </row>
    <row r="24" spans="2:5" hidden="1" outlineLevel="1" x14ac:dyDescent="0.25">
      <c r="B24" s="377">
        <v>41671</v>
      </c>
      <c r="C24" s="267"/>
      <c r="D24" s="267"/>
      <c r="E24" s="378">
        <v>1598</v>
      </c>
    </row>
    <row r="25" spans="2:5" hidden="1" outlineLevel="1" x14ac:dyDescent="0.25">
      <c r="B25" s="377">
        <v>41699</v>
      </c>
      <c r="C25" s="267"/>
      <c r="D25" s="267"/>
      <c r="E25" s="378">
        <v>1914</v>
      </c>
    </row>
    <row r="26" spans="2:5" hidden="1" outlineLevel="1" x14ac:dyDescent="0.25">
      <c r="B26" s="377">
        <v>41730</v>
      </c>
      <c r="C26" s="267"/>
      <c r="D26" s="267"/>
      <c r="E26" s="378">
        <v>1065</v>
      </c>
    </row>
    <row r="27" spans="2:5" hidden="1" outlineLevel="1" x14ac:dyDescent="0.25">
      <c r="B27" s="377">
        <v>41760</v>
      </c>
      <c r="C27" s="267"/>
      <c r="D27" s="267"/>
      <c r="E27" s="378">
        <v>1919</v>
      </c>
    </row>
    <row r="28" spans="2:5" hidden="1" outlineLevel="1" x14ac:dyDescent="0.25">
      <c r="B28" s="377">
        <v>41791</v>
      </c>
      <c r="C28" s="267"/>
      <c r="D28" s="267"/>
      <c r="E28" s="378">
        <v>1580</v>
      </c>
    </row>
    <row r="29" spans="2:5" hidden="1" outlineLevel="1" x14ac:dyDescent="0.25">
      <c r="B29" s="377">
        <v>41821</v>
      </c>
      <c r="C29" s="267"/>
      <c r="D29" s="267"/>
      <c r="E29" s="378">
        <v>1542</v>
      </c>
    </row>
    <row r="30" spans="2:5" hidden="1" outlineLevel="1" x14ac:dyDescent="0.25">
      <c r="B30" s="377">
        <v>41852</v>
      </c>
      <c r="C30" s="267"/>
      <c r="D30" s="267"/>
      <c r="E30" s="378">
        <v>1606</v>
      </c>
    </row>
    <row r="31" spans="2:5" hidden="1" outlineLevel="1" x14ac:dyDescent="0.25">
      <c r="B31" s="377">
        <v>41883</v>
      </c>
      <c r="C31" s="267"/>
      <c r="D31" s="267"/>
      <c r="E31" s="378">
        <v>2676</v>
      </c>
    </row>
    <row r="32" spans="2:5" hidden="1" outlineLevel="1" x14ac:dyDescent="0.25">
      <c r="B32" s="377">
        <v>41913</v>
      </c>
      <c r="C32" s="267"/>
      <c r="D32" s="267"/>
      <c r="E32" s="378">
        <v>2626</v>
      </c>
    </row>
    <row r="33" spans="2:5" hidden="1" outlineLevel="1" x14ac:dyDescent="0.25">
      <c r="B33" s="377">
        <v>41944</v>
      </c>
      <c r="C33" s="267"/>
      <c r="D33" s="267"/>
      <c r="E33" s="378">
        <v>2422</v>
      </c>
    </row>
    <row r="34" spans="2:5" hidden="1" outlineLevel="1" x14ac:dyDescent="0.25">
      <c r="B34" s="377">
        <v>41974</v>
      </c>
      <c r="C34" s="267"/>
      <c r="D34" s="267"/>
      <c r="E34" s="378">
        <v>1349</v>
      </c>
    </row>
    <row r="35" spans="2:5" collapsed="1" x14ac:dyDescent="0.25">
      <c r="B35" s="302" t="s">
        <v>39</v>
      </c>
      <c r="C35" s="266"/>
      <c r="D35" s="266"/>
      <c r="E35" s="299">
        <v>22921</v>
      </c>
    </row>
    <row r="36" spans="2:5" hidden="1" outlineLevel="1" x14ac:dyDescent="0.25">
      <c r="B36" s="377">
        <v>42005</v>
      </c>
      <c r="C36" s="267"/>
      <c r="D36" s="267"/>
      <c r="E36" s="378">
        <v>2382</v>
      </c>
    </row>
    <row r="37" spans="2:5" hidden="1" outlineLevel="1" x14ac:dyDescent="0.25">
      <c r="B37" s="377">
        <v>42036</v>
      </c>
      <c r="C37" s="267"/>
      <c r="D37" s="267"/>
      <c r="E37" s="378">
        <v>3962</v>
      </c>
    </row>
    <row r="38" spans="2:5" hidden="1" outlineLevel="1" x14ac:dyDescent="0.25">
      <c r="B38" s="377">
        <v>42064</v>
      </c>
      <c r="C38" s="267"/>
      <c r="D38" s="267"/>
      <c r="E38" s="378">
        <v>2652</v>
      </c>
    </row>
    <row r="39" spans="2:5" hidden="1" outlineLevel="1" x14ac:dyDescent="0.25">
      <c r="B39" s="377">
        <v>42095</v>
      </c>
      <c r="C39" s="267"/>
      <c r="D39" s="267"/>
      <c r="E39" s="378">
        <v>3302</v>
      </c>
    </row>
    <row r="40" spans="2:5" hidden="1" outlineLevel="1" x14ac:dyDescent="0.25">
      <c r="B40" s="377">
        <v>42125</v>
      </c>
      <c r="C40" s="267"/>
      <c r="D40" s="267"/>
      <c r="E40" s="378">
        <v>1564</v>
      </c>
    </row>
    <row r="41" spans="2:5" hidden="1" outlineLevel="1" x14ac:dyDescent="0.25">
      <c r="B41" s="377">
        <v>42156</v>
      </c>
      <c r="C41" s="267"/>
      <c r="D41" s="267"/>
      <c r="E41" s="378">
        <v>2459</v>
      </c>
    </row>
    <row r="42" spans="2:5" hidden="1" outlineLevel="1" x14ac:dyDescent="0.25">
      <c r="B42" s="377">
        <v>42186</v>
      </c>
      <c r="C42" s="267"/>
      <c r="D42" s="267"/>
      <c r="E42" s="378">
        <v>1307</v>
      </c>
    </row>
    <row r="43" spans="2:5" hidden="1" outlineLevel="1" x14ac:dyDescent="0.25">
      <c r="B43" s="377">
        <v>42217</v>
      </c>
      <c r="C43" s="267"/>
      <c r="D43" s="267"/>
      <c r="E43" s="378">
        <v>2005</v>
      </c>
    </row>
    <row r="44" spans="2:5" hidden="1" outlineLevel="1" x14ac:dyDescent="0.25">
      <c r="B44" s="377">
        <v>42248</v>
      </c>
      <c r="C44" s="267"/>
      <c r="D44" s="267"/>
      <c r="E44" s="378">
        <v>1605</v>
      </c>
    </row>
    <row r="45" spans="2:5" hidden="1" outlineLevel="1" x14ac:dyDescent="0.25">
      <c r="B45" s="377">
        <v>42278</v>
      </c>
      <c r="C45" s="267"/>
      <c r="D45" s="267"/>
      <c r="E45" s="378">
        <v>5170</v>
      </c>
    </row>
    <row r="46" spans="2:5" hidden="1" outlineLevel="1" x14ac:dyDescent="0.25">
      <c r="B46" s="377">
        <v>42309</v>
      </c>
      <c r="C46" s="267"/>
      <c r="D46" s="267"/>
      <c r="E46" s="378">
        <v>2737</v>
      </c>
    </row>
    <row r="47" spans="2:5" hidden="1" outlineLevel="1" x14ac:dyDescent="0.25">
      <c r="B47" s="377">
        <v>42339</v>
      </c>
      <c r="C47" s="267"/>
      <c r="D47" s="267"/>
      <c r="E47" s="378">
        <v>1802</v>
      </c>
    </row>
    <row r="48" spans="2:5" collapsed="1" x14ac:dyDescent="0.25">
      <c r="B48" s="302" t="s">
        <v>41</v>
      </c>
      <c r="C48" s="266"/>
      <c r="D48" s="266"/>
      <c r="E48" s="266">
        <v>30947</v>
      </c>
    </row>
    <row r="49" spans="2:5" hidden="1" outlineLevel="1" x14ac:dyDescent="0.25">
      <c r="B49" s="377">
        <v>42370</v>
      </c>
      <c r="C49" s="267"/>
      <c r="D49" s="267"/>
      <c r="E49" s="378">
        <v>3979</v>
      </c>
    </row>
    <row r="50" spans="2:5" hidden="1" outlineLevel="1" x14ac:dyDescent="0.25">
      <c r="B50" s="377">
        <v>42401</v>
      </c>
      <c r="C50" s="267"/>
      <c r="D50" s="267"/>
      <c r="E50" s="378">
        <v>4366</v>
      </c>
    </row>
    <row r="51" spans="2:5" hidden="1" outlineLevel="1" x14ac:dyDescent="0.25">
      <c r="B51" s="377">
        <v>42430</v>
      </c>
      <c r="C51" s="267"/>
      <c r="D51" s="267"/>
      <c r="E51" s="378">
        <v>2056</v>
      </c>
    </row>
    <row r="52" spans="2:5" hidden="1" outlineLevel="1" x14ac:dyDescent="0.25">
      <c r="B52" s="377">
        <v>42461</v>
      </c>
      <c r="C52" s="267"/>
      <c r="D52" s="267"/>
      <c r="E52" s="378">
        <v>2454</v>
      </c>
    </row>
    <row r="53" spans="2:5" hidden="1" outlineLevel="1" x14ac:dyDescent="0.25">
      <c r="B53" s="377">
        <v>42491</v>
      </c>
      <c r="C53" s="267">
        <v>1021</v>
      </c>
      <c r="D53" s="267">
        <v>834</v>
      </c>
      <c r="E53" s="378">
        <v>1855</v>
      </c>
    </row>
    <row r="54" spans="2:5" hidden="1" outlineLevel="1" x14ac:dyDescent="0.25">
      <c r="B54" s="377">
        <v>42522</v>
      </c>
      <c r="C54" s="267">
        <v>983</v>
      </c>
      <c r="D54" s="267">
        <v>924</v>
      </c>
      <c r="E54" s="378">
        <v>1907</v>
      </c>
    </row>
    <row r="55" spans="2:5" hidden="1" outlineLevel="1" x14ac:dyDescent="0.25">
      <c r="B55" s="377">
        <v>42552</v>
      </c>
      <c r="C55" s="267">
        <v>1011</v>
      </c>
      <c r="D55" s="267">
        <v>872</v>
      </c>
      <c r="E55" s="378">
        <v>1883</v>
      </c>
    </row>
    <row r="56" spans="2:5" hidden="1" outlineLevel="1" x14ac:dyDescent="0.25">
      <c r="B56" s="377">
        <v>42583</v>
      </c>
      <c r="C56" s="267">
        <v>2375</v>
      </c>
      <c r="D56" s="267">
        <v>1728</v>
      </c>
      <c r="E56" s="378">
        <v>4103</v>
      </c>
    </row>
    <row r="57" spans="2:5" hidden="1" outlineLevel="1" x14ac:dyDescent="0.25">
      <c r="B57" s="377">
        <v>42614</v>
      </c>
      <c r="C57" s="267">
        <v>993</v>
      </c>
      <c r="D57" s="267">
        <v>820</v>
      </c>
      <c r="E57" s="378">
        <v>1813</v>
      </c>
    </row>
    <row r="58" spans="2:5" hidden="1" outlineLevel="1" x14ac:dyDescent="0.25">
      <c r="B58" s="377">
        <v>42644</v>
      </c>
      <c r="C58" s="267">
        <v>783</v>
      </c>
      <c r="D58" s="267">
        <v>848</v>
      </c>
      <c r="E58" s="378">
        <v>1631</v>
      </c>
    </row>
    <row r="59" spans="2:5" hidden="1" outlineLevel="1" x14ac:dyDescent="0.25">
      <c r="B59" s="377">
        <v>42675</v>
      </c>
      <c r="C59" s="267">
        <v>497</v>
      </c>
      <c r="D59" s="267">
        <v>326</v>
      </c>
      <c r="E59" s="378">
        <v>823</v>
      </c>
    </row>
    <row r="60" spans="2:5" hidden="1" outlineLevel="1" x14ac:dyDescent="0.25">
      <c r="B60" s="377">
        <v>42705</v>
      </c>
      <c r="C60" s="267">
        <v>1219</v>
      </c>
      <c r="D60" s="267">
        <v>923</v>
      </c>
      <c r="E60" s="378">
        <v>2142</v>
      </c>
    </row>
    <row r="61" spans="2:5" collapsed="1" x14ac:dyDescent="0.25">
      <c r="B61" s="302" t="s">
        <v>58</v>
      </c>
      <c r="C61" s="266"/>
      <c r="D61" s="266"/>
      <c r="E61" s="299">
        <v>29012</v>
      </c>
    </row>
    <row r="62" spans="2:5" hidden="1" outlineLevel="1" x14ac:dyDescent="0.25">
      <c r="B62" s="377">
        <v>42736</v>
      </c>
      <c r="C62" s="267">
        <v>1817</v>
      </c>
      <c r="D62" s="267">
        <v>1272</v>
      </c>
      <c r="E62" s="378">
        <v>3089</v>
      </c>
    </row>
    <row r="63" spans="2:5" hidden="1" outlineLevel="1" x14ac:dyDescent="0.25">
      <c r="B63" s="377">
        <v>42767</v>
      </c>
      <c r="C63" s="267">
        <v>1645</v>
      </c>
      <c r="D63" s="267">
        <v>1289</v>
      </c>
      <c r="E63" s="378">
        <v>2934</v>
      </c>
    </row>
    <row r="64" spans="2:5" hidden="1" outlineLevel="1" x14ac:dyDescent="0.25">
      <c r="B64" s="377">
        <v>42795</v>
      </c>
      <c r="C64" s="267">
        <v>1362</v>
      </c>
      <c r="D64" s="267">
        <v>1006</v>
      </c>
      <c r="E64" s="378">
        <v>2368</v>
      </c>
    </row>
    <row r="65" spans="2:5" hidden="1" outlineLevel="1" x14ac:dyDescent="0.25">
      <c r="B65" s="377">
        <v>42826</v>
      </c>
      <c r="C65" s="267">
        <v>718</v>
      </c>
      <c r="D65" s="267">
        <v>604</v>
      </c>
      <c r="E65" s="378">
        <v>1322</v>
      </c>
    </row>
    <row r="66" spans="2:5" hidden="1" outlineLevel="1" x14ac:dyDescent="0.25">
      <c r="B66" s="377">
        <v>42856</v>
      </c>
      <c r="C66" s="267">
        <v>762</v>
      </c>
      <c r="D66" s="267">
        <v>531</v>
      </c>
      <c r="E66" s="378">
        <v>1293</v>
      </c>
    </row>
    <row r="67" spans="2:5" hidden="1" outlineLevel="1" x14ac:dyDescent="0.25">
      <c r="B67" s="377">
        <v>42887</v>
      </c>
      <c r="C67" s="267">
        <v>919</v>
      </c>
      <c r="D67" s="267">
        <v>611</v>
      </c>
      <c r="E67" s="378">
        <v>1530</v>
      </c>
    </row>
    <row r="68" spans="2:5" hidden="1" outlineLevel="1" x14ac:dyDescent="0.25">
      <c r="B68" s="377">
        <v>42917</v>
      </c>
      <c r="C68" s="267">
        <v>956</v>
      </c>
      <c r="D68" s="267">
        <v>639</v>
      </c>
      <c r="E68" s="378">
        <v>1595</v>
      </c>
    </row>
    <row r="69" spans="2:5" hidden="1" outlineLevel="1" x14ac:dyDescent="0.25">
      <c r="B69" s="377">
        <v>42948</v>
      </c>
      <c r="C69" s="267">
        <v>751</v>
      </c>
      <c r="D69" s="267">
        <v>503</v>
      </c>
      <c r="E69" s="378">
        <v>1254</v>
      </c>
    </row>
    <row r="70" spans="2:5" hidden="1" outlineLevel="1" x14ac:dyDescent="0.25">
      <c r="B70" s="377">
        <v>42979</v>
      </c>
      <c r="C70" s="267">
        <v>863</v>
      </c>
      <c r="D70" s="267">
        <v>564</v>
      </c>
      <c r="E70" s="378">
        <v>1427</v>
      </c>
    </row>
    <row r="71" spans="2:5" hidden="1" outlineLevel="1" x14ac:dyDescent="0.25">
      <c r="B71" s="377">
        <v>43009</v>
      </c>
      <c r="C71" s="267">
        <v>352</v>
      </c>
      <c r="D71" s="267">
        <v>264</v>
      </c>
      <c r="E71" s="378">
        <v>616</v>
      </c>
    </row>
    <row r="72" spans="2:5" hidden="1" outlineLevel="1" x14ac:dyDescent="0.25">
      <c r="B72" s="377">
        <v>43040</v>
      </c>
      <c r="C72" s="267">
        <v>561</v>
      </c>
      <c r="D72" s="267">
        <v>386</v>
      </c>
      <c r="E72" s="378">
        <v>947</v>
      </c>
    </row>
    <row r="73" spans="2:5" hidden="1" outlineLevel="1" x14ac:dyDescent="0.25">
      <c r="B73" s="377">
        <v>43070</v>
      </c>
      <c r="C73" s="267">
        <v>660</v>
      </c>
      <c r="D73" s="267">
        <v>615</v>
      </c>
      <c r="E73" s="378">
        <v>1275</v>
      </c>
    </row>
    <row r="74" spans="2:5" collapsed="1" x14ac:dyDescent="0.25">
      <c r="B74" s="243" t="s">
        <v>61</v>
      </c>
      <c r="C74" s="266">
        <v>11366</v>
      </c>
      <c r="D74" s="266">
        <v>8284</v>
      </c>
      <c r="E74" s="266">
        <v>19650</v>
      </c>
    </row>
    <row r="75" spans="2:5" hidden="1" outlineLevel="1" x14ac:dyDescent="0.25">
      <c r="B75" s="377">
        <v>43101</v>
      </c>
      <c r="C75" s="267">
        <v>777</v>
      </c>
      <c r="D75" s="267">
        <v>678</v>
      </c>
      <c r="E75" s="378">
        <v>1455</v>
      </c>
    </row>
    <row r="76" spans="2:5" hidden="1" outlineLevel="1" x14ac:dyDescent="0.25">
      <c r="B76" s="377">
        <v>43132</v>
      </c>
      <c r="C76" s="267">
        <v>979</v>
      </c>
      <c r="D76" s="267">
        <v>837</v>
      </c>
      <c r="E76" s="378">
        <v>1816</v>
      </c>
    </row>
    <row r="77" spans="2:5" hidden="1" outlineLevel="1" x14ac:dyDescent="0.25">
      <c r="B77" s="377">
        <v>43160</v>
      </c>
      <c r="C77" s="267">
        <v>1375</v>
      </c>
      <c r="D77" s="267">
        <v>894</v>
      </c>
      <c r="E77" s="378">
        <v>2269</v>
      </c>
    </row>
    <row r="78" spans="2:5" hidden="1" outlineLevel="1" x14ac:dyDescent="0.25">
      <c r="B78" s="377">
        <v>43191</v>
      </c>
      <c r="C78" s="267">
        <v>1043</v>
      </c>
      <c r="D78" s="267">
        <v>596</v>
      </c>
      <c r="E78" s="378">
        <v>1639</v>
      </c>
    </row>
    <row r="79" spans="2:5" hidden="1" outlineLevel="1" x14ac:dyDescent="0.25">
      <c r="B79" s="377">
        <v>43221</v>
      </c>
      <c r="C79" s="267">
        <v>760</v>
      </c>
      <c r="D79" s="267">
        <v>451</v>
      </c>
      <c r="E79" s="378">
        <v>1211</v>
      </c>
    </row>
    <row r="80" spans="2:5" hidden="1" outlineLevel="1" x14ac:dyDescent="0.25">
      <c r="B80" s="377">
        <v>43252</v>
      </c>
      <c r="C80" s="267">
        <v>1059</v>
      </c>
      <c r="D80" s="267">
        <v>680</v>
      </c>
      <c r="E80" s="378">
        <v>1739</v>
      </c>
    </row>
    <row r="81" spans="2:5" hidden="1" outlineLevel="1" x14ac:dyDescent="0.25">
      <c r="B81" s="377">
        <v>43282</v>
      </c>
      <c r="C81" s="267">
        <v>968</v>
      </c>
      <c r="D81" s="267">
        <v>597</v>
      </c>
      <c r="E81" s="378">
        <v>1565</v>
      </c>
    </row>
    <row r="82" spans="2:5" hidden="1" outlineLevel="1" x14ac:dyDescent="0.25">
      <c r="B82" s="377">
        <v>43313</v>
      </c>
      <c r="C82" s="267">
        <v>1231</v>
      </c>
      <c r="D82" s="267">
        <v>879</v>
      </c>
      <c r="E82" s="378">
        <v>2110</v>
      </c>
    </row>
    <row r="83" spans="2:5" hidden="1" outlineLevel="1" x14ac:dyDescent="0.25">
      <c r="B83" s="377">
        <v>43344</v>
      </c>
      <c r="C83" s="267">
        <v>1614</v>
      </c>
      <c r="D83" s="267">
        <v>1116</v>
      </c>
      <c r="E83" s="378">
        <v>2730</v>
      </c>
    </row>
    <row r="84" spans="2:5" hidden="1" outlineLevel="1" x14ac:dyDescent="0.25">
      <c r="B84" s="377">
        <v>43374</v>
      </c>
      <c r="C84" s="267">
        <v>1026</v>
      </c>
      <c r="D84" s="267">
        <v>810</v>
      </c>
      <c r="E84" s="378">
        <v>1836</v>
      </c>
    </row>
    <row r="85" spans="2:5" hidden="1" outlineLevel="1" x14ac:dyDescent="0.25">
      <c r="B85" s="377">
        <v>43405</v>
      </c>
      <c r="C85" s="267">
        <v>655</v>
      </c>
      <c r="D85" s="267">
        <v>330</v>
      </c>
      <c r="E85" s="378">
        <v>985</v>
      </c>
    </row>
    <row r="86" spans="2:5" hidden="1" outlineLevel="1" x14ac:dyDescent="0.25">
      <c r="B86" s="377">
        <v>43435</v>
      </c>
      <c r="C86" s="267">
        <v>1554</v>
      </c>
      <c r="D86" s="267">
        <v>766</v>
      </c>
      <c r="E86" s="378">
        <v>2320</v>
      </c>
    </row>
    <row r="87" spans="2:5" collapsed="1" x14ac:dyDescent="0.25">
      <c r="B87" s="243" t="s">
        <v>62</v>
      </c>
      <c r="C87" s="266">
        <v>13041</v>
      </c>
      <c r="D87" s="266">
        <v>8634</v>
      </c>
      <c r="E87" s="266">
        <v>21675</v>
      </c>
    </row>
    <row r="88" spans="2:5" hidden="1" outlineLevel="1" x14ac:dyDescent="0.25">
      <c r="B88" s="377">
        <v>43466</v>
      </c>
      <c r="C88" s="267">
        <v>1711</v>
      </c>
      <c r="D88" s="267">
        <v>1024</v>
      </c>
      <c r="E88" s="378">
        <v>2735</v>
      </c>
    </row>
    <row r="89" spans="2:5" hidden="1" outlineLevel="1" x14ac:dyDescent="0.25">
      <c r="B89" s="377">
        <v>43497</v>
      </c>
      <c r="C89" s="267">
        <v>1618</v>
      </c>
      <c r="D89" s="267">
        <v>809</v>
      </c>
      <c r="E89" s="378">
        <v>2427</v>
      </c>
    </row>
    <row r="90" spans="2:5" hidden="1" outlineLevel="1" x14ac:dyDescent="0.25">
      <c r="B90" s="377">
        <v>43525</v>
      </c>
      <c r="C90" s="267">
        <v>467</v>
      </c>
      <c r="D90" s="267">
        <v>342</v>
      </c>
      <c r="E90" s="378">
        <v>809</v>
      </c>
    </row>
    <row r="91" spans="2:5" hidden="1" outlineLevel="1" x14ac:dyDescent="0.25">
      <c r="B91" s="377">
        <v>43556</v>
      </c>
      <c r="C91" s="267">
        <v>1080</v>
      </c>
      <c r="D91" s="267">
        <v>564</v>
      </c>
      <c r="E91" s="378">
        <v>1644</v>
      </c>
    </row>
    <row r="92" spans="2:5" hidden="1" outlineLevel="1" x14ac:dyDescent="0.25">
      <c r="B92" s="377">
        <v>43586</v>
      </c>
      <c r="C92" s="267">
        <v>1085</v>
      </c>
      <c r="D92" s="267">
        <v>663</v>
      </c>
      <c r="E92" s="378">
        <v>1748</v>
      </c>
    </row>
    <row r="93" spans="2:5" hidden="1" outlineLevel="1" x14ac:dyDescent="0.25">
      <c r="B93" s="377">
        <v>43617</v>
      </c>
      <c r="C93" s="267">
        <v>2004</v>
      </c>
      <c r="D93" s="267">
        <v>1413</v>
      </c>
      <c r="E93" s="378">
        <v>3417</v>
      </c>
    </row>
    <row r="94" spans="2:5" hidden="1" outlineLevel="1" x14ac:dyDescent="0.25">
      <c r="B94" s="377">
        <v>43647</v>
      </c>
      <c r="C94" s="267">
        <v>2427</v>
      </c>
      <c r="D94" s="267">
        <v>1403</v>
      </c>
      <c r="E94" s="378">
        <v>3830</v>
      </c>
    </row>
    <row r="95" spans="2:5" hidden="1" outlineLevel="1" x14ac:dyDescent="0.25">
      <c r="B95" s="377">
        <v>43678</v>
      </c>
      <c r="C95" s="267">
        <v>2118</v>
      </c>
      <c r="D95" s="267">
        <v>1197</v>
      </c>
      <c r="E95" s="378">
        <v>3315</v>
      </c>
    </row>
    <row r="96" spans="2:5" hidden="1" outlineLevel="1" x14ac:dyDescent="0.25">
      <c r="B96" s="377">
        <v>43709</v>
      </c>
      <c r="C96" s="267">
        <v>1382</v>
      </c>
      <c r="D96" s="267">
        <v>1016</v>
      </c>
      <c r="E96" s="378">
        <v>2398</v>
      </c>
    </row>
    <row r="97" spans="2:5" hidden="1" outlineLevel="1" x14ac:dyDescent="0.25">
      <c r="B97" s="377">
        <v>43739</v>
      </c>
      <c r="C97" s="267">
        <v>948</v>
      </c>
      <c r="D97" s="267">
        <v>627</v>
      </c>
      <c r="E97" s="378">
        <v>1575</v>
      </c>
    </row>
    <row r="98" spans="2:5" hidden="1" outlineLevel="1" x14ac:dyDescent="0.25">
      <c r="B98" s="377">
        <v>43770</v>
      </c>
      <c r="C98" s="267">
        <v>949</v>
      </c>
      <c r="D98" s="267">
        <v>527</v>
      </c>
      <c r="E98" s="378">
        <v>1476</v>
      </c>
    </row>
    <row r="99" spans="2:5" hidden="1" outlineLevel="1" x14ac:dyDescent="0.25">
      <c r="B99" s="377">
        <v>43800</v>
      </c>
      <c r="C99" s="267">
        <v>506</v>
      </c>
      <c r="D99" s="267">
        <v>423</v>
      </c>
      <c r="E99" s="378">
        <v>929</v>
      </c>
    </row>
    <row r="100" spans="2:5" collapsed="1" x14ac:dyDescent="0.25">
      <c r="B100" s="243" t="s">
        <v>63</v>
      </c>
      <c r="C100" s="266">
        <v>16295</v>
      </c>
      <c r="D100" s="266">
        <v>10008</v>
      </c>
      <c r="E100" s="266">
        <v>26303</v>
      </c>
    </row>
    <row r="101" spans="2:5" hidden="1" outlineLevel="1" x14ac:dyDescent="0.25">
      <c r="B101" s="377">
        <v>43831</v>
      </c>
      <c r="C101" s="267">
        <v>1297</v>
      </c>
      <c r="D101" s="267">
        <v>758</v>
      </c>
      <c r="E101" s="378">
        <v>2055</v>
      </c>
    </row>
    <row r="102" spans="2:5" hidden="1" outlineLevel="1" x14ac:dyDescent="0.25">
      <c r="B102" s="377">
        <v>43862</v>
      </c>
      <c r="C102" s="267">
        <v>1495</v>
      </c>
      <c r="D102" s="267">
        <v>1505</v>
      </c>
      <c r="E102" s="378">
        <v>3000</v>
      </c>
    </row>
    <row r="103" spans="2:5" hidden="1" outlineLevel="1" x14ac:dyDescent="0.25">
      <c r="B103" s="377">
        <v>43891</v>
      </c>
      <c r="C103" s="267">
        <v>1883</v>
      </c>
      <c r="D103" s="267">
        <v>1296</v>
      </c>
      <c r="E103" s="378">
        <v>3179</v>
      </c>
    </row>
    <row r="104" spans="2:5" hidden="1" outlineLevel="1" x14ac:dyDescent="0.25">
      <c r="B104" s="377">
        <v>43922</v>
      </c>
      <c r="C104" s="267">
        <v>3853</v>
      </c>
      <c r="D104" s="267">
        <v>2369</v>
      </c>
      <c r="E104" s="378">
        <v>6222</v>
      </c>
    </row>
    <row r="105" spans="2:5" hidden="1" outlineLevel="1" x14ac:dyDescent="0.25">
      <c r="B105" s="377">
        <v>43952</v>
      </c>
      <c r="C105" s="267">
        <v>3685</v>
      </c>
      <c r="D105" s="267">
        <v>1919</v>
      </c>
      <c r="E105" s="378">
        <v>5604</v>
      </c>
    </row>
    <row r="106" spans="2:5" hidden="1" outlineLevel="1" x14ac:dyDescent="0.25">
      <c r="B106" s="377">
        <v>43983</v>
      </c>
      <c r="C106" s="267">
        <v>3750</v>
      </c>
      <c r="D106" s="267">
        <v>1981</v>
      </c>
      <c r="E106" s="378">
        <v>5731</v>
      </c>
    </row>
    <row r="107" spans="2:5" hidden="1" outlineLevel="1" x14ac:dyDescent="0.25">
      <c r="B107" s="377">
        <v>44013</v>
      </c>
      <c r="C107" s="267">
        <v>5203</v>
      </c>
      <c r="D107" s="267">
        <v>2979</v>
      </c>
      <c r="E107" s="378">
        <v>8182</v>
      </c>
    </row>
    <row r="108" spans="2:5" hidden="1" outlineLevel="1" x14ac:dyDescent="0.25">
      <c r="B108" s="377">
        <v>44044</v>
      </c>
      <c r="C108" s="267">
        <v>4969</v>
      </c>
      <c r="D108" s="267">
        <v>2864</v>
      </c>
      <c r="E108" s="378">
        <v>7833</v>
      </c>
    </row>
    <row r="109" spans="2:5" hidden="1" outlineLevel="1" x14ac:dyDescent="0.25">
      <c r="B109" s="377">
        <v>44075</v>
      </c>
      <c r="C109" s="267">
        <v>2385</v>
      </c>
      <c r="D109" s="267">
        <v>1258</v>
      </c>
      <c r="E109" s="378">
        <v>3643</v>
      </c>
    </row>
    <row r="110" spans="2:5" hidden="1" outlineLevel="1" x14ac:dyDescent="0.25">
      <c r="B110" s="377">
        <v>44105</v>
      </c>
      <c r="C110" s="267">
        <v>2045</v>
      </c>
      <c r="D110" s="267">
        <v>1173</v>
      </c>
      <c r="E110" s="378">
        <v>3218</v>
      </c>
    </row>
    <row r="111" spans="2:5" hidden="1" outlineLevel="1" x14ac:dyDescent="0.25">
      <c r="B111" s="377">
        <v>44136</v>
      </c>
      <c r="C111" s="267">
        <v>1545</v>
      </c>
      <c r="D111" s="267">
        <v>906</v>
      </c>
      <c r="E111" s="378">
        <v>2451</v>
      </c>
    </row>
    <row r="112" spans="2:5" hidden="1" outlineLevel="1" x14ac:dyDescent="0.25">
      <c r="B112" s="377">
        <v>44166</v>
      </c>
      <c r="C112" s="267">
        <v>1765</v>
      </c>
      <c r="D112" s="267">
        <v>802</v>
      </c>
      <c r="E112" s="378">
        <v>2567</v>
      </c>
    </row>
    <row r="113" spans="2:5" collapsed="1" x14ac:dyDescent="0.25">
      <c r="B113" s="303" t="s">
        <v>67</v>
      </c>
      <c r="C113" s="266">
        <v>33875</v>
      </c>
      <c r="D113" s="266">
        <v>19810</v>
      </c>
      <c r="E113" s="266">
        <v>53685</v>
      </c>
    </row>
    <row r="114" spans="2:5" hidden="1" outlineLevel="1" x14ac:dyDescent="0.25">
      <c r="B114" s="377">
        <v>44197</v>
      </c>
      <c r="C114" s="267">
        <v>2266</v>
      </c>
      <c r="D114" s="267">
        <v>1048</v>
      </c>
      <c r="E114" s="378">
        <v>3314</v>
      </c>
    </row>
    <row r="115" spans="2:5" hidden="1" outlineLevel="1" x14ac:dyDescent="0.25">
      <c r="B115" s="377">
        <v>44228</v>
      </c>
      <c r="C115" s="267">
        <v>3079</v>
      </c>
      <c r="D115" s="267">
        <v>1343</v>
      </c>
      <c r="E115" s="378">
        <v>4422</v>
      </c>
    </row>
    <row r="116" spans="2:5" hidden="1" outlineLevel="1" x14ac:dyDescent="0.25">
      <c r="B116" s="377">
        <v>44256</v>
      </c>
      <c r="C116" s="267">
        <v>3621</v>
      </c>
      <c r="D116" s="267">
        <v>1770</v>
      </c>
      <c r="E116" s="378">
        <v>5391</v>
      </c>
    </row>
    <row r="117" spans="2:5" hidden="1" outlineLevel="1" x14ac:dyDescent="0.25">
      <c r="B117" s="377">
        <v>44287</v>
      </c>
      <c r="C117" s="267">
        <v>4727</v>
      </c>
      <c r="D117" s="267">
        <v>2416</v>
      </c>
      <c r="E117" s="378">
        <v>7143</v>
      </c>
    </row>
    <row r="118" spans="2:5" hidden="1" outlineLevel="1" x14ac:dyDescent="0.25">
      <c r="B118" s="377">
        <v>44317</v>
      </c>
      <c r="C118" s="267">
        <v>3848</v>
      </c>
      <c r="D118" s="267">
        <v>2237</v>
      </c>
      <c r="E118" s="378">
        <v>6085</v>
      </c>
    </row>
    <row r="119" spans="2:5" hidden="1" outlineLevel="1" x14ac:dyDescent="0.25">
      <c r="B119" s="377">
        <v>44348</v>
      </c>
      <c r="C119" s="267">
        <v>3185</v>
      </c>
      <c r="D119" s="267">
        <v>2330</v>
      </c>
      <c r="E119" s="378">
        <v>5515</v>
      </c>
    </row>
    <row r="120" spans="2:5" hidden="1" outlineLevel="1" x14ac:dyDescent="0.25">
      <c r="B120" s="377">
        <v>44378</v>
      </c>
      <c r="C120" s="267">
        <v>2655</v>
      </c>
      <c r="D120" s="267">
        <v>1488</v>
      </c>
      <c r="E120" s="378">
        <v>4143</v>
      </c>
    </row>
    <row r="121" spans="2:5" hidden="1" outlineLevel="1" x14ac:dyDescent="0.25">
      <c r="B121" s="377">
        <v>44409</v>
      </c>
      <c r="C121" s="267">
        <v>2460</v>
      </c>
      <c r="D121" s="267">
        <v>1179</v>
      </c>
      <c r="E121" s="378">
        <v>3639</v>
      </c>
    </row>
    <row r="122" spans="2:5" hidden="1" outlineLevel="1" x14ac:dyDescent="0.25">
      <c r="B122" s="377">
        <v>44440</v>
      </c>
      <c r="C122" s="267">
        <v>2275</v>
      </c>
      <c r="D122" s="267">
        <v>1293</v>
      </c>
      <c r="E122" s="378">
        <v>3568</v>
      </c>
    </row>
    <row r="123" spans="2:5" hidden="1" outlineLevel="1" x14ac:dyDescent="0.25">
      <c r="B123" s="377">
        <v>44470</v>
      </c>
      <c r="C123" s="267">
        <v>1844</v>
      </c>
      <c r="D123" s="267">
        <v>901</v>
      </c>
      <c r="E123" s="378">
        <v>2745</v>
      </c>
    </row>
    <row r="124" spans="2:5" hidden="1" outlineLevel="1" x14ac:dyDescent="0.25">
      <c r="B124" s="377">
        <v>44501</v>
      </c>
      <c r="C124" s="267">
        <v>1736</v>
      </c>
      <c r="D124" s="267">
        <v>897</v>
      </c>
      <c r="E124" s="378">
        <v>2633</v>
      </c>
    </row>
    <row r="125" spans="2:5" hidden="1" outlineLevel="1" x14ac:dyDescent="0.25">
      <c r="B125" s="377">
        <v>44531</v>
      </c>
      <c r="C125" s="267">
        <v>1412</v>
      </c>
      <c r="D125" s="267">
        <v>755</v>
      </c>
      <c r="E125" s="378">
        <v>2167</v>
      </c>
    </row>
    <row r="126" spans="2:5" collapsed="1" x14ac:dyDescent="0.25">
      <c r="B126" s="303" t="s">
        <v>68</v>
      </c>
      <c r="C126" s="266">
        <v>33108</v>
      </c>
      <c r="D126" s="266">
        <v>17657</v>
      </c>
      <c r="E126" s="266">
        <v>50765</v>
      </c>
    </row>
    <row r="127" spans="2:5" outlineLevel="1" x14ac:dyDescent="0.25">
      <c r="B127" s="377">
        <v>44562</v>
      </c>
      <c r="C127" s="267">
        <v>2120</v>
      </c>
      <c r="D127" s="267">
        <v>1047</v>
      </c>
      <c r="E127" s="378">
        <v>3167</v>
      </c>
    </row>
    <row r="128" spans="2:5" outlineLevel="1" x14ac:dyDescent="0.25">
      <c r="B128" s="377">
        <v>44593</v>
      </c>
      <c r="C128" s="267">
        <v>1533</v>
      </c>
      <c r="D128" s="267">
        <v>678</v>
      </c>
      <c r="E128" s="378">
        <v>2211</v>
      </c>
    </row>
    <row r="129" spans="2:5" outlineLevel="1" x14ac:dyDescent="0.25">
      <c r="B129" s="377">
        <v>44621</v>
      </c>
      <c r="C129" s="267">
        <v>1322</v>
      </c>
      <c r="D129" s="267">
        <v>822</v>
      </c>
      <c r="E129" s="378">
        <v>2144</v>
      </c>
    </row>
    <row r="130" spans="2:5" outlineLevel="1" x14ac:dyDescent="0.25">
      <c r="B130" s="377">
        <v>44652</v>
      </c>
      <c r="C130" s="267">
        <v>4292</v>
      </c>
      <c r="D130" s="267">
        <v>2262</v>
      </c>
      <c r="E130" s="378">
        <v>6554</v>
      </c>
    </row>
    <row r="131" spans="2:5" outlineLevel="1" x14ac:dyDescent="0.25">
      <c r="B131" s="377">
        <v>44682</v>
      </c>
      <c r="C131" s="267">
        <v>3114</v>
      </c>
      <c r="D131" s="267">
        <v>1783</v>
      </c>
      <c r="E131" s="378">
        <v>4897</v>
      </c>
    </row>
    <row r="132" spans="2:5" outlineLevel="1" x14ac:dyDescent="0.25">
      <c r="B132" s="377">
        <v>44713</v>
      </c>
      <c r="C132" s="267">
        <v>2806</v>
      </c>
      <c r="D132" s="267">
        <v>1333</v>
      </c>
      <c r="E132" s="378">
        <v>4139</v>
      </c>
    </row>
    <row r="133" spans="2:5" outlineLevel="1" x14ac:dyDescent="0.25">
      <c r="B133" s="377">
        <v>44743</v>
      </c>
      <c r="C133" s="267">
        <v>4112</v>
      </c>
      <c r="D133" s="267">
        <v>1806</v>
      </c>
      <c r="E133" s="378">
        <v>5918</v>
      </c>
    </row>
    <row r="134" spans="2:5" outlineLevel="1" x14ac:dyDescent="0.25">
      <c r="B134" s="377">
        <v>44774</v>
      </c>
      <c r="C134" s="267">
        <v>4749</v>
      </c>
      <c r="D134" s="267">
        <v>2007</v>
      </c>
      <c r="E134" s="378">
        <v>6756</v>
      </c>
    </row>
    <row r="135" spans="2:5" outlineLevel="1" x14ac:dyDescent="0.25">
      <c r="B135" s="377">
        <v>44805</v>
      </c>
      <c r="C135" s="267">
        <v>2253</v>
      </c>
      <c r="D135" s="267">
        <v>1434</v>
      </c>
      <c r="E135" s="378">
        <v>3687</v>
      </c>
    </row>
    <row r="136" spans="2:5" outlineLevel="1" x14ac:dyDescent="0.25">
      <c r="B136" s="377">
        <v>44835</v>
      </c>
      <c r="C136" s="267">
        <v>4664</v>
      </c>
      <c r="D136" s="267">
        <v>2110</v>
      </c>
      <c r="E136" s="378">
        <v>6774</v>
      </c>
    </row>
    <row r="137" spans="2:5" outlineLevel="1" x14ac:dyDescent="0.25">
      <c r="B137" s="377">
        <v>44866</v>
      </c>
      <c r="C137" s="267">
        <v>2215</v>
      </c>
      <c r="D137" s="267">
        <v>1015</v>
      </c>
      <c r="E137" s="378">
        <v>3230</v>
      </c>
    </row>
    <row r="138" spans="2:5" outlineLevel="1" x14ac:dyDescent="0.25">
      <c r="B138" s="377">
        <v>44896</v>
      </c>
      <c r="C138" s="267">
        <v>911</v>
      </c>
      <c r="D138" s="267">
        <v>503</v>
      </c>
      <c r="E138" s="378">
        <v>1414</v>
      </c>
    </row>
    <row r="139" spans="2:5" x14ac:dyDescent="0.25">
      <c r="B139" s="303" t="s">
        <v>69</v>
      </c>
      <c r="C139" s="266">
        <v>34091</v>
      </c>
      <c r="D139" s="266">
        <v>16800</v>
      </c>
      <c r="E139" s="266">
        <v>50891</v>
      </c>
    </row>
    <row r="140" spans="2:5" outlineLevel="1" x14ac:dyDescent="0.25">
      <c r="B140" s="242">
        <v>44927</v>
      </c>
      <c r="C140" s="267">
        <v>4342</v>
      </c>
      <c r="D140" s="267">
        <v>1839</v>
      </c>
      <c r="E140" s="378">
        <v>6181</v>
      </c>
    </row>
    <row r="141" spans="2:5" outlineLevel="1" x14ac:dyDescent="0.25">
      <c r="B141" s="242">
        <v>44958</v>
      </c>
      <c r="C141" s="267">
        <v>3408</v>
      </c>
      <c r="D141" s="267">
        <v>1537</v>
      </c>
      <c r="E141" s="378">
        <v>4945</v>
      </c>
    </row>
    <row r="142" spans="2:5" outlineLevel="1" x14ac:dyDescent="0.25">
      <c r="B142" s="242">
        <v>44986</v>
      </c>
      <c r="C142" s="267">
        <v>4511</v>
      </c>
      <c r="D142" s="267">
        <v>1868</v>
      </c>
      <c r="E142" s="378">
        <v>6379</v>
      </c>
    </row>
    <row r="143" spans="2:5" outlineLevel="1" x14ac:dyDescent="0.25">
      <c r="B143" s="242">
        <v>45017</v>
      </c>
      <c r="C143" s="267">
        <v>3511</v>
      </c>
      <c r="D143" s="267">
        <v>1609</v>
      </c>
      <c r="E143" s="378">
        <v>5120</v>
      </c>
    </row>
    <row r="144" spans="2:5" outlineLevel="1" x14ac:dyDescent="0.25">
      <c r="B144" s="242">
        <v>45047</v>
      </c>
      <c r="C144" s="267">
        <v>3827</v>
      </c>
      <c r="D144" s="267">
        <v>1949</v>
      </c>
      <c r="E144" s="378">
        <v>5776</v>
      </c>
    </row>
    <row r="145" spans="2:12" outlineLevel="1" x14ac:dyDescent="0.25">
      <c r="B145" s="242">
        <v>45078</v>
      </c>
      <c r="C145" s="267">
        <v>3803</v>
      </c>
      <c r="D145" s="267">
        <v>1656</v>
      </c>
      <c r="E145" s="378">
        <v>5459</v>
      </c>
    </row>
    <row r="146" spans="2:12" outlineLevel="1" x14ac:dyDescent="0.25">
      <c r="B146" s="242">
        <v>45108</v>
      </c>
      <c r="C146" s="267">
        <v>3246</v>
      </c>
      <c r="D146" s="267">
        <v>1391</v>
      </c>
      <c r="E146" s="378">
        <v>4637</v>
      </c>
    </row>
    <row r="147" spans="2:12" outlineLevel="1" x14ac:dyDescent="0.25">
      <c r="B147" s="242">
        <v>45139</v>
      </c>
      <c r="C147" s="267">
        <v>3837</v>
      </c>
      <c r="D147" s="267">
        <v>2097</v>
      </c>
      <c r="E147" s="378">
        <v>5934</v>
      </c>
    </row>
    <row r="148" spans="2:12" outlineLevel="1" x14ac:dyDescent="0.25">
      <c r="B148" s="242">
        <v>45170</v>
      </c>
      <c r="C148" s="267">
        <v>1343</v>
      </c>
      <c r="D148" s="267">
        <v>616</v>
      </c>
      <c r="E148" s="378">
        <v>1959</v>
      </c>
    </row>
    <row r="149" spans="2:12" ht="30" x14ac:dyDescent="0.25">
      <c r="B149" s="241" t="s">
        <v>870</v>
      </c>
      <c r="C149" s="298">
        <v>31828</v>
      </c>
      <c r="D149" s="298">
        <v>14562</v>
      </c>
      <c r="E149" s="298">
        <v>46390</v>
      </c>
    </row>
    <row r="150" spans="2:12" x14ac:dyDescent="0.25">
      <c r="B150" s="500" t="s">
        <v>491</v>
      </c>
      <c r="C150" s="501"/>
      <c r="D150" s="502"/>
      <c r="E150" s="385">
        <v>530819</v>
      </c>
    </row>
    <row r="151" spans="2:12" x14ac:dyDescent="0.25">
      <c r="B151" s="4" t="s">
        <v>868</v>
      </c>
    </row>
    <row r="153" spans="2:12" ht="18.75" x14ac:dyDescent="0.3">
      <c r="B153" s="2" t="s">
        <v>761</v>
      </c>
      <c r="C153" s="2"/>
      <c r="D153" s="2"/>
      <c r="E153" s="2"/>
      <c r="F153" s="2"/>
      <c r="G153" s="2"/>
      <c r="H153" s="2"/>
      <c r="I153" s="2"/>
      <c r="J153" s="2"/>
      <c r="K153" s="2"/>
    </row>
    <row r="154" spans="2:12" x14ac:dyDescent="0.25">
      <c r="B154" s="3" t="s">
        <v>871</v>
      </c>
    </row>
    <row r="156" spans="2:12" ht="27.75" customHeight="1" x14ac:dyDescent="0.25">
      <c r="B156" s="492" t="s">
        <v>476</v>
      </c>
      <c r="C156" s="496" t="s">
        <v>696</v>
      </c>
      <c r="D156" s="497"/>
      <c r="E156" s="497"/>
      <c r="F156" s="497"/>
      <c r="G156" s="497"/>
      <c r="H156" s="497"/>
      <c r="I156" s="497"/>
      <c r="J156" s="497"/>
      <c r="K156" s="498"/>
      <c r="L156" s="493" t="s">
        <v>754</v>
      </c>
    </row>
    <row r="157" spans="2:12" x14ac:dyDescent="0.25">
      <c r="B157" s="492"/>
      <c r="C157" s="492" t="s">
        <v>15</v>
      </c>
      <c r="D157" s="492"/>
      <c r="E157" s="492"/>
      <c r="F157" s="503" t="s">
        <v>16</v>
      </c>
      <c r="G157" s="503"/>
      <c r="H157" s="503"/>
      <c r="I157" s="503" t="s">
        <v>755</v>
      </c>
      <c r="J157" s="503"/>
      <c r="K157" s="503"/>
      <c r="L157" s="499"/>
    </row>
    <row r="158" spans="2:12" x14ac:dyDescent="0.25">
      <c r="B158" s="492"/>
      <c r="C158" s="249" t="s">
        <v>76</v>
      </c>
      <c r="D158" s="249" t="s">
        <v>77</v>
      </c>
      <c r="E158" s="255" t="s">
        <v>593</v>
      </c>
      <c r="F158" s="249" t="s">
        <v>76</v>
      </c>
      <c r="G158" s="249" t="s">
        <v>77</v>
      </c>
      <c r="H158" s="255" t="s">
        <v>593</v>
      </c>
      <c r="I158" s="249" t="s">
        <v>76</v>
      </c>
      <c r="J158" s="249" t="s">
        <v>77</v>
      </c>
      <c r="K158" s="255" t="s">
        <v>593</v>
      </c>
      <c r="L158" s="494"/>
    </row>
    <row r="159" spans="2:12" x14ac:dyDescent="0.25">
      <c r="B159" s="243" t="s">
        <v>758</v>
      </c>
      <c r="C159" s="266"/>
      <c r="D159" s="266"/>
      <c r="E159" s="266">
        <v>119211</v>
      </c>
      <c r="F159" s="266"/>
      <c r="G159" s="266"/>
      <c r="H159" s="266">
        <v>1457</v>
      </c>
      <c r="I159" s="266"/>
      <c r="J159" s="266"/>
      <c r="K159" s="266">
        <v>1982</v>
      </c>
      <c r="L159" s="266">
        <v>122650</v>
      </c>
    </row>
    <row r="160" spans="2:12" x14ac:dyDescent="0.25">
      <c r="B160" s="243" t="s">
        <v>735</v>
      </c>
      <c r="C160" s="266"/>
      <c r="D160" s="266"/>
      <c r="E160" s="299">
        <v>24495</v>
      </c>
      <c r="F160" s="299"/>
      <c r="G160" s="299"/>
      <c r="H160" s="299">
        <v>248</v>
      </c>
      <c r="I160" s="299"/>
      <c r="J160" s="299"/>
      <c r="K160" s="299">
        <v>7862</v>
      </c>
      <c r="L160" s="299">
        <v>32605</v>
      </c>
    </row>
    <row r="161" spans="2:12" hidden="1" outlineLevel="1" x14ac:dyDescent="0.25">
      <c r="B161" s="375">
        <v>41275</v>
      </c>
      <c r="C161" s="267"/>
      <c r="D161" s="267"/>
      <c r="E161" s="378">
        <v>1593</v>
      </c>
      <c r="F161" s="378"/>
      <c r="G161" s="378"/>
      <c r="H161" s="378">
        <v>15</v>
      </c>
      <c r="I161" s="378"/>
      <c r="J161" s="378"/>
      <c r="K161" s="378">
        <v>924</v>
      </c>
      <c r="L161" s="378">
        <v>2532</v>
      </c>
    </row>
    <row r="162" spans="2:12" hidden="1" outlineLevel="1" x14ac:dyDescent="0.25">
      <c r="B162" s="375">
        <v>41306</v>
      </c>
      <c r="C162" s="267"/>
      <c r="D162" s="267"/>
      <c r="E162" s="378">
        <v>1468</v>
      </c>
      <c r="F162" s="378"/>
      <c r="G162" s="378"/>
      <c r="H162" s="378">
        <v>22</v>
      </c>
      <c r="I162" s="378"/>
      <c r="J162" s="378"/>
      <c r="K162" s="378">
        <v>949</v>
      </c>
      <c r="L162" s="378">
        <v>2439</v>
      </c>
    </row>
    <row r="163" spans="2:12" hidden="1" outlineLevel="1" x14ac:dyDescent="0.25">
      <c r="B163" s="375">
        <v>41334</v>
      </c>
      <c r="C163" s="267"/>
      <c r="D163" s="267"/>
      <c r="E163" s="378">
        <v>1784</v>
      </c>
      <c r="F163" s="378"/>
      <c r="G163" s="378"/>
      <c r="H163" s="378">
        <v>16</v>
      </c>
      <c r="I163" s="378"/>
      <c r="J163" s="378"/>
      <c r="K163" s="378">
        <v>631</v>
      </c>
      <c r="L163" s="378">
        <v>2431</v>
      </c>
    </row>
    <row r="164" spans="2:12" hidden="1" outlineLevel="1" x14ac:dyDescent="0.25">
      <c r="B164" s="375">
        <v>41365</v>
      </c>
      <c r="C164" s="267"/>
      <c r="D164" s="267"/>
      <c r="E164" s="378">
        <v>1305</v>
      </c>
      <c r="F164" s="378"/>
      <c r="G164" s="378"/>
      <c r="H164" s="378">
        <v>44</v>
      </c>
      <c r="I164" s="378"/>
      <c r="J164" s="378"/>
      <c r="K164" s="378">
        <v>502</v>
      </c>
      <c r="L164" s="378">
        <v>1851</v>
      </c>
    </row>
    <row r="165" spans="2:12" hidden="1" outlineLevel="1" x14ac:dyDescent="0.25">
      <c r="B165" s="375">
        <v>41395</v>
      </c>
      <c r="C165" s="267"/>
      <c r="D165" s="267"/>
      <c r="E165" s="378">
        <v>1777</v>
      </c>
      <c r="F165" s="378"/>
      <c r="G165" s="378"/>
      <c r="H165" s="378">
        <v>10</v>
      </c>
      <c r="I165" s="378"/>
      <c r="J165" s="378"/>
      <c r="K165" s="378">
        <v>582</v>
      </c>
      <c r="L165" s="378">
        <v>2369</v>
      </c>
    </row>
    <row r="166" spans="2:12" hidden="1" outlineLevel="1" x14ac:dyDescent="0.25">
      <c r="B166" s="375">
        <v>41426</v>
      </c>
      <c r="C166" s="267"/>
      <c r="D166" s="267"/>
      <c r="E166" s="378">
        <v>1540</v>
      </c>
      <c r="F166" s="378"/>
      <c r="G166" s="378"/>
      <c r="H166" s="378">
        <v>16</v>
      </c>
      <c r="I166" s="378"/>
      <c r="J166" s="378"/>
      <c r="K166" s="378">
        <v>725</v>
      </c>
      <c r="L166" s="378">
        <v>2281</v>
      </c>
    </row>
    <row r="167" spans="2:12" hidden="1" outlineLevel="1" x14ac:dyDescent="0.25">
      <c r="B167" s="375">
        <v>41456</v>
      </c>
      <c r="C167" s="267"/>
      <c r="D167" s="267"/>
      <c r="E167" s="378">
        <v>1026</v>
      </c>
      <c r="F167" s="378"/>
      <c r="G167" s="378"/>
      <c r="H167" s="378">
        <v>10</v>
      </c>
      <c r="I167" s="378"/>
      <c r="J167" s="378"/>
      <c r="K167" s="378">
        <v>1261</v>
      </c>
      <c r="L167" s="378">
        <v>2297</v>
      </c>
    </row>
    <row r="168" spans="2:12" hidden="1" outlineLevel="1" x14ac:dyDescent="0.25">
      <c r="B168" s="375">
        <v>41487</v>
      </c>
      <c r="C168" s="267"/>
      <c r="D168" s="267"/>
      <c r="E168" s="378">
        <v>610</v>
      </c>
      <c r="F168" s="378"/>
      <c r="G168" s="378"/>
      <c r="H168" s="378">
        <v>14</v>
      </c>
      <c r="I168" s="378"/>
      <c r="J168" s="378"/>
      <c r="K168" s="378">
        <v>854</v>
      </c>
      <c r="L168" s="378">
        <v>1478</v>
      </c>
    </row>
    <row r="169" spans="2:12" hidden="1" outlineLevel="1" x14ac:dyDescent="0.25">
      <c r="B169" s="375">
        <v>41518</v>
      </c>
      <c r="C169" s="267"/>
      <c r="D169" s="267"/>
      <c r="E169" s="378">
        <v>816</v>
      </c>
      <c r="F169" s="378"/>
      <c r="G169" s="378"/>
      <c r="H169" s="378">
        <v>1</v>
      </c>
      <c r="I169" s="378"/>
      <c r="J169" s="378"/>
      <c r="K169" s="378">
        <v>493</v>
      </c>
      <c r="L169" s="378">
        <v>1310</v>
      </c>
    </row>
    <row r="170" spans="2:12" hidden="1" outlineLevel="1" x14ac:dyDescent="0.25">
      <c r="B170" s="375">
        <v>41548</v>
      </c>
      <c r="C170" s="267"/>
      <c r="D170" s="267"/>
      <c r="E170" s="378">
        <v>485</v>
      </c>
      <c r="F170" s="378"/>
      <c r="G170" s="378"/>
      <c r="H170" s="378">
        <v>2</v>
      </c>
      <c r="I170" s="378"/>
      <c r="J170" s="378"/>
      <c r="K170" s="378">
        <v>654</v>
      </c>
      <c r="L170" s="378">
        <v>1141</v>
      </c>
    </row>
    <row r="171" spans="2:12" hidden="1" outlineLevel="1" x14ac:dyDescent="0.25">
      <c r="B171" s="375">
        <v>41579</v>
      </c>
      <c r="C171" s="267"/>
      <c r="D171" s="267"/>
      <c r="E171" s="378">
        <v>480</v>
      </c>
      <c r="F171" s="378"/>
      <c r="G171" s="378"/>
      <c r="H171" s="378">
        <v>2</v>
      </c>
      <c r="I171" s="378"/>
      <c r="J171" s="378"/>
      <c r="K171" s="378">
        <v>443</v>
      </c>
      <c r="L171" s="378">
        <v>925</v>
      </c>
    </row>
    <row r="172" spans="2:12" hidden="1" outlineLevel="1" x14ac:dyDescent="0.25">
      <c r="B172" s="375">
        <v>41609</v>
      </c>
      <c r="C172" s="267"/>
      <c r="D172" s="267"/>
      <c r="E172" s="378">
        <v>1157</v>
      </c>
      <c r="F172" s="378"/>
      <c r="G172" s="378"/>
      <c r="H172" s="378">
        <v>6</v>
      </c>
      <c r="I172" s="378"/>
      <c r="J172" s="378"/>
      <c r="K172" s="378">
        <v>1108</v>
      </c>
      <c r="L172" s="378">
        <v>2271</v>
      </c>
    </row>
    <row r="173" spans="2:12" collapsed="1" x14ac:dyDescent="0.25">
      <c r="B173" s="243" t="s">
        <v>37</v>
      </c>
      <c r="C173" s="266"/>
      <c r="D173" s="266"/>
      <c r="E173" s="266">
        <v>14041</v>
      </c>
      <c r="F173" s="266"/>
      <c r="G173" s="266"/>
      <c r="H173" s="266">
        <v>158</v>
      </c>
      <c r="I173" s="266"/>
      <c r="J173" s="266"/>
      <c r="K173" s="266">
        <v>9126</v>
      </c>
      <c r="L173" s="266">
        <v>23325</v>
      </c>
    </row>
    <row r="174" spans="2:12" hidden="1" outlineLevel="1" x14ac:dyDescent="0.25">
      <c r="B174" s="375">
        <v>41640</v>
      </c>
      <c r="C174" s="267"/>
      <c r="D174" s="267"/>
      <c r="E174" s="378">
        <v>1358</v>
      </c>
      <c r="F174" s="378"/>
      <c r="G174" s="378"/>
      <c r="H174" s="378">
        <v>5</v>
      </c>
      <c r="I174" s="378"/>
      <c r="J174" s="378"/>
      <c r="K174" s="378">
        <v>1261</v>
      </c>
      <c r="L174" s="378">
        <v>2624</v>
      </c>
    </row>
    <row r="175" spans="2:12" hidden="1" outlineLevel="1" x14ac:dyDescent="0.25">
      <c r="B175" s="375">
        <v>41671</v>
      </c>
      <c r="C175" s="267"/>
      <c r="D175" s="267"/>
      <c r="E175" s="378">
        <v>746</v>
      </c>
      <c r="F175" s="378"/>
      <c r="G175" s="378"/>
      <c r="H175" s="378">
        <v>4</v>
      </c>
      <c r="I175" s="378"/>
      <c r="J175" s="378"/>
      <c r="K175" s="378">
        <v>848</v>
      </c>
      <c r="L175" s="378">
        <v>1598</v>
      </c>
    </row>
    <row r="176" spans="2:12" hidden="1" outlineLevel="1" x14ac:dyDescent="0.25">
      <c r="B176" s="375">
        <v>41699</v>
      </c>
      <c r="C176" s="267"/>
      <c r="D176" s="267"/>
      <c r="E176" s="378">
        <v>1052</v>
      </c>
      <c r="F176" s="378"/>
      <c r="G176" s="378"/>
      <c r="H176" s="378">
        <v>10</v>
      </c>
      <c r="I176" s="378"/>
      <c r="J176" s="378"/>
      <c r="K176" s="378">
        <v>852</v>
      </c>
      <c r="L176" s="378">
        <v>1914</v>
      </c>
    </row>
    <row r="177" spans="2:12" hidden="1" outlineLevel="1" x14ac:dyDescent="0.25">
      <c r="B177" s="375">
        <v>41730</v>
      </c>
      <c r="C177" s="267"/>
      <c r="D177" s="267"/>
      <c r="E177" s="378">
        <v>549</v>
      </c>
      <c r="F177" s="378"/>
      <c r="G177" s="378"/>
      <c r="H177" s="378">
        <v>4</v>
      </c>
      <c r="I177" s="378"/>
      <c r="J177" s="378"/>
      <c r="K177" s="378">
        <v>512</v>
      </c>
      <c r="L177" s="378">
        <v>1065</v>
      </c>
    </row>
    <row r="178" spans="2:12" hidden="1" outlineLevel="1" x14ac:dyDescent="0.25">
      <c r="B178" s="375">
        <v>41760</v>
      </c>
      <c r="C178" s="267"/>
      <c r="D178" s="267"/>
      <c r="E178" s="378">
        <v>773</v>
      </c>
      <c r="F178" s="378"/>
      <c r="G178" s="378"/>
      <c r="H178" s="378">
        <v>9</v>
      </c>
      <c r="I178" s="378"/>
      <c r="J178" s="378"/>
      <c r="K178" s="378">
        <v>1137</v>
      </c>
      <c r="L178" s="378">
        <v>1919</v>
      </c>
    </row>
    <row r="179" spans="2:12" hidden="1" outlineLevel="1" x14ac:dyDescent="0.25">
      <c r="B179" s="375">
        <v>41791</v>
      </c>
      <c r="C179" s="267"/>
      <c r="D179" s="267"/>
      <c r="E179" s="378">
        <v>660</v>
      </c>
      <c r="F179" s="378"/>
      <c r="G179" s="378"/>
      <c r="H179" s="378">
        <v>15</v>
      </c>
      <c r="I179" s="378"/>
      <c r="J179" s="378"/>
      <c r="K179" s="378">
        <v>905</v>
      </c>
      <c r="L179" s="378">
        <v>1580</v>
      </c>
    </row>
    <row r="180" spans="2:12" hidden="1" outlineLevel="1" x14ac:dyDescent="0.25">
      <c r="B180" s="375">
        <v>41821</v>
      </c>
      <c r="C180" s="267"/>
      <c r="D180" s="267"/>
      <c r="E180" s="378">
        <v>881</v>
      </c>
      <c r="F180" s="378"/>
      <c r="G180" s="378"/>
      <c r="H180" s="378">
        <v>15</v>
      </c>
      <c r="I180" s="378"/>
      <c r="J180" s="378"/>
      <c r="K180" s="378">
        <v>646</v>
      </c>
      <c r="L180" s="378">
        <v>1542</v>
      </c>
    </row>
    <row r="181" spans="2:12" hidden="1" outlineLevel="1" x14ac:dyDescent="0.25">
      <c r="B181" s="375">
        <v>41852</v>
      </c>
      <c r="C181" s="267"/>
      <c r="D181" s="267"/>
      <c r="E181" s="378">
        <v>825</v>
      </c>
      <c r="F181" s="378"/>
      <c r="G181" s="378"/>
      <c r="H181" s="378">
        <v>28</v>
      </c>
      <c r="I181" s="378"/>
      <c r="J181" s="378"/>
      <c r="K181" s="378">
        <v>753</v>
      </c>
      <c r="L181" s="378">
        <v>1606</v>
      </c>
    </row>
    <row r="182" spans="2:12" hidden="1" outlineLevel="1" x14ac:dyDescent="0.25">
      <c r="B182" s="375">
        <v>41883</v>
      </c>
      <c r="C182" s="267"/>
      <c r="D182" s="267"/>
      <c r="E182" s="378">
        <v>1489</v>
      </c>
      <c r="F182" s="378"/>
      <c r="G182" s="378"/>
      <c r="H182" s="378">
        <v>41</v>
      </c>
      <c r="I182" s="378"/>
      <c r="J182" s="378"/>
      <c r="K182" s="378">
        <v>1146</v>
      </c>
      <c r="L182" s="378">
        <v>2676</v>
      </c>
    </row>
    <row r="183" spans="2:12" hidden="1" outlineLevel="1" x14ac:dyDescent="0.25">
      <c r="B183" s="375">
        <v>41913</v>
      </c>
      <c r="C183" s="267"/>
      <c r="D183" s="267"/>
      <c r="E183" s="378">
        <v>1667</v>
      </c>
      <c r="F183" s="378"/>
      <c r="G183" s="378"/>
      <c r="H183" s="378">
        <v>132</v>
      </c>
      <c r="I183" s="378"/>
      <c r="J183" s="378"/>
      <c r="K183" s="378">
        <v>827</v>
      </c>
      <c r="L183" s="378">
        <v>2626</v>
      </c>
    </row>
    <row r="184" spans="2:12" hidden="1" outlineLevel="1" x14ac:dyDescent="0.25">
      <c r="B184" s="375">
        <v>41944</v>
      </c>
      <c r="C184" s="267"/>
      <c r="D184" s="267"/>
      <c r="E184" s="378">
        <v>1332</v>
      </c>
      <c r="F184" s="378"/>
      <c r="G184" s="378"/>
      <c r="H184" s="378">
        <v>22</v>
      </c>
      <c r="I184" s="378"/>
      <c r="J184" s="378"/>
      <c r="K184" s="378">
        <v>1068</v>
      </c>
      <c r="L184" s="378">
        <v>2422</v>
      </c>
    </row>
    <row r="185" spans="2:12" hidden="1" outlineLevel="1" x14ac:dyDescent="0.25">
      <c r="B185" s="375">
        <v>41974</v>
      </c>
      <c r="C185" s="267"/>
      <c r="D185" s="267"/>
      <c r="E185" s="378">
        <v>500</v>
      </c>
      <c r="F185" s="378"/>
      <c r="G185" s="378"/>
      <c r="H185" s="378">
        <v>14</v>
      </c>
      <c r="I185" s="378"/>
      <c r="J185" s="378"/>
      <c r="K185" s="378">
        <v>835</v>
      </c>
      <c r="L185" s="378">
        <v>1349</v>
      </c>
    </row>
    <row r="186" spans="2:12" collapsed="1" x14ac:dyDescent="0.25">
      <c r="B186" s="243" t="s">
        <v>39</v>
      </c>
      <c r="C186" s="266"/>
      <c r="D186" s="266"/>
      <c r="E186" s="299">
        <v>11832</v>
      </c>
      <c r="F186" s="299"/>
      <c r="G186" s="299"/>
      <c r="H186" s="299">
        <v>299</v>
      </c>
      <c r="I186" s="299"/>
      <c r="J186" s="299"/>
      <c r="K186" s="299">
        <v>10790</v>
      </c>
      <c r="L186" s="299">
        <v>22921</v>
      </c>
    </row>
    <row r="187" spans="2:12" hidden="1" outlineLevel="1" x14ac:dyDescent="0.25">
      <c r="B187" s="375">
        <v>42005</v>
      </c>
      <c r="C187" s="267"/>
      <c r="D187" s="267"/>
      <c r="E187" s="378">
        <v>38</v>
      </c>
      <c r="F187" s="378"/>
      <c r="G187" s="378"/>
      <c r="H187" s="378">
        <v>896</v>
      </c>
      <c r="I187" s="378"/>
      <c r="J187" s="378"/>
      <c r="K187" s="378">
        <v>1448</v>
      </c>
      <c r="L187" s="378">
        <v>2382</v>
      </c>
    </row>
    <row r="188" spans="2:12" hidden="1" outlineLevel="1" x14ac:dyDescent="0.25">
      <c r="B188" s="375">
        <v>42036</v>
      </c>
      <c r="C188" s="267"/>
      <c r="D188" s="267"/>
      <c r="E188" s="378">
        <v>1411</v>
      </c>
      <c r="F188" s="378"/>
      <c r="G188" s="378"/>
      <c r="H188" s="378">
        <v>90</v>
      </c>
      <c r="I188" s="378"/>
      <c r="J188" s="378"/>
      <c r="K188" s="378">
        <v>2461</v>
      </c>
      <c r="L188" s="378">
        <v>3962</v>
      </c>
    </row>
    <row r="189" spans="2:12" hidden="1" outlineLevel="1" x14ac:dyDescent="0.25">
      <c r="B189" s="375">
        <v>42064</v>
      </c>
      <c r="C189" s="267"/>
      <c r="D189" s="267"/>
      <c r="E189" s="378">
        <v>1147</v>
      </c>
      <c r="F189" s="378"/>
      <c r="G189" s="378"/>
      <c r="H189" s="378">
        <v>78</v>
      </c>
      <c r="I189" s="378"/>
      <c r="J189" s="378"/>
      <c r="K189" s="378">
        <v>1427</v>
      </c>
      <c r="L189" s="378">
        <v>2652</v>
      </c>
    </row>
    <row r="190" spans="2:12" hidden="1" outlineLevel="1" x14ac:dyDescent="0.25">
      <c r="B190" s="375">
        <v>42095</v>
      </c>
      <c r="C190" s="267"/>
      <c r="D190" s="267"/>
      <c r="E190" s="378">
        <v>1650</v>
      </c>
      <c r="F190" s="378"/>
      <c r="G190" s="378"/>
      <c r="H190" s="378">
        <v>172</v>
      </c>
      <c r="I190" s="378"/>
      <c r="J190" s="378"/>
      <c r="K190" s="378">
        <v>1480</v>
      </c>
      <c r="L190" s="378">
        <v>3302</v>
      </c>
    </row>
    <row r="191" spans="2:12" hidden="1" outlineLevel="1" x14ac:dyDescent="0.25">
      <c r="B191" s="375">
        <v>42125</v>
      </c>
      <c r="C191" s="267"/>
      <c r="D191" s="267"/>
      <c r="E191" s="378">
        <v>1272</v>
      </c>
      <c r="F191" s="378"/>
      <c r="G191" s="378"/>
      <c r="H191" s="378">
        <v>123</v>
      </c>
      <c r="I191" s="378"/>
      <c r="J191" s="378"/>
      <c r="K191" s="378">
        <v>169</v>
      </c>
      <c r="L191" s="378">
        <v>1564</v>
      </c>
    </row>
    <row r="192" spans="2:12" hidden="1" outlineLevel="1" x14ac:dyDescent="0.25">
      <c r="B192" s="375">
        <v>42156</v>
      </c>
      <c r="C192" s="267"/>
      <c r="D192" s="267"/>
      <c r="E192" s="378">
        <v>1877</v>
      </c>
      <c r="F192" s="378"/>
      <c r="G192" s="378"/>
      <c r="H192" s="378">
        <v>135</v>
      </c>
      <c r="I192" s="378"/>
      <c r="J192" s="378"/>
      <c r="K192" s="378">
        <v>447</v>
      </c>
      <c r="L192" s="378">
        <v>2459</v>
      </c>
    </row>
    <row r="193" spans="2:12" hidden="1" outlineLevel="1" x14ac:dyDescent="0.25">
      <c r="B193" s="375">
        <v>42186</v>
      </c>
      <c r="C193" s="267"/>
      <c r="D193" s="267"/>
      <c r="E193" s="378">
        <v>1030</v>
      </c>
      <c r="F193" s="378"/>
      <c r="G193" s="378"/>
      <c r="H193" s="378">
        <v>110</v>
      </c>
      <c r="I193" s="378"/>
      <c r="J193" s="378"/>
      <c r="K193" s="378">
        <v>167</v>
      </c>
      <c r="L193" s="378">
        <v>1307</v>
      </c>
    </row>
    <row r="194" spans="2:12" hidden="1" outlineLevel="1" x14ac:dyDescent="0.25">
      <c r="B194" s="375">
        <v>42217</v>
      </c>
      <c r="C194" s="267"/>
      <c r="D194" s="267"/>
      <c r="E194" s="378">
        <v>1674</v>
      </c>
      <c r="F194" s="378"/>
      <c r="G194" s="378"/>
      <c r="H194" s="378">
        <v>113</v>
      </c>
      <c r="I194" s="378"/>
      <c r="J194" s="378"/>
      <c r="K194" s="378">
        <v>218</v>
      </c>
      <c r="L194" s="378">
        <v>2005</v>
      </c>
    </row>
    <row r="195" spans="2:12" hidden="1" outlineLevel="1" x14ac:dyDescent="0.25">
      <c r="B195" s="375">
        <v>42248</v>
      </c>
      <c r="C195" s="267"/>
      <c r="D195" s="267"/>
      <c r="E195" s="378">
        <v>1313</v>
      </c>
      <c r="F195" s="378"/>
      <c r="G195" s="378"/>
      <c r="H195" s="378">
        <v>136</v>
      </c>
      <c r="I195" s="378"/>
      <c r="J195" s="378"/>
      <c r="K195" s="378">
        <v>156</v>
      </c>
      <c r="L195" s="378">
        <v>1605</v>
      </c>
    </row>
    <row r="196" spans="2:12" hidden="1" outlineLevel="1" x14ac:dyDescent="0.25">
      <c r="B196" s="375">
        <v>42278</v>
      </c>
      <c r="C196" s="267"/>
      <c r="D196" s="267"/>
      <c r="E196" s="378">
        <v>5045</v>
      </c>
      <c r="F196" s="378"/>
      <c r="G196" s="378"/>
      <c r="H196" s="378">
        <v>104</v>
      </c>
      <c r="I196" s="378"/>
      <c r="J196" s="378"/>
      <c r="K196" s="378">
        <v>21</v>
      </c>
      <c r="L196" s="378">
        <v>5170</v>
      </c>
    </row>
    <row r="197" spans="2:12" hidden="1" outlineLevel="1" x14ac:dyDescent="0.25">
      <c r="B197" s="375">
        <v>42309</v>
      </c>
      <c r="C197" s="267"/>
      <c r="D197" s="267"/>
      <c r="E197" s="378">
        <v>1924</v>
      </c>
      <c r="F197" s="378"/>
      <c r="G197" s="378"/>
      <c r="H197" s="378">
        <v>764</v>
      </c>
      <c r="I197" s="378"/>
      <c r="J197" s="378"/>
      <c r="K197" s="378">
        <v>49</v>
      </c>
      <c r="L197" s="378">
        <v>2737</v>
      </c>
    </row>
    <row r="198" spans="2:12" hidden="1" outlineLevel="1" x14ac:dyDescent="0.25">
      <c r="B198" s="375">
        <v>42339</v>
      </c>
      <c r="C198" s="267"/>
      <c r="D198" s="267"/>
      <c r="E198" s="378">
        <v>1346</v>
      </c>
      <c r="F198" s="378"/>
      <c r="G198" s="378"/>
      <c r="H198" s="378">
        <v>239</v>
      </c>
      <c r="I198" s="378"/>
      <c r="J198" s="378"/>
      <c r="K198" s="378">
        <v>217</v>
      </c>
      <c r="L198" s="378">
        <v>1802</v>
      </c>
    </row>
    <row r="199" spans="2:12" collapsed="1" x14ac:dyDescent="0.25">
      <c r="B199" s="243" t="s">
        <v>41</v>
      </c>
      <c r="C199" s="266"/>
      <c r="D199" s="266"/>
      <c r="E199" s="299">
        <v>19727</v>
      </c>
      <c r="F199" s="299"/>
      <c r="G199" s="299"/>
      <c r="H199" s="299">
        <v>2960</v>
      </c>
      <c r="I199" s="299"/>
      <c r="J199" s="299"/>
      <c r="K199" s="299">
        <v>8260</v>
      </c>
      <c r="L199" s="299">
        <v>30947</v>
      </c>
    </row>
    <row r="200" spans="2:12" hidden="1" outlineLevel="1" x14ac:dyDescent="0.25">
      <c r="B200" s="375">
        <v>42370</v>
      </c>
      <c r="C200" s="267"/>
      <c r="D200" s="267"/>
      <c r="E200" s="378">
        <v>3773</v>
      </c>
      <c r="F200" s="378"/>
      <c r="G200" s="378"/>
      <c r="H200" s="378">
        <v>149</v>
      </c>
      <c r="I200" s="378"/>
      <c r="J200" s="378"/>
      <c r="K200" s="378">
        <v>57</v>
      </c>
      <c r="L200" s="378">
        <v>3979</v>
      </c>
    </row>
    <row r="201" spans="2:12" hidden="1" outlineLevel="1" x14ac:dyDescent="0.25">
      <c r="B201" s="375">
        <v>42401</v>
      </c>
      <c r="C201" s="267"/>
      <c r="D201" s="267"/>
      <c r="E201" s="378">
        <v>4253</v>
      </c>
      <c r="F201" s="378"/>
      <c r="G201" s="378"/>
      <c r="H201" s="378">
        <v>113</v>
      </c>
      <c r="I201" s="378"/>
      <c r="J201" s="378"/>
      <c r="K201" s="378">
        <v>0</v>
      </c>
      <c r="L201" s="378">
        <v>4366</v>
      </c>
    </row>
    <row r="202" spans="2:12" hidden="1" outlineLevel="1" x14ac:dyDescent="0.25">
      <c r="B202" s="375">
        <v>42430</v>
      </c>
      <c r="C202" s="267"/>
      <c r="D202" s="267"/>
      <c r="E202" s="378">
        <v>2016</v>
      </c>
      <c r="F202" s="378"/>
      <c r="G202" s="378"/>
      <c r="H202" s="378">
        <v>25</v>
      </c>
      <c r="I202" s="378"/>
      <c r="J202" s="378"/>
      <c r="K202" s="378">
        <v>15</v>
      </c>
      <c r="L202" s="378">
        <v>2056</v>
      </c>
    </row>
    <row r="203" spans="2:12" hidden="1" outlineLevel="1" x14ac:dyDescent="0.25">
      <c r="B203" s="375">
        <v>42461</v>
      </c>
      <c r="C203" s="267"/>
      <c r="D203" s="267"/>
      <c r="E203" s="378">
        <v>2405</v>
      </c>
      <c r="F203" s="378"/>
      <c r="G203" s="378"/>
      <c r="H203" s="378">
        <v>33</v>
      </c>
      <c r="I203" s="378"/>
      <c r="J203" s="378"/>
      <c r="K203" s="378">
        <v>16</v>
      </c>
      <c r="L203" s="378">
        <v>2454</v>
      </c>
    </row>
    <row r="204" spans="2:12" hidden="1" outlineLevel="1" x14ac:dyDescent="0.25">
      <c r="B204" s="375">
        <v>42491</v>
      </c>
      <c r="C204" s="267">
        <v>996</v>
      </c>
      <c r="D204" s="267">
        <v>817</v>
      </c>
      <c r="E204" s="378">
        <v>1813</v>
      </c>
      <c r="F204" s="378">
        <v>17</v>
      </c>
      <c r="G204" s="378">
        <v>17</v>
      </c>
      <c r="H204" s="378">
        <v>34</v>
      </c>
      <c r="I204" s="378">
        <v>8</v>
      </c>
      <c r="J204" s="378">
        <v>0</v>
      </c>
      <c r="K204" s="378">
        <v>8</v>
      </c>
      <c r="L204" s="378">
        <v>1855</v>
      </c>
    </row>
    <row r="205" spans="2:12" hidden="1" outlineLevel="1" x14ac:dyDescent="0.25">
      <c r="B205" s="375">
        <v>42522</v>
      </c>
      <c r="C205" s="267">
        <v>957</v>
      </c>
      <c r="D205" s="267">
        <v>898</v>
      </c>
      <c r="E205" s="378">
        <v>1855</v>
      </c>
      <c r="F205" s="378">
        <v>15</v>
      </c>
      <c r="G205" s="378">
        <v>21</v>
      </c>
      <c r="H205" s="378">
        <v>36</v>
      </c>
      <c r="I205" s="378">
        <v>11</v>
      </c>
      <c r="J205" s="378">
        <v>5</v>
      </c>
      <c r="K205" s="378">
        <v>16</v>
      </c>
      <c r="L205" s="378">
        <v>1907</v>
      </c>
    </row>
    <row r="206" spans="2:12" hidden="1" outlineLevel="1" x14ac:dyDescent="0.25">
      <c r="B206" s="375">
        <v>42552</v>
      </c>
      <c r="C206" s="267">
        <v>977</v>
      </c>
      <c r="D206" s="267">
        <v>835</v>
      </c>
      <c r="E206" s="378">
        <v>1812</v>
      </c>
      <c r="F206" s="378">
        <v>24</v>
      </c>
      <c r="G206" s="378">
        <v>24</v>
      </c>
      <c r="H206" s="378">
        <v>48</v>
      </c>
      <c r="I206" s="378">
        <v>10</v>
      </c>
      <c r="J206" s="378">
        <v>13</v>
      </c>
      <c r="K206" s="378">
        <v>23</v>
      </c>
      <c r="L206" s="378">
        <v>1883</v>
      </c>
    </row>
    <row r="207" spans="2:12" hidden="1" outlineLevel="1" x14ac:dyDescent="0.25">
      <c r="B207" s="375">
        <v>42583</v>
      </c>
      <c r="C207" s="267">
        <v>2266</v>
      </c>
      <c r="D207" s="267">
        <v>1640</v>
      </c>
      <c r="E207" s="378">
        <v>3906</v>
      </c>
      <c r="F207" s="378">
        <v>90</v>
      </c>
      <c r="G207" s="378">
        <v>73</v>
      </c>
      <c r="H207" s="378">
        <v>163</v>
      </c>
      <c r="I207" s="378">
        <v>19</v>
      </c>
      <c r="J207" s="378">
        <v>15</v>
      </c>
      <c r="K207" s="378">
        <v>34</v>
      </c>
      <c r="L207" s="378">
        <v>4103</v>
      </c>
    </row>
    <row r="208" spans="2:12" hidden="1" outlineLevel="1" x14ac:dyDescent="0.25">
      <c r="B208" s="375">
        <v>42614</v>
      </c>
      <c r="C208" s="267">
        <v>948</v>
      </c>
      <c r="D208" s="267">
        <v>779</v>
      </c>
      <c r="E208" s="378">
        <v>1727</v>
      </c>
      <c r="F208" s="378">
        <v>42</v>
      </c>
      <c r="G208" s="378">
        <v>41</v>
      </c>
      <c r="H208" s="378">
        <v>83</v>
      </c>
      <c r="I208" s="378">
        <v>3</v>
      </c>
      <c r="J208" s="378">
        <v>0</v>
      </c>
      <c r="K208" s="378">
        <v>3</v>
      </c>
      <c r="L208" s="378">
        <v>1813</v>
      </c>
    </row>
    <row r="209" spans="2:12" hidden="1" outlineLevel="1" x14ac:dyDescent="0.25">
      <c r="B209" s="375">
        <v>42644</v>
      </c>
      <c r="C209" s="267">
        <v>770</v>
      </c>
      <c r="D209" s="267">
        <v>832</v>
      </c>
      <c r="E209" s="378">
        <v>1602</v>
      </c>
      <c r="F209" s="378">
        <v>13</v>
      </c>
      <c r="G209" s="378">
        <v>16</v>
      </c>
      <c r="H209" s="378">
        <v>29</v>
      </c>
      <c r="I209" s="378">
        <v>0</v>
      </c>
      <c r="J209" s="378">
        <v>0</v>
      </c>
      <c r="K209" s="378">
        <v>0</v>
      </c>
      <c r="L209" s="378">
        <v>1631</v>
      </c>
    </row>
    <row r="210" spans="2:12" hidden="1" outlineLevel="1" x14ac:dyDescent="0.25">
      <c r="B210" s="375">
        <v>42675</v>
      </c>
      <c r="C210" s="267">
        <v>484</v>
      </c>
      <c r="D210" s="267">
        <v>317</v>
      </c>
      <c r="E210" s="378">
        <v>801</v>
      </c>
      <c r="F210" s="378">
        <v>12</v>
      </c>
      <c r="G210" s="378">
        <v>9</v>
      </c>
      <c r="H210" s="378">
        <v>21</v>
      </c>
      <c r="I210" s="378">
        <v>0</v>
      </c>
      <c r="J210" s="378">
        <v>0</v>
      </c>
      <c r="K210" s="378">
        <v>0</v>
      </c>
      <c r="L210" s="378">
        <v>822</v>
      </c>
    </row>
    <row r="211" spans="2:12" hidden="1" outlineLevel="1" x14ac:dyDescent="0.25">
      <c r="B211" s="375">
        <v>42705</v>
      </c>
      <c r="C211" s="267">
        <v>1057</v>
      </c>
      <c r="D211" s="267">
        <v>797</v>
      </c>
      <c r="E211" s="378">
        <v>1854</v>
      </c>
      <c r="F211" s="378">
        <v>156</v>
      </c>
      <c r="G211" s="378">
        <v>126</v>
      </c>
      <c r="H211" s="378">
        <v>282</v>
      </c>
      <c r="I211" s="378">
        <v>6</v>
      </c>
      <c r="J211" s="378">
        <v>0</v>
      </c>
      <c r="K211" s="378">
        <v>6</v>
      </c>
      <c r="L211" s="378">
        <v>2142</v>
      </c>
    </row>
    <row r="212" spans="2:12" collapsed="1" x14ac:dyDescent="0.25">
      <c r="B212" s="243" t="s">
        <v>58</v>
      </c>
      <c r="C212" s="300"/>
      <c r="D212" s="300"/>
      <c r="E212" s="299">
        <v>27817</v>
      </c>
      <c r="F212" s="299"/>
      <c r="G212" s="299"/>
      <c r="H212" s="299">
        <v>1016</v>
      </c>
      <c r="I212" s="299"/>
      <c r="J212" s="299"/>
      <c r="K212" s="299">
        <v>178</v>
      </c>
      <c r="L212" s="299">
        <v>29011</v>
      </c>
    </row>
    <row r="213" spans="2:12" hidden="1" outlineLevel="1" x14ac:dyDescent="0.25">
      <c r="B213" s="375">
        <v>42736</v>
      </c>
      <c r="C213" s="267">
        <v>1709</v>
      </c>
      <c r="D213" s="267">
        <v>1188</v>
      </c>
      <c r="E213" s="378">
        <v>2897</v>
      </c>
      <c r="F213" s="378">
        <v>87</v>
      </c>
      <c r="G213" s="378">
        <v>62</v>
      </c>
      <c r="H213" s="378">
        <v>149</v>
      </c>
      <c r="I213" s="378">
        <v>21</v>
      </c>
      <c r="J213" s="378">
        <v>22</v>
      </c>
      <c r="K213" s="378">
        <v>43</v>
      </c>
      <c r="L213" s="378">
        <v>3089</v>
      </c>
    </row>
    <row r="214" spans="2:12" hidden="1" outlineLevel="1" x14ac:dyDescent="0.25">
      <c r="B214" s="375">
        <v>42767</v>
      </c>
      <c r="C214" s="267">
        <v>1599</v>
      </c>
      <c r="D214" s="267">
        <v>1237</v>
      </c>
      <c r="E214" s="378">
        <v>2836</v>
      </c>
      <c r="F214" s="378">
        <v>35</v>
      </c>
      <c r="G214" s="378">
        <v>42</v>
      </c>
      <c r="H214" s="378">
        <v>77</v>
      </c>
      <c r="I214" s="378">
        <v>11</v>
      </c>
      <c r="J214" s="378">
        <v>10</v>
      </c>
      <c r="K214" s="378">
        <v>21</v>
      </c>
      <c r="L214" s="378">
        <v>2934</v>
      </c>
    </row>
    <row r="215" spans="2:12" hidden="1" outlineLevel="1" x14ac:dyDescent="0.25">
      <c r="B215" s="375">
        <v>42795</v>
      </c>
      <c r="C215" s="267">
        <v>1281</v>
      </c>
      <c r="D215" s="267">
        <v>949</v>
      </c>
      <c r="E215" s="378">
        <v>2230</v>
      </c>
      <c r="F215" s="378">
        <v>63</v>
      </c>
      <c r="G215" s="378">
        <v>47</v>
      </c>
      <c r="H215" s="378">
        <v>110</v>
      </c>
      <c r="I215" s="378">
        <v>18</v>
      </c>
      <c r="J215" s="378">
        <v>10</v>
      </c>
      <c r="K215" s="378">
        <v>28</v>
      </c>
      <c r="L215" s="378">
        <v>2368</v>
      </c>
    </row>
    <row r="216" spans="2:12" hidden="1" outlineLevel="1" x14ac:dyDescent="0.25">
      <c r="B216" s="375">
        <v>42826</v>
      </c>
      <c r="C216" s="267">
        <v>694</v>
      </c>
      <c r="D216" s="267">
        <v>578</v>
      </c>
      <c r="E216" s="378">
        <v>1272</v>
      </c>
      <c r="F216" s="378">
        <v>16</v>
      </c>
      <c r="G216" s="378">
        <v>19</v>
      </c>
      <c r="H216" s="378">
        <v>35</v>
      </c>
      <c r="I216" s="378">
        <v>8</v>
      </c>
      <c r="J216" s="378">
        <v>7</v>
      </c>
      <c r="K216" s="378">
        <v>15</v>
      </c>
      <c r="L216" s="378">
        <v>1322</v>
      </c>
    </row>
    <row r="217" spans="2:12" hidden="1" outlineLevel="1" x14ac:dyDescent="0.25">
      <c r="B217" s="375">
        <v>42856</v>
      </c>
      <c r="C217" s="267">
        <v>698</v>
      </c>
      <c r="D217" s="267">
        <v>493</v>
      </c>
      <c r="E217" s="378">
        <v>1191</v>
      </c>
      <c r="F217" s="378">
        <v>13</v>
      </c>
      <c r="G217" s="378">
        <v>3</v>
      </c>
      <c r="H217" s="378">
        <v>16</v>
      </c>
      <c r="I217" s="378">
        <v>45</v>
      </c>
      <c r="J217" s="378">
        <v>41</v>
      </c>
      <c r="K217" s="378">
        <v>86</v>
      </c>
      <c r="L217" s="378">
        <v>1293</v>
      </c>
    </row>
    <row r="218" spans="2:12" hidden="1" outlineLevel="1" x14ac:dyDescent="0.25">
      <c r="B218" s="375">
        <v>42887</v>
      </c>
      <c r="C218" s="267">
        <v>891</v>
      </c>
      <c r="D218" s="267">
        <v>581</v>
      </c>
      <c r="E218" s="378">
        <v>1472</v>
      </c>
      <c r="F218" s="378">
        <v>18</v>
      </c>
      <c r="G218" s="378">
        <v>18</v>
      </c>
      <c r="H218" s="378">
        <v>36</v>
      </c>
      <c r="I218" s="378">
        <v>10</v>
      </c>
      <c r="J218" s="378">
        <v>12</v>
      </c>
      <c r="K218" s="378">
        <v>22</v>
      </c>
      <c r="L218" s="378">
        <v>1530</v>
      </c>
    </row>
    <row r="219" spans="2:12" hidden="1" outlineLevel="1" x14ac:dyDescent="0.25">
      <c r="B219" s="375">
        <v>42917</v>
      </c>
      <c r="C219" s="267">
        <v>857</v>
      </c>
      <c r="D219" s="267">
        <v>571</v>
      </c>
      <c r="E219" s="378">
        <v>1428</v>
      </c>
      <c r="F219" s="378">
        <v>15</v>
      </c>
      <c r="G219" s="378">
        <v>14</v>
      </c>
      <c r="H219" s="378">
        <v>29</v>
      </c>
      <c r="I219" s="378">
        <v>84</v>
      </c>
      <c r="J219" s="378">
        <v>54</v>
      </c>
      <c r="K219" s="378">
        <v>138</v>
      </c>
      <c r="L219" s="378">
        <v>1595</v>
      </c>
    </row>
    <row r="220" spans="2:12" hidden="1" outlineLevel="1" x14ac:dyDescent="0.25">
      <c r="B220" s="375">
        <v>42948</v>
      </c>
      <c r="C220" s="267">
        <v>697</v>
      </c>
      <c r="D220" s="267">
        <v>460</v>
      </c>
      <c r="E220" s="378">
        <v>1157</v>
      </c>
      <c r="F220" s="378">
        <v>11</v>
      </c>
      <c r="G220" s="378">
        <v>9</v>
      </c>
      <c r="H220" s="378">
        <v>20</v>
      </c>
      <c r="I220" s="378">
        <v>43</v>
      </c>
      <c r="J220" s="378">
        <v>34</v>
      </c>
      <c r="K220" s="378">
        <v>77</v>
      </c>
      <c r="L220" s="378">
        <v>1254</v>
      </c>
    </row>
    <row r="221" spans="2:12" hidden="1" outlineLevel="1" x14ac:dyDescent="0.25">
      <c r="B221" s="375">
        <v>42979</v>
      </c>
      <c r="C221" s="267">
        <v>850</v>
      </c>
      <c r="D221" s="267">
        <v>547</v>
      </c>
      <c r="E221" s="378">
        <v>1397</v>
      </c>
      <c r="F221" s="378">
        <v>1</v>
      </c>
      <c r="G221" s="378">
        <v>3</v>
      </c>
      <c r="H221" s="378">
        <v>4</v>
      </c>
      <c r="I221" s="378">
        <v>12</v>
      </c>
      <c r="J221" s="378">
        <v>14</v>
      </c>
      <c r="K221" s="378">
        <v>26</v>
      </c>
      <c r="L221" s="378">
        <v>1427</v>
      </c>
    </row>
    <row r="222" spans="2:12" hidden="1" outlineLevel="1" x14ac:dyDescent="0.25">
      <c r="B222" s="375">
        <v>43009</v>
      </c>
      <c r="C222" s="267">
        <v>305</v>
      </c>
      <c r="D222" s="267">
        <v>234</v>
      </c>
      <c r="E222" s="378">
        <v>539</v>
      </c>
      <c r="F222" s="378">
        <v>11</v>
      </c>
      <c r="G222" s="378">
        <v>11</v>
      </c>
      <c r="H222" s="378">
        <v>22</v>
      </c>
      <c r="I222" s="378">
        <v>36</v>
      </c>
      <c r="J222" s="378">
        <v>19</v>
      </c>
      <c r="K222" s="378">
        <v>55</v>
      </c>
      <c r="L222" s="378">
        <v>616</v>
      </c>
    </row>
    <row r="223" spans="2:12" hidden="1" outlineLevel="1" x14ac:dyDescent="0.25">
      <c r="B223" s="375">
        <v>43040</v>
      </c>
      <c r="C223" s="267">
        <v>524</v>
      </c>
      <c r="D223" s="267">
        <v>369</v>
      </c>
      <c r="E223" s="378">
        <v>893</v>
      </c>
      <c r="F223" s="378">
        <v>15</v>
      </c>
      <c r="G223" s="378">
        <v>6</v>
      </c>
      <c r="H223" s="378">
        <v>21</v>
      </c>
      <c r="I223" s="378">
        <v>22</v>
      </c>
      <c r="J223" s="378">
        <v>11</v>
      </c>
      <c r="K223" s="378">
        <v>33</v>
      </c>
      <c r="L223" s="378">
        <v>947</v>
      </c>
    </row>
    <row r="224" spans="2:12" hidden="1" outlineLevel="1" x14ac:dyDescent="0.25">
      <c r="B224" s="375">
        <v>43070</v>
      </c>
      <c r="C224" s="267">
        <v>638</v>
      </c>
      <c r="D224" s="267">
        <v>595</v>
      </c>
      <c r="E224" s="378">
        <v>1233</v>
      </c>
      <c r="F224" s="378">
        <v>17</v>
      </c>
      <c r="G224" s="378">
        <v>15</v>
      </c>
      <c r="H224" s="378">
        <v>32</v>
      </c>
      <c r="I224" s="378">
        <v>5</v>
      </c>
      <c r="J224" s="378">
        <v>5</v>
      </c>
      <c r="K224" s="378">
        <v>10</v>
      </c>
      <c r="L224" s="378">
        <v>1275</v>
      </c>
    </row>
    <row r="225" spans="2:12" collapsed="1" x14ac:dyDescent="0.25">
      <c r="B225" s="243" t="s">
        <v>61</v>
      </c>
      <c r="C225" s="299"/>
      <c r="D225" s="299"/>
      <c r="E225" s="299">
        <v>18545</v>
      </c>
      <c r="F225" s="299"/>
      <c r="G225" s="299"/>
      <c r="H225" s="299">
        <v>551</v>
      </c>
      <c r="I225" s="299"/>
      <c r="J225" s="299"/>
      <c r="K225" s="299">
        <v>554</v>
      </c>
      <c r="L225" s="299">
        <v>19650</v>
      </c>
    </row>
    <row r="226" spans="2:12" hidden="1" outlineLevel="1" x14ac:dyDescent="0.25">
      <c r="B226" s="375">
        <v>43101</v>
      </c>
      <c r="C226" s="267">
        <v>755</v>
      </c>
      <c r="D226" s="267">
        <v>663</v>
      </c>
      <c r="E226" s="378">
        <v>1418</v>
      </c>
      <c r="F226" s="378">
        <v>14</v>
      </c>
      <c r="G226" s="378">
        <v>12</v>
      </c>
      <c r="H226" s="378">
        <v>26</v>
      </c>
      <c r="I226" s="378">
        <v>8</v>
      </c>
      <c r="J226" s="378">
        <v>3</v>
      </c>
      <c r="K226" s="378">
        <v>11</v>
      </c>
      <c r="L226" s="378">
        <v>1455</v>
      </c>
    </row>
    <row r="227" spans="2:12" hidden="1" outlineLevel="1" x14ac:dyDescent="0.25">
      <c r="B227" s="375">
        <v>43132</v>
      </c>
      <c r="C227" s="267">
        <v>908</v>
      </c>
      <c r="D227" s="267">
        <v>778</v>
      </c>
      <c r="E227" s="378">
        <v>1686</v>
      </c>
      <c r="F227" s="378">
        <v>16</v>
      </c>
      <c r="G227" s="378">
        <v>9</v>
      </c>
      <c r="H227" s="378">
        <v>25</v>
      </c>
      <c r="I227" s="378">
        <v>55</v>
      </c>
      <c r="J227" s="378">
        <v>50</v>
      </c>
      <c r="K227" s="378">
        <v>105</v>
      </c>
      <c r="L227" s="378">
        <v>1816</v>
      </c>
    </row>
    <row r="228" spans="2:12" hidden="1" outlineLevel="1" x14ac:dyDescent="0.25">
      <c r="B228" s="375">
        <v>43160</v>
      </c>
      <c r="C228" s="267">
        <v>1306</v>
      </c>
      <c r="D228" s="267">
        <v>853</v>
      </c>
      <c r="E228" s="378">
        <v>2159</v>
      </c>
      <c r="F228" s="378">
        <v>34</v>
      </c>
      <c r="G228" s="378">
        <v>26</v>
      </c>
      <c r="H228" s="378">
        <v>60</v>
      </c>
      <c r="I228" s="378">
        <v>35</v>
      </c>
      <c r="J228" s="378">
        <v>15</v>
      </c>
      <c r="K228" s="378">
        <v>50</v>
      </c>
      <c r="L228" s="378">
        <v>2269</v>
      </c>
    </row>
    <row r="229" spans="2:12" hidden="1" outlineLevel="1" x14ac:dyDescent="0.25">
      <c r="B229" s="375">
        <v>43191</v>
      </c>
      <c r="C229" s="267">
        <v>1004</v>
      </c>
      <c r="D229" s="267">
        <v>564</v>
      </c>
      <c r="E229" s="378">
        <v>1568</v>
      </c>
      <c r="F229" s="378">
        <v>19</v>
      </c>
      <c r="G229" s="378">
        <v>14</v>
      </c>
      <c r="H229" s="378">
        <v>33</v>
      </c>
      <c r="I229" s="378">
        <v>20</v>
      </c>
      <c r="J229" s="378">
        <v>18</v>
      </c>
      <c r="K229" s="378">
        <v>38</v>
      </c>
      <c r="L229" s="378">
        <v>1639</v>
      </c>
    </row>
    <row r="230" spans="2:12" hidden="1" outlineLevel="1" x14ac:dyDescent="0.25">
      <c r="B230" s="375">
        <v>43221</v>
      </c>
      <c r="C230" s="267">
        <v>717</v>
      </c>
      <c r="D230" s="267">
        <v>410</v>
      </c>
      <c r="E230" s="378">
        <v>1127</v>
      </c>
      <c r="F230" s="378">
        <v>17</v>
      </c>
      <c r="G230" s="378">
        <v>15</v>
      </c>
      <c r="H230" s="378">
        <v>32</v>
      </c>
      <c r="I230" s="378">
        <v>26</v>
      </c>
      <c r="J230" s="378">
        <v>26</v>
      </c>
      <c r="K230" s="378">
        <v>52</v>
      </c>
      <c r="L230" s="378">
        <v>1211</v>
      </c>
    </row>
    <row r="231" spans="2:12" hidden="1" outlineLevel="1" x14ac:dyDescent="0.25">
      <c r="B231" s="375">
        <v>43252</v>
      </c>
      <c r="C231" s="267">
        <v>1018</v>
      </c>
      <c r="D231" s="267">
        <v>658</v>
      </c>
      <c r="E231" s="378">
        <v>1676</v>
      </c>
      <c r="F231" s="378">
        <v>18</v>
      </c>
      <c r="G231" s="378">
        <v>12</v>
      </c>
      <c r="H231" s="378">
        <v>30</v>
      </c>
      <c r="I231" s="378">
        <v>23</v>
      </c>
      <c r="J231" s="378">
        <v>10</v>
      </c>
      <c r="K231" s="378">
        <v>33</v>
      </c>
      <c r="L231" s="378">
        <v>1739</v>
      </c>
    </row>
    <row r="232" spans="2:12" hidden="1" outlineLevel="1" x14ac:dyDescent="0.25">
      <c r="B232" s="375">
        <v>43282</v>
      </c>
      <c r="C232" s="267">
        <v>845</v>
      </c>
      <c r="D232" s="267">
        <v>604</v>
      </c>
      <c r="E232" s="378">
        <v>1449</v>
      </c>
      <c r="F232" s="378">
        <v>17</v>
      </c>
      <c r="G232" s="378">
        <v>33</v>
      </c>
      <c r="H232" s="378">
        <v>50</v>
      </c>
      <c r="I232" s="378">
        <v>35</v>
      </c>
      <c r="J232" s="378">
        <v>31</v>
      </c>
      <c r="K232" s="378">
        <v>66</v>
      </c>
      <c r="L232" s="378">
        <v>1565</v>
      </c>
    </row>
    <row r="233" spans="2:12" hidden="1" outlineLevel="1" x14ac:dyDescent="0.25">
      <c r="B233" s="375">
        <v>43313</v>
      </c>
      <c r="C233" s="267">
        <v>1178</v>
      </c>
      <c r="D233" s="267">
        <v>821</v>
      </c>
      <c r="E233" s="378">
        <v>1999</v>
      </c>
      <c r="F233" s="378">
        <v>20</v>
      </c>
      <c r="G233" s="378">
        <v>30</v>
      </c>
      <c r="H233" s="378">
        <v>50</v>
      </c>
      <c r="I233" s="378">
        <v>33</v>
      </c>
      <c r="J233" s="378">
        <v>28</v>
      </c>
      <c r="K233" s="378">
        <v>61</v>
      </c>
      <c r="L233" s="378">
        <v>2110</v>
      </c>
    </row>
    <row r="234" spans="2:12" hidden="1" outlineLevel="1" x14ac:dyDescent="0.25">
      <c r="B234" s="375">
        <v>43344</v>
      </c>
      <c r="C234" s="267">
        <v>1529</v>
      </c>
      <c r="D234" s="267">
        <v>1059</v>
      </c>
      <c r="E234" s="378">
        <v>2588</v>
      </c>
      <c r="F234" s="378">
        <v>40</v>
      </c>
      <c r="G234" s="378">
        <v>42</v>
      </c>
      <c r="H234" s="378">
        <v>82</v>
      </c>
      <c r="I234" s="378">
        <v>45</v>
      </c>
      <c r="J234" s="378">
        <v>15</v>
      </c>
      <c r="K234" s="378">
        <v>60</v>
      </c>
      <c r="L234" s="378">
        <v>2730</v>
      </c>
    </row>
    <row r="235" spans="2:12" hidden="1" outlineLevel="1" x14ac:dyDescent="0.25">
      <c r="B235" s="375">
        <v>43374</v>
      </c>
      <c r="C235" s="267">
        <v>978</v>
      </c>
      <c r="D235" s="267">
        <v>757</v>
      </c>
      <c r="E235" s="378">
        <v>1735</v>
      </c>
      <c r="F235" s="378">
        <v>21</v>
      </c>
      <c r="G235" s="378">
        <v>40</v>
      </c>
      <c r="H235" s="378">
        <v>61</v>
      </c>
      <c r="I235" s="378">
        <v>27</v>
      </c>
      <c r="J235" s="378">
        <v>13</v>
      </c>
      <c r="K235" s="378">
        <v>40</v>
      </c>
      <c r="L235" s="378">
        <v>1836</v>
      </c>
    </row>
    <row r="236" spans="2:12" hidden="1" outlineLevel="1" x14ac:dyDescent="0.25">
      <c r="B236" s="375">
        <v>43405</v>
      </c>
      <c r="C236" s="267">
        <v>583</v>
      </c>
      <c r="D236" s="267">
        <v>278</v>
      </c>
      <c r="E236" s="378">
        <v>861</v>
      </c>
      <c r="F236" s="378">
        <v>9</v>
      </c>
      <c r="G236" s="378">
        <v>8</v>
      </c>
      <c r="H236" s="378">
        <v>17</v>
      </c>
      <c r="I236" s="378">
        <v>63</v>
      </c>
      <c r="J236" s="378">
        <v>44</v>
      </c>
      <c r="K236" s="378">
        <v>107</v>
      </c>
      <c r="L236" s="378">
        <v>985</v>
      </c>
    </row>
    <row r="237" spans="2:12" hidden="1" outlineLevel="1" x14ac:dyDescent="0.25">
      <c r="B237" s="375">
        <v>43435</v>
      </c>
      <c r="C237" s="267">
        <v>1471</v>
      </c>
      <c r="D237" s="267">
        <v>707</v>
      </c>
      <c r="E237" s="378">
        <v>2178</v>
      </c>
      <c r="F237" s="378">
        <v>34</v>
      </c>
      <c r="G237" s="378">
        <v>21</v>
      </c>
      <c r="H237" s="378">
        <v>55</v>
      </c>
      <c r="I237" s="378">
        <v>49</v>
      </c>
      <c r="J237" s="378">
        <v>38</v>
      </c>
      <c r="K237" s="378">
        <v>87</v>
      </c>
      <c r="L237" s="378">
        <v>2320</v>
      </c>
    </row>
    <row r="238" spans="2:12" collapsed="1" x14ac:dyDescent="0.25">
      <c r="B238" s="243" t="s">
        <v>62</v>
      </c>
      <c r="C238" s="299"/>
      <c r="D238" s="299"/>
      <c r="E238" s="299">
        <v>20444</v>
      </c>
      <c r="F238" s="299"/>
      <c r="G238" s="299"/>
      <c r="H238" s="299">
        <v>521</v>
      </c>
      <c r="I238" s="299"/>
      <c r="J238" s="299"/>
      <c r="K238" s="299">
        <v>710</v>
      </c>
      <c r="L238" s="299">
        <v>21675</v>
      </c>
    </row>
    <row r="239" spans="2:12" hidden="1" outlineLevel="1" x14ac:dyDescent="0.25">
      <c r="B239" s="375">
        <v>43466</v>
      </c>
      <c r="C239" s="267">
        <v>1585</v>
      </c>
      <c r="D239" s="267">
        <v>954</v>
      </c>
      <c r="E239" s="378">
        <v>2539</v>
      </c>
      <c r="F239" s="378">
        <v>44</v>
      </c>
      <c r="G239" s="378">
        <v>43</v>
      </c>
      <c r="H239" s="378">
        <v>87</v>
      </c>
      <c r="I239" s="378">
        <v>82</v>
      </c>
      <c r="J239" s="378">
        <v>27</v>
      </c>
      <c r="K239" s="378">
        <v>109</v>
      </c>
      <c r="L239" s="378">
        <v>2735</v>
      </c>
    </row>
    <row r="240" spans="2:12" hidden="1" outlineLevel="1" x14ac:dyDescent="0.25">
      <c r="B240" s="375">
        <v>43497</v>
      </c>
      <c r="C240" s="267">
        <v>1537</v>
      </c>
      <c r="D240" s="267">
        <v>762</v>
      </c>
      <c r="E240" s="378">
        <v>2299</v>
      </c>
      <c r="F240" s="378">
        <v>27</v>
      </c>
      <c r="G240" s="378">
        <v>19</v>
      </c>
      <c r="H240" s="378">
        <v>46</v>
      </c>
      <c r="I240" s="378">
        <v>54</v>
      </c>
      <c r="J240" s="378">
        <v>28</v>
      </c>
      <c r="K240" s="378">
        <v>82</v>
      </c>
      <c r="L240" s="378">
        <v>2427</v>
      </c>
    </row>
    <row r="241" spans="2:12" hidden="1" outlineLevel="1" x14ac:dyDescent="0.25">
      <c r="B241" s="375">
        <v>43525</v>
      </c>
      <c r="C241" s="267">
        <v>454</v>
      </c>
      <c r="D241" s="267">
        <v>329</v>
      </c>
      <c r="E241" s="378">
        <v>783</v>
      </c>
      <c r="F241" s="378">
        <v>8</v>
      </c>
      <c r="G241" s="378">
        <v>7</v>
      </c>
      <c r="H241" s="378">
        <v>15</v>
      </c>
      <c r="I241" s="378">
        <v>5</v>
      </c>
      <c r="J241" s="378">
        <v>6</v>
      </c>
      <c r="K241" s="378">
        <v>11</v>
      </c>
      <c r="L241" s="378">
        <v>809</v>
      </c>
    </row>
    <row r="242" spans="2:12" hidden="1" outlineLevel="1" x14ac:dyDescent="0.25">
      <c r="B242" s="375">
        <v>43556</v>
      </c>
      <c r="C242" s="267">
        <v>988</v>
      </c>
      <c r="D242" s="267">
        <v>507</v>
      </c>
      <c r="E242" s="378">
        <v>1495</v>
      </c>
      <c r="F242" s="378">
        <v>20</v>
      </c>
      <c r="G242" s="378">
        <v>11</v>
      </c>
      <c r="H242" s="378">
        <v>31</v>
      </c>
      <c r="I242" s="378">
        <v>72</v>
      </c>
      <c r="J242" s="378">
        <v>46</v>
      </c>
      <c r="K242" s="378">
        <v>118</v>
      </c>
      <c r="L242" s="378">
        <v>1644</v>
      </c>
    </row>
    <row r="243" spans="2:12" hidden="1" outlineLevel="1" x14ac:dyDescent="0.25">
      <c r="B243" s="375">
        <v>43586</v>
      </c>
      <c r="C243" s="267">
        <v>995</v>
      </c>
      <c r="D243" s="267">
        <v>602</v>
      </c>
      <c r="E243" s="378">
        <v>1597</v>
      </c>
      <c r="F243" s="378">
        <v>30</v>
      </c>
      <c r="G243" s="378">
        <v>28</v>
      </c>
      <c r="H243" s="378">
        <v>58</v>
      </c>
      <c r="I243" s="378">
        <v>60</v>
      </c>
      <c r="J243" s="378">
        <v>33</v>
      </c>
      <c r="K243" s="378">
        <v>93</v>
      </c>
      <c r="L243" s="378">
        <v>1748</v>
      </c>
    </row>
    <row r="244" spans="2:12" hidden="1" outlineLevel="1" x14ac:dyDescent="0.25">
      <c r="B244" s="375">
        <v>43617</v>
      </c>
      <c r="C244" s="267">
        <v>1868</v>
      </c>
      <c r="D244" s="267">
        <v>1297</v>
      </c>
      <c r="E244" s="378">
        <v>3165</v>
      </c>
      <c r="F244" s="378">
        <v>86</v>
      </c>
      <c r="G244" s="378">
        <v>86</v>
      </c>
      <c r="H244" s="378">
        <v>172</v>
      </c>
      <c r="I244" s="378">
        <v>50</v>
      </c>
      <c r="J244" s="378">
        <v>30</v>
      </c>
      <c r="K244" s="378">
        <v>80</v>
      </c>
      <c r="L244" s="378">
        <v>3417</v>
      </c>
    </row>
    <row r="245" spans="2:12" hidden="1" outlineLevel="1" x14ac:dyDescent="0.25">
      <c r="B245" s="375">
        <v>43647</v>
      </c>
      <c r="C245" s="267">
        <v>2276</v>
      </c>
      <c r="D245" s="267">
        <v>1274</v>
      </c>
      <c r="E245" s="378">
        <v>3550</v>
      </c>
      <c r="F245" s="378">
        <v>43</v>
      </c>
      <c r="G245" s="378">
        <v>59</v>
      </c>
      <c r="H245" s="378">
        <v>102</v>
      </c>
      <c r="I245" s="378">
        <v>108</v>
      </c>
      <c r="J245" s="378">
        <v>70</v>
      </c>
      <c r="K245" s="378">
        <v>178</v>
      </c>
      <c r="L245" s="378">
        <v>3830</v>
      </c>
    </row>
    <row r="246" spans="2:12" hidden="1" outlineLevel="1" x14ac:dyDescent="0.25">
      <c r="B246" s="375">
        <v>43678</v>
      </c>
      <c r="C246" s="267">
        <v>1983</v>
      </c>
      <c r="D246" s="267">
        <v>1098</v>
      </c>
      <c r="E246" s="378">
        <v>3081</v>
      </c>
      <c r="F246" s="378">
        <v>57</v>
      </c>
      <c r="G246" s="378">
        <v>62</v>
      </c>
      <c r="H246" s="378">
        <v>119</v>
      </c>
      <c r="I246" s="378">
        <v>78</v>
      </c>
      <c r="J246" s="378">
        <v>37</v>
      </c>
      <c r="K246" s="378">
        <v>115</v>
      </c>
      <c r="L246" s="378">
        <v>3315</v>
      </c>
    </row>
    <row r="247" spans="2:12" hidden="1" outlineLevel="1" x14ac:dyDescent="0.25">
      <c r="B247" s="375">
        <v>43709</v>
      </c>
      <c r="C247" s="267">
        <v>1341</v>
      </c>
      <c r="D247" s="267">
        <v>990</v>
      </c>
      <c r="E247" s="378">
        <v>2331</v>
      </c>
      <c r="F247" s="378">
        <v>18</v>
      </c>
      <c r="G247" s="378">
        <v>11</v>
      </c>
      <c r="H247" s="378">
        <v>29</v>
      </c>
      <c r="I247" s="378">
        <v>23</v>
      </c>
      <c r="J247" s="378">
        <v>15</v>
      </c>
      <c r="K247" s="378">
        <v>38</v>
      </c>
      <c r="L247" s="378">
        <v>2398</v>
      </c>
    </row>
    <row r="248" spans="2:12" hidden="1" outlineLevel="1" x14ac:dyDescent="0.25">
      <c r="B248" s="375">
        <v>43739</v>
      </c>
      <c r="C248" s="267">
        <v>866</v>
      </c>
      <c r="D248" s="267">
        <v>575</v>
      </c>
      <c r="E248" s="378">
        <v>1441</v>
      </c>
      <c r="F248" s="378">
        <v>51</v>
      </c>
      <c r="G248" s="378">
        <v>40</v>
      </c>
      <c r="H248" s="378">
        <v>91</v>
      </c>
      <c r="I248" s="378">
        <v>31</v>
      </c>
      <c r="J248" s="378">
        <v>12</v>
      </c>
      <c r="K248" s="378">
        <v>43</v>
      </c>
      <c r="L248" s="378">
        <v>1575</v>
      </c>
    </row>
    <row r="249" spans="2:12" hidden="1" outlineLevel="1" x14ac:dyDescent="0.25">
      <c r="B249" s="375">
        <v>43770</v>
      </c>
      <c r="C249" s="267">
        <v>902</v>
      </c>
      <c r="D249" s="267">
        <v>489</v>
      </c>
      <c r="E249" s="378">
        <v>1391</v>
      </c>
      <c r="F249" s="378">
        <v>23</v>
      </c>
      <c r="G249" s="378">
        <v>20</v>
      </c>
      <c r="H249" s="378">
        <v>43</v>
      </c>
      <c r="I249" s="378">
        <v>24</v>
      </c>
      <c r="J249" s="378">
        <v>18</v>
      </c>
      <c r="K249" s="378">
        <v>42</v>
      </c>
      <c r="L249" s="378">
        <v>1476</v>
      </c>
    </row>
    <row r="250" spans="2:12" hidden="1" outlineLevel="1" x14ac:dyDescent="0.25">
      <c r="B250" s="375">
        <v>43800</v>
      </c>
      <c r="C250" s="267">
        <v>491</v>
      </c>
      <c r="D250" s="267">
        <v>410</v>
      </c>
      <c r="E250" s="378">
        <v>901</v>
      </c>
      <c r="F250" s="378">
        <v>12</v>
      </c>
      <c r="G250" s="378">
        <v>12</v>
      </c>
      <c r="H250" s="378">
        <v>24</v>
      </c>
      <c r="I250" s="378">
        <v>3</v>
      </c>
      <c r="J250" s="378">
        <v>1</v>
      </c>
      <c r="K250" s="378">
        <v>4</v>
      </c>
      <c r="L250" s="378">
        <v>929</v>
      </c>
    </row>
    <row r="251" spans="2:12" collapsed="1" x14ac:dyDescent="0.25">
      <c r="B251" s="243" t="s">
        <v>63</v>
      </c>
      <c r="C251" s="299"/>
      <c r="D251" s="299"/>
      <c r="E251" s="299">
        <v>24573</v>
      </c>
      <c r="F251" s="299"/>
      <c r="G251" s="299"/>
      <c r="H251" s="299">
        <v>817</v>
      </c>
      <c r="I251" s="299"/>
      <c r="J251" s="299"/>
      <c r="K251" s="299">
        <v>913</v>
      </c>
      <c r="L251" s="299">
        <v>26303</v>
      </c>
    </row>
    <row r="252" spans="2:12" hidden="1" outlineLevel="1" x14ac:dyDescent="0.25">
      <c r="B252" s="375">
        <v>43831</v>
      </c>
      <c r="C252" s="267">
        <v>1205</v>
      </c>
      <c r="D252" s="267">
        <v>702</v>
      </c>
      <c r="E252" s="378">
        <v>1907</v>
      </c>
      <c r="F252" s="378">
        <v>38</v>
      </c>
      <c r="G252" s="378">
        <v>19</v>
      </c>
      <c r="H252" s="378">
        <v>57</v>
      </c>
      <c r="I252" s="378">
        <v>54</v>
      </c>
      <c r="J252" s="378">
        <v>37</v>
      </c>
      <c r="K252" s="378">
        <v>91</v>
      </c>
      <c r="L252" s="378">
        <v>2055</v>
      </c>
    </row>
    <row r="253" spans="2:12" hidden="1" outlineLevel="1" x14ac:dyDescent="0.25">
      <c r="B253" s="375">
        <v>43862</v>
      </c>
      <c r="C253" s="267">
        <v>1372</v>
      </c>
      <c r="D253" s="267">
        <v>1327</v>
      </c>
      <c r="E253" s="378">
        <v>2699</v>
      </c>
      <c r="F253" s="378">
        <v>81</v>
      </c>
      <c r="G253" s="378">
        <v>150</v>
      </c>
      <c r="H253" s="378">
        <v>231</v>
      </c>
      <c r="I253" s="378">
        <v>42</v>
      </c>
      <c r="J253" s="378">
        <v>28</v>
      </c>
      <c r="K253" s="378">
        <v>70</v>
      </c>
      <c r="L253" s="378">
        <v>3000</v>
      </c>
    </row>
    <row r="254" spans="2:12" hidden="1" outlineLevel="1" x14ac:dyDescent="0.25">
      <c r="B254" s="375">
        <v>43891</v>
      </c>
      <c r="C254" s="267">
        <v>1750</v>
      </c>
      <c r="D254" s="267">
        <v>1162</v>
      </c>
      <c r="E254" s="378">
        <v>2912</v>
      </c>
      <c r="F254" s="378">
        <v>73</v>
      </c>
      <c r="G254" s="378">
        <v>85</v>
      </c>
      <c r="H254" s="378">
        <v>158</v>
      </c>
      <c r="I254" s="378">
        <v>60</v>
      </c>
      <c r="J254" s="378">
        <v>49</v>
      </c>
      <c r="K254" s="378">
        <v>109</v>
      </c>
      <c r="L254" s="378">
        <v>3179</v>
      </c>
    </row>
    <row r="255" spans="2:12" hidden="1" outlineLevel="1" x14ac:dyDescent="0.25">
      <c r="B255" s="375">
        <v>43922</v>
      </c>
      <c r="C255" s="267">
        <v>3482</v>
      </c>
      <c r="D255" s="267">
        <v>2096</v>
      </c>
      <c r="E255" s="378">
        <v>5578</v>
      </c>
      <c r="F255" s="378">
        <v>132</v>
      </c>
      <c r="G255" s="378">
        <v>116</v>
      </c>
      <c r="H255" s="378">
        <v>248</v>
      </c>
      <c r="I255" s="378">
        <v>239</v>
      </c>
      <c r="J255" s="378">
        <v>157</v>
      </c>
      <c r="K255" s="378">
        <v>396</v>
      </c>
      <c r="L255" s="378">
        <v>6222</v>
      </c>
    </row>
    <row r="256" spans="2:12" hidden="1" outlineLevel="1" x14ac:dyDescent="0.25">
      <c r="B256" s="375">
        <v>43952</v>
      </c>
      <c r="C256" s="267">
        <v>3376</v>
      </c>
      <c r="D256" s="267">
        <v>1668</v>
      </c>
      <c r="E256" s="378">
        <v>5044</v>
      </c>
      <c r="F256" s="378">
        <v>71</v>
      </c>
      <c r="G256" s="378">
        <v>48</v>
      </c>
      <c r="H256" s="378">
        <v>119</v>
      </c>
      <c r="I256" s="378">
        <v>238</v>
      </c>
      <c r="J256" s="378">
        <v>203</v>
      </c>
      <c r="K256" s="378">
        <v>441</v>
      </c>
      <c r="L256" s="378">
        <v>5604</v>
      </c>
    </row>
    <row r="257" spans="2:12" hidden="1" outlineLevel="1" x14ac:dyDescent="0.25">
      <c r="B257" s="375">
        <v>43983</v>
      </c>
      <c r="C257" s="267">
        <v>3453</v>
      </c>
      <c r="D257" s="267">
        <v>1719</v>
      </c>
      <c r="E257" s="378">
        <v>5172</v>
      </c>
      <c r="F257" s="378">
        <v>56</v>
      </c>
      <c r="G257" s="378">
        <v>45</v>
      </c>
      <c r="H257" s="378">
        <v>101</v>
      </c>
      <c r="I257" s="378">
        <v>241</v>
      </c>
      <c r="J257" s="378">
        <v>217</v>
      </c>
      <c r="K257" s="378">
        <v>458</v>
      </c>
      <c r="L257" s="378">
        <v>5731</v>
      </c>
    </row>
    <row r="258" spans="2:12" hidden="1" outlineLevel="1" x14ac:dyDescent="0.25">
      <c r="B258" s="375">
        <v>44013</v>
      </c>
      <c r="C258" s="267">
        <v>4515</v>
      </c>
      <c r="D258" s="267">
        <v>2459</v>
      </c>
      <c r="E258" s="378">
        <v>6974</v>
      </c>
      <c r="F258" s="378">
        <v>191</v>
      </c>
      <c r="G258" s="378">
        <v>130</v>
      </c>
      <c r="H258" s="378">
        <v>321</v>
      </c>
      <c r="I258" s="378">
        <v>497</v>
      </c>
      <c r="J258" s="378">
        <v>390</v>
      </c>
      <c r="K258" s="378">
        <v>887</v>
      </c>
      <c r="L258" s="378">
        <v>8182</v>
      </c>
    </row>
    <row r="259" spans="2:12" hidden="1" outlineLevel="1" x14ac:dyDescent="0.25">
      <c r="B259" s="375">
        <v>44044</v>
      </c>
      <c r="C259" s="267">
        <v>4543</v>
      </c>
      <c r="D259" s="267">
        <v>2497</v>
      </c>
      <c r="E259" s="378">
        <v>7040</v>
      </c>
      <c r="F259" s="378">
        <v>180</v>
      </c>
      <c r="G259" s="378">
        <v>146</v>
      </c>
      <c r="H259" s="378">
        <v>326</v>
      </c>
      <c r="I259" s="378">
        <v>246</v>
      </c>
      <c r="J259" s="378">
        <v>221</v>
      </c>
      <c r="K259" s="378">
        <v>467</v>
      </c>
      <c r="L259" s="378">
        <v>7833</v>
      </c>
    </row>
    <row r="260" spans="2:12" hidden="1" outlineLevel="1" x14ac:dyDescent="0.25">
      <c r="B260" s="375">
        <v>44075</v>
      </c>
      <c r="C260" s="267">
        <v>2169</v>
      </c>
      <c r="D260" s="267">
        <v>1096</v>
      </c>
      <c r="E260" s="378">
        <v>3265</v>
      </c>
      <c r="F260" s="378">
        <v>93</v>
      </c>
      <c r="G260" s="378">
        <v>82</v>
      </c>
      <c r="H260" s="378">
        <v>175</v>
      </c>
      <c r="I260" s="378">
        <v>123</v>
      </c>
      <c r="J260" s="378">
        <v>80</v>
      </c>
      <c r="K260" s="378">
        <v>203</v>
      </c>
      <c r="L260" s="378">
        <v>3643</v>
      </c>
    </row>
    <row r="261" spans="2:12" hidden="1" outlineLevel="1" x14ac:dyDescent="0.25">
      <c r="B261" s="375">
        <v>44105</v>
      </c>
      <c r="C261" s="267">
        <v>1870</v>
      </c>
      <c r="D261" s="267">
        <v>1040</v>
      </c>
      <c r="E261" s="378">
        <v>2910</v>
      </c>
      <c r="F261" s="378">
        <v>30</v>
      </c>
      <c r="G261" s="378">
        <v>43</v>
      </c>
      <c r="H261" s="378">
        <v>73</v>
      </c>
      <c r="I261" s="378">
        <v>145</v>
      </c>
      <c r="J261" s="378">
        <v>90</v>
      </c>
      <c r="K261" s="378">
        <v>235</v>
      </c>
      <c r="L261" s="378">
        <v>3218</v>
      </c>
    </row>
    <row r="262" spans="2:12" hidden="1" outlineLevel="1" x14ac:dyDescent="0.25">
      <c r="B262" s="375">
        <v>44136</v>
      </c>
      <c r="C262" s="267">
        <v>1395</v>
      </c>
      <c r="D262" s="267">
        <v>773</v>
      </c>
      <c r="E262" s="378">
        <v>2168</v>
      </c>
      <c r="F262" s="378">
        <v>61</v>
      </c>
      <c r="G262" s="378">
        <v>54</v>
      </c>
      <c r="H262" s="378">
        <v>115</v>
      </c>
      <c r="I262" s="378">
        <v>89</v>
      </c>
      <c r="J262" s="378">
        <v>79</v>
      </c>
      <c r="K262" s="378">
        <v>168</v>
      </c>
      <c r="L262" s="378">
        <v>2451</v>
      </c>
    </row>
    <row r="263" spans="2:12" hidden="1" outlineLevel="1" x14ac:dyDescent="0.25">
      <c r="B263" s="375">
        <v>44166</v>
      </c>
      <c r="C263" s="267">
        <v>1662</v>
      </c>
      <c r="D263" s="267">
        <v>710</v>
      </c>
      <c r="E263" s="378">
        <v>2372</v>
      </c>
      <c r="F263" s="378">
        <v>30</v>
      </c>
      <c r="G263" s="378">
        <v>31</v>
      </c>
      <c r="H263" s="378">
        <v>61</v>
      </c>
      <c r="I263" s="378">
        <v>73</v>
      </c>
      <c r="J263" s="378">
        <v>61</v>
      </c>
      <c r="K263" s="378">
        <v>134</v>
      </c>
      <c r="L263" s="378">
        <v>2567</v>
      </c>
    </row>
    <row r="264" spans="2:12" collapsed="1" x14ac:dyDescent="0.25">
      <c r="B264" s="243" t="s">
        <v>67</v>
      </c>
      <c r="C264" s="299"/>
      <c r="D264" s="299"/>
      <c r="E264" s="299">
        <v>48041</v>
      </c>
      <c r="F264" s="299"/>
      <c r="G264" s="299"/>
      <c r="H264" s="299">
        <v>1985</v>
      </c>
      <c r="I264" s="299"/>
      <c r="J264" s="299"/>
      <c r="K264" s="299">
        <v>3659</v>
      </c>
      <c r="L264" s="299">
        <v>53685</v>
      </c>
    </row>
    <row r="265" spans="2:12" hidden="1" outlineLevel="1" x14ac:dyDescent="0.25">
      <c r="B265" s="375">
        <v>44197</v>
      </c>
      <c r="C265" s="267">
        <v>2090</v>
      </c>
      <c r="D265" s="267">
        <v>934</v>
      </c>
      <c r="E265" s="378">
        <v>3024</v>
      </c>
      <c r="F265" s="378">
        <v>46</v>
      </c>
      <c r="G265" s="378">
        <v>31</v>
      </c>
      <c r="H265" s="378">
        <v>77</v>
      </c>
      <c r="I265" s="378">
        <v>112</v>
      </c>
      <c r="J265" s="378">
        <v>101</v>
      </c>
      <c r="K265" s="378">
        <v>213</v>
      </c>
      <c r="L265" s="378">
        <v>3314</v>
      </c>
    </row>
    <row r="266" spans="2:12" hidden="1" outlineLevel="1" x14ac:dyDescent="0.25">
      <c r="B266" s="375">
        <v>44228</v>
      </c>
      <c r="C266" s="267">
        <v>2887</v>
      </c>
      <c r="D266" s="267">
        <v>1200</v>
      </c>
      <c r="E266" s="378">
        <v>4087</v>
      </c>
      <c r="F266" s="378">
        <v>78</v>
      </c>
      <c r="G266" s="378">
        <v>53</v>
      </c>
      <c r="H266" s="378">
        <v>131</v>
      </c>
      <c r="I266" s="378">
        <v>114</v>
      </c>
      <c r="J266" s="378">
        <v>90</v>
      </c>
      <c r="K266" s="378">
        <v>204</v>
      </c>
      <c r="L266" s="378">
        <v>4422</v>
      </c>
    </row>
    <row r="267" spans="2:12" hidden="1" outlineLevel="1" x14ac:dyDescent="0.25">
      <c r="B267" s="375">
        <v>44256</v>
      </c>
      <c r="C267" s="267">
        <v>3264</v>
      </c>
      <c r="D267" s="267">
        <v>1514</v>
      </c>
      <c r="E267" s="378">
        <v>4778</v>
      </c>
      <c r="F267" s="378">
        <v>49</v>
      </c>
      <c r="G267" s="378">
        <v>53</v>
      </c>
      <c r="H267" s="378">
        <v>102</v>
      </c>
      <c r="I267" s="378">
        <v>308</v>
      </c>
      <c r="J267" s="378">
        <v>203</v>
      </c>
      <c r="K267" s="378">
        <v>511</v>
      </c>
      <c r="L267" s="378">
        <v>5391</v>
      </c>
    </row>
    <row r="268" spans="2:12" hidden="1" outlineLevel="1" x14ac:dyDescent="0.25">
      <c r="B268" s="375">
        <v>44287</v>
      </c>
      <c r="C268" s="267">
        <v>4279</v>
      </c>
      <c r="D268" s="267">
        <v>2062</v>
      </c>
      <c r="E268" s="378">
        <v>6341</v>
      </c>
      <c r="F268" s="378">
        <v>106</v>
      </c>
      <c r="G268" s="378">
        <v>82</v>
      </c>
      <c r="H268" s="378">
        <v>188</v>
      </c>
      <c r="I268" s="378">
        <v>342</v>
      </c>
      <c r="J268" s="378">
        <v>272</v>
      </c>
      <c r="K268" s="378">
        <v>614</v>
      </c>
      <c r="L268" s="378">
        <v>7143</v>
      </c>
    </row>
    <row r="269" spans="2:12" hidden="1" outlineLevel="1" x14ac:dyDescent="0.25">
      <c r="B269" s="375">
        <v>44317</v>
      </c>
      <c r="C269" s="267">
        <v>3493</v>
      </c>
      <c r="D269" s="267">
        <v>1924</v>
      </c>
      <c r="E269" s="378">
        <v>5417</v>
      </c>
      <c r="F269" s="378">
        <v>95</v>
      </c>
      <c r="G269" s="378">
        <v>76</v>
      </c>
      <c r="H269" s="378">
        <v>171</v>
      </c>
      <c r="I269" s="378">
        <v>260</v>
      </c>
      <c r="J269" s="378">
        <v>237</v>
      </c>
      <c r="K269" s="378">
        <v>497</v>
      </c>
      <c r="L269" s="378">
        <v>6085</v>
      </c>
    </row>
    <row r="270" spans="2:12" hidden="1" outlineLevel="1" x14ac:dyDescent="0.25">
      <c r="B270" s="375">
        <v>44348</v>
      </c>
      <c r="C270" s="267">
        <v>2836</v>
      </c>
      <c r="D270" s="267">
        <v>1991</v>
      </c>
      <c r="E270" s="378">
        <v>4827</v>
      </c>
      <c r="F270" s="378">
        <v>87</v>
      </c>
      <c r="G270" s="378">
        <v>140</v>
      </c>
      <c r="H270" s="378">
        <v>227</v>
      </c>
      <c r="I270" s="378">
        <v>262</v>
      </c>
      <c r="J270" s="378">
        <v>199</v>
      </c>
      <c r="K270" s="378">
        <v>461</v>
      </c>
      <c r="L270" s="378">
        <v>5515</v>
      </c>
    </row>
    <row r="271" spans="2:12" hidden="1" outlineLevel="1" x14ac:dyDescent="0.25">
      <c r="B271" s="375">
        <v>44378</v>
      </c>
      <c r="C271" s="267">
        <v>2343</v>
      </c>
      <c r="D271" s="267">
        <v>1233</v>
      </c>
      <c r="E271" s="378">
        <v>3576</v>
      </c>
      <c r="F271" s="378">
        <v>100</v>
      </c>
      <c r="G271" s="378">
        <v>93</v>
      </c>
      <c r="H271" s="378">
        <v>193</v>
      </c>
      <c r="I271" s="378">
        <v>212</v>
      </c>
      <c r="J271" s="378">
        <v>162</v>
      </c>
      <c r="K271" s="378">
        <v>374</v>
      </c>
      <c r="L271" s="378">
        <v>4143</v>
      </c>
    </row>
    <row r="272" spans="2:12" hidden="1" outlineLevel="1" x14ac:dyDescent="0.25">
      <c r="B272" s="375">
        <v>44409</v>
      </c>
      <c r="C272" s="267">
        <v>2201</v>
      </c>
      <c r="D272" s="267">
        <v>996</v>
      </c>
      <c r="E272" s="378">
        <v>3197</v>
      </c>
      <c r="F272" s="378">
        <v>47</v>
      </c>
      <c r="G272" s="378">
        <v>37</v>
      </c>
      <c r="H272" s="378">
        <v>84</v>
      </c>
      <c r="I272" s="378">
        <v>212</v>
      </c>
      <c r="J272" s="378">
        <v>146</v>
      </c>
      <c r="K272" s="378">
        <v>358</v>
      </c>
      <c r="L272" s="378">
        <v>3639</v>
      </c>
    </row>
    <row r="273" spans="2:12" hidden="1" outlineLevel="1" x14ac:dyDescent="0.25">
      <c r="B273" s="375">
        <v>44440</v>
      </c>
      <c r="C273" s="267">
        <v>1991</v>
      </c>
      <c r="D273" s="267">
        <v>1077</v>
      </c>
      <c r="E273" s="378">
        <v>3068</v>
      </c>
      <c r="F273" s="378">
        <v>76</v>
      </c>
      <c r="G273" s="378">
        <v>70</v>
      </c>
      <c r="H273" s="378">
        <v>146</v>
      </c>
      <c r="I273" s="378">
        <v>208</v>
      </c>
      <c r="J273" s="378">
        <v>146</v>
      </c>
      <c r="K273" s="378">
        <v>354</v>
      </c>
      <c r="L273" s="378">
        <v>3568</v>
      </c>
    </row>
    <row r="274" spans="2:12" hidden="1" outlineLevel="1" x14ac:dyDescent="0.25">
      <c r="B274" s="375">
        <v>44470</v>
      </c>
      <c r="C274" s="267">
        <v>1639</v>
      </c>
      <c r="D274" s="267">
        <v>788</v>
      </c>
      <c r="E274" s="378">
        <v>2427</v>
      </c>
      <c r="F274" s="378">
        <v>61</v>
      </c>
      <c r="G274" s="378">
        <v>34</v>
      </c>
      <c r="H274" s="378">
        <v>95</v>
      </c>
      <c r="I274" s="378">
        <v>144</v>
      </c>
      <c r="J274" s="378">
        <v>79</v>
      </c>
      <c r="K274" s="378">
        <v>223</v>
      </c>
      <c r="L274" s="378">
        <v>2745</v>
      </c>
    </row>
    <row r="275" spans="2:12" hidden="1" outlineLevel="1" x14ac:dyDescent="0.25">
      <c r="B275" s="375">
        <v>44501</v>
      </c>
      <c r="C275" s="267">
        <v>1532</v>
      </c>
      <c r="D275" s="267">
        <v>765</v>
      </c>
      <c r="E275" s="378">
        <v>2297</v>
      </c>
      <c r="F275" s="378">
        <v>25</v>
      </c>
      <c r="G275" s="378">
        <v>18</v>
      </c>
      <c r="H275" s="378">
        <v>43</v>
      </c>
      <c r="I275" s="378">
        <v>179</v>
      </c>
      <c r="J275" s="378">
        <v>114</v>
      </c>
      <c r="K275" s="378">
        <v>293</v>
      </c>
      <c r="L275" s="378">
        <v>2633</v>
      </c>
    </row>
    <row r="276" spans="2:12" hidden="1" outlineLevel="1" x14ac:dyDescent="0.25">
      <c r="B276" s="375">
        <v>44531</v>
      </c>
      <c r="C276" s="267">
        <v>1277</v>
      </c>
      <c r="D276" s="267">
        <v>646</v>
      </c>
      <c r="E276" s="378">
        <v>1923</v>
      </c>
      <c r="F276" s="378">
        <v>39</v>
      </c>
      <c r="G276" s="378">
        <v>24</v>
      </c>
      <c r="H276" s="378">
        <v>63</v>
      </c>
      <c r="I276" s="378">
        <v>76</v>
      </c>
      <c r="J276" s="378">
        <v>105</v>
      </c>
      <c r="K276" s="378">
        <v>181</v>
      </c>
      <c r="L276" s="378">
        <v>2167</v>
      </c>
    </row>
    <row r="277" spans="2:12" collapsed="1" x14ac:dyDescent="0.25">
      <c r="B277" s="243" t="s">
        <v>68</v>
      </c>
      <c r="C277" s="299">
        <v>29832</v>
      </c>
      <c r="D277" s="299">
        <v>15130</v>
      </c>
      <c r="E277" s="299">
        <v>44962</v>
      </c>
      <c r="F277" s="299">
        <v>809</v>
      </c>
      <c r="G277" s="299">
        <v>711</v>
      </c>
      <c r="H277" s="299">
        <v>1520</v>
      </c>
      <c r="I277" s="299">
        <v>2429</v>
      </c>
      <c r="J277" s="299">
        <v>1854</v>
      </c>
      <c r="K277" s="299">
        <v>4283</v>
      </c>
      <c r="L277" s="299">
        <v>50765</v>
      </c>
    </row>
    <row r="278" spans="2:12" outlineLevel="1" x14ac:dyDescent="0.25">
      <c r="B278" s="375">
        <v>44562</v>
      </c>
      <c r="C278" s="267">
        <v>1886</v>
      </c>
      <c r="D278" s="267">
        <v>887</v>
      </c>
      <c r="E278" s="378">
        <v>2773</v>
      </c>
      <c r="F278" s="378">
        <v>53</v>
      </c>
      <c r="G278" s="378">
        <v>47</v>
      </c>
      <c r="H278" s="378">
        <v>100</v>
      </c>
      <c r="I278" s="378">
        <v>181</v>
      </c>
      <c r="J278" s="378">
        <v>113</v>
      </c>
      <c r="K278" s="378">
        <v>294</v>
      </c>
      <c r="L278" s="378">
        <v>3167</v>
      </c>
    </row>
    <row r="279" spans="2:12" outlineLevel="1" x14ac:dyDescent="0.25">
      <c r="B279" s="375">
        <v>44593</v>
      </c>
      <c r="C279" s="267">
        <v>1412</v>
      </c>
      <c r="D279" s="267">
        <v>595</v>
      </c>
      <c r="E279" s="378">
        <v>2007</v>
      </c>
      <c r="F279" s="378">
        <v>30</v>
      </c>
      <c r="G279" s="378">
        <v>18</v>
      </c>
      <c r="H279" s="378">
        <v>48</v>
      </c>
      <c r="I279" s="378">
        <v>91</v>
      </c>
      <c r="J279" s="378">
        <v>65</v>
      </c>
      <c r="K279" s="378">
        <v>156</v>
      </c>
      <c r="L279" s="378">
        <v>2211</v>
      </c>
    </row>
    <row r="280" spans="2:12" outlineLevel="1" x14ac:dyDescent="0.25">
      <c r="B280" s="375">
        <v>44621</v>
      </c>
      <c r="C280" s="267">
        <v>1162</v>
      </c>
      <c r="D280" s="267">
        <v>726</v>
      </c>
      <c r="E280" s="378">
        <v>1888</v>
      </c>
      <c r="F280" s="378">
        <v>26</v>
      </c>
      <c r="G280" s="378">
        <v>33</v>
      </c>
      <c r="H280" s="378">
        <v>59</v>
      </c>
      <c r="I280" s="378">
        <v>134</v>
      </c>
      <c r="J280" s="378">
        <v>63</v>
      </c>
      <c r="K280" s="378">
        <v>197</v>
      </c>
      <c r="L280" s="378">
        <v>2144</v>
      </c>
    </row>
    <row r="281" spans="2:12" outlineLevel="1" x14ac:dyDescent="0.25">
      <c r="B281" s="375">
        <v>44652</v>
      </c>
      <c r="C281" s="267">
        <v>3769</v>
      </c>
      <c r="D281" s="267">
        <v>1904</v>
      </c>
      <c r="E281" s="378">
        <v>5673</v>
      </c>
      <c r="F281" s="378">
        <v>61</v>
      </c>
      <c r="G281" s="378">
        <v>35</v>
      </c>
      <c r="H281" s="378">
        <v>96</v>
      </c>
      <c r="I281" s="378">
        <v>462</v>
      </c>
      <c r="J281" s="378">
        <v>323</v>
      </c>
      <c r="K281" s="378">
        <v>785</v>
      </c>
      <c r="L281" s="378">
        <v>6554</v>
      </c>
    </row>
    <row r="282" spans="2:12" outlineLevel="1" x14ac:dyDescent="0.25">
      <c r="B282" s="375">
        <v>44682</v>
      </c>
      <c r="C282" s="267">
        <v>2974</v>
      </c>
      <c r="D282" s="267">
        <v>1701</v>
      </c>
      <c r="E282" s="378">
        <v>4675</v>
      </c>
      <c r="F282" s="378">
        <v>45</v>
      </c>
      <c r="G282" s="378">
        <v>26</v>
      </c>
      <c r="H282" s="378">
        <v>71</v>
      </c>
      <c r="I282" s="378">
        <v>95</v>
      </c>
      <c r="J282" s="378">
        <v>56</v>
      </c>
      <c r="K282" s="378">
        <v>151</v>
      </c>
      <c r="L282" s="378">
        <v>4897</v>
      </c>
    </row>
    <row r="283" spans="2:12" outlineLevel="1" x14ac:dyDescent="0.25">
      <c r="B283" s="375">
        <v>44713</v>
      </c>
      <c r="C283" s="267">
        <v>2583</v>
      </c>
      <c r="D283" s="267">
        <v>1144</v>
      </c>
      <c r="E283" s="378">
        <v>3727</v>
      </c>
      <c r="F283" s="378">
        <v>69</v>
      </c>
      <c r="G283" s="378">
        <v>74</v>
      </c>
      <c r="H283" s="378">
        <v>143</v>
      </c>
      <c r="I283" s="378">
        <v>154</v>
      </c>
      <c r="J283" s="378">
        <v>115</v>
      </c>
      <c r="K283" s="378">
        <v>269</v>
      </c>
      <c r="L283" s="378">
        <v>4139</v>
      </c>
    </row>
    <row r="284" spans="2:12" outlineLevel="1" x14ac:dyDescent="0.25">
      <c r="B284" s="375">
        <v>44743</v>
      </c>
      <c r="C284" s="267">
        <v>3721</v>
      </c>
      <c r="D284" s="267">
        <v>1573</v>
      </c>
      <c r="E284" s="378">
        <v>5294</v>
      </c>
      <c r="F284" s="378">
        <v>88</v>
      </c>
      <c r="G284" s="378">
        <v>48</v>
      </c>
      <c r="H284" s="378">
        <v>136</v>
      </c>
      <c r="I284" s="378">
        <v>303</v>
      </c>
      <c r="J284" s="378">
        <v>185</v>
      </c>
      <c r="K284" s="378">
        <v>488</v>
      </c>
      <c r="L284" s="378">
        <v>5918</v>
      </c>
    </row>
    <row r="285" spans="2:12" outlineLevel="1" x14ac:dyDescent="0.25">
      <c r="B285" s="375">
        <v>44774</v>
      </c>
      <c r="C285" s="267">
        <v>4303</v>
      </c>
      <c r="D285" s="267">
        <v>1721</v>
      </c>
      <c r="E285" s="378">
        <v>6024</v>
      </c>
      <c r="F285" s="378">
        <v>106</v>
      </c>
      <c r="G285" s="378">
        <v>83</v>
      </c>
      <c r="H285" s="378">
        <v>189</v>
      </c>
      <c r="I285" s="378">
        <v>340</v>
      </c>
      <c r="J285" s="378">
        <v>203</v>
      </c>
      <c r="K285" s="378">
        <v>543</v>
      </c>
      <c r="L285" s="378">
        <v>6756</v>
      </c>
    </row>
    <row r="286" spans="2:12" outlineLevel="1" x14ac:dyDescent="0.25">
      <c r="B286" s="375">
        <v>44805</v>
      </c>
      <c r="C286" s="267">
        <v>2112</v>
      </c>
      <c r="D286" s="267">
        <v>1341</v>
      </c>
      <c r="E286" s="378">
        <v>3453</v>
      </c>
      <c r="F286" s="378">
        <v>57</v>
      </c>
      <c r="G286" s="378">
        <v>48</v>
      </c>
      <c r="H286" s="378">
        <v>105</v>
      </c>
      <c r="I286" s="378">
        <v>84</v>
      </c>
      <c r="J286" s="378">
        <v>45</v>
      </c>
      <c r="K286" s="378">
        <v>129</v>
      </c>
      <c r="L286" s="378">
        <v>3687</v>
      </c>
    </row>
    <row r="287" spans="2:12" outlineLevel="1" x14ac:dyDescent="0.25">
      <c r="B287" s="375">
        <v>44835</v>
      </c>
      <c r="C287" s="267">
        <v>4150</v>
      </c>
      <c r="D287" s="267">
        <v>1782</v>
      </c>
      <c r="E287" s="378">
        <v>5932</v>
      </c>
      <c r="F287" s="378">
        <v>116</v>
      </c>
      <c r="G287" s="378">
        <v>81</v>
      </c>
      <c r="H287" s="378">
        <v>197</v>
      </c>
      <c r="I287" s="378">
        <v>398</v>
      </c>
      <c r="J287" s="378">
        <v>247</v>
      </c>
      <c r="K287" s="378">
        <v>645</v>
      </c>
      <c r="L287" s="378">
        <v>6774</v>
      </c>
    </row>
    <row r="288" spans="2:12" outlineLevel="1" x14ac:dyDescent="0.25">
      <c r="B288" s="375">
        <v>44866</v>
      </c>
      <c r="C288" s="267">
        <v>2043</v>
      </c>
      <c r="D288" s="267">
        <v>877</v>
      </c>
      <c r="E288" s="378">
        <v>2920</v>
      </c>
      <c r="F288" s="378">
        <v>75</v>
      </c>
      <c r="G288" s="378">
        <v>80</v>
      </c>
      <c r="H288" s="378">
        <v>155</v>
      </c>
      <c r="I288" s="378">
        <v>97</v>
      </c>
      <c r="J288" s="378">
        <v>58</v>
      </c>
      <c r="K288" s="378">
        <v>155</v>
      </c>
      <c r="L288" s="378">
        <v>3230</v>
      </c>
    </row>
    <row r="289" spans="2:12" outlineLevel="1" x14ac:dyDescent="0.25">
      <c r="B289" s="375">
        <v>44896</v>
      </c>
      <c r="C289" s="267">
        <v>803</v>
      </c>
      <c r="D289" s="267">
        <v>425</v>
      </c>
      <c r="E289" s="378">
        <v>1228</v>
      </c>
      <c r="F289" s="378">
        <v>4</v>
      </c>
      <c r="G289" s="378">
        <v>13</v>
      </c>
      <c r="H289" s="378">
        <v>17</v>
      </c>
      <c r="I289" s="378">
        <v>104</v>
      </c>
      <c r="J289" s="378">
        <v>65</v>
      </c>
      <c r="K289" s="378">
        <v>169</v>
      </c>
      <c r="L289" s="378">
        <v>1414</v>
      </c>
    </row>
    <row r="290" spans="2:12" x14ac:dyDescent="0.25">
      <c r="B290" s="303" t="s">
        <v>69</v>
      </c>
      <c r="C290" s="299">
        <v>30918</v>
      </c>
      <c r="D290" s="299">
        <v>14676</v>
      </c>
      <c r="E290" s="299">
        <v>45594</v>
      </c>
      <c r="F290" s="299">
        <v>730</v>
      </c>
      <c r="G290" s="299">
        <v>586</v>
      </c>
      <c r="H290" s="299">
        <v>1316</v>
      </c>
      <c r="I290" s="299">
        <v>2443</v>
      </c>
      <c r="J290" s="299">
        <v>1538</v>
      </c>
      <c r="K290" s="299">
        <v>3981</v>
      </c>
      <c r="L290" s="299">
        <v>50891</v>
      </c>
    </row>
    <row r="291" spans="2:12" outlineLevel="1" x14ac:dyDescent="0.25">
      <c r="B291" s="375">
        <v>44927</v>
      </c>
      <c r="C291" s="267">
        <v>3854</v>
      </c>
      <c r="D291" s="267">
        <v>1528</v>
      </c>
      <c r="E291" s="378">
        <v>5382</v>
      </c>
      <c r="F291" s="378">
        <v>73</v>
      </c>
      <c r="G291" s="378">
        <v>60</v>
      </c>
      <c r="H291" s="378">
        <v>133</v>
      </c>
      <c r="I291" s="378">
        <v>415</v>
      </c>
      <c r="J291" s="378">
        <v>251</v>
      </c>
      <c r="K291" s="378">
        <v>666</v>
      </c>
      <c r="L291" s="378">
        <v>6181</v>
      </c>
    </row>
    <row r="292" spans="2:12" outlineLevel="1" x14ac:dyDescent="0.25">
      <c r="B292" s="375">
        <v>44958</v>
      </c>
      <c r="C292" s="267">
        <v>3035</v>
      </c>
      <c r="D292" s="267">
        <v>1322</v>
      </c>
      <c r="E292" s="378">
        <v>4357</v>
      </c>
      <c r="F292" s="378">
        <v>77</v>
      </c>
      <c r="G292" s="378">
        <v>60</v>
      </c>
      <c r="H292" s="378">
        <v>137</v>
      </c>
      <c r="I292" s="378">
        <v>296</v>
      </c>
      <c r="J292" s="378">
        <v>155</v>
      </c>
      <c r="K292" s="378">
        <v>451</v>
      </c>
      <c r="L292" s="378">
        <v>4945</v>
      </c>
    </row>
    <row r="293" spans="2:12" outlineLevel="1" x14ac:dyDescent="0.25">
      <c r="B293" s="375">
        <v>44986</v>
      </c>
      <c r="C293" s="267">
        <v>3982</v>
      </c>
      <c r="D293" s="267">
        <v>1554</v>
      </c>
      <c r="E293" s="378">
        <v>5536</v>
      </c>
      <c r="F293" s="378">
        <v>98</v>
      </c>
      <c r="G293" s="378">
        <v>67</v>
      </c>
      <c r="H293" s="378">
        <v>165</v>
      </c>
      <c r="I293" s="378">
        <v>431</v>
      </c>
      <c r="J293" s="378">
        <v>247</v>
      </c>
      <c r="K293" s="378">
        <v>678</v>
      </c>
      <c r="L293" s="378">
        <v>6379</v>
      </c>
    </row>
    <row r="294" spans="2:12" outlineLevel="1" x14ac:dyDescent="0.25">
      <c r="B294" s="375">
        <v>45017</v>
      </c>
      <c r="C294" s="267">
        <v>3175</v>
      </c>
      <c r="D294" s="267">
        <v>1403</v>
      </c>
      <c r="E294" s="378">
        <v>4578</v>
      </c>
      <c r="F294" s="378">
        <v>53</v>
      </c>
      <c r="G294" s="378">
        <v>36</v>
      </c>
      <c r="H294" s="378">
        <v>89</v>
      </c>
      <c r="I294" s="378">
        <v>283</v>
      </c>
      <c r="J294" s="378">
        <v>170</v>
      </c>
      <c r="K294" s="378">
        <v>453</v>
      </c>
      <c r="L294" s="378">
        <v>5120</v>
      </c>
    </row>
    <row r="295" spans="2:12" outlineLevel="1" x14ac:dyDescent="0.25">
      <c r="B295" s="375">
        <v>45047</v>
      </c>
      <c r="C295" s="267">
        <v>3397</v>
      </c>
      <c r="D295" s="267">
        <v>1659</v>
      </c>
      <c r="E295" s="378">
        <v>5056</v>
      </c>
      <c r="F295" s="378">
        <v>104</v>
      </c>
      <c r="G295" s="378">
        <v>96</v>
      </c>
      <c r="H295" s="378">
        <v>200</v>
      </c>
      <c r="I295" s="378">
        <v>326</v>
      </c>
      <c r="J295" s="378">
        <v>194</v>
      </c>
      <c r="K295" s="378">
        <v>520</v>
      </c>
      <c r="L295" s="378">
        <v>5776</v>
      </c>
    </row>
    <row r="296" spans="2:12" outlineLevel="1" x14ac:dyDescent="0.25">
      <c r="B296" s="375">
        <v>45078</v>
      </c>
      <c r="C296" s="267">
        <v>3279</v>
      </c>
      <c r="D296" s="267">
        <v>1345</v>
      </c>
      <c r="E296" s="378">
        <v>4624</v>
      </c>
      <c r="F296" s="378">
        <v>100</v>
      </c>
      <c r="G296" s="378">
        <v>58</v>
      </c>
      <c r="H296" s="378">
        <v>158</v>
      </c>
      <c r="I296" s="378">
        <v>424</v>
      </c>
      <c r="J296" s="378">
        <v>253</v>
      </c>
      <c r="K296" s="378">
        <v>677</v>
      </c>
      <c r="L296" s="378">
        <v>5459</v>
      </c>
    </row>
    <row r="297" spans="2:12" outlineLevel="1" x14ac:dyDescent="0.25">
      <c r="B297" s="375">
        <v>45108</v>
      </c>
      <c r="C297" s="267">
        <v>2870</v>
      </c>
      <c r="D297" s="267">
        <v>1153</v>
      </c>
      <c r="E297" s="378">
        <v>4023</v>
      </c>
      <c r="F297" s="378">
        <v>60</v>
      </c>
      <c r="G297" s="378">
        <v>39</v>
      </c>
      <c r="H297" s="378">
        <v>99</v>
      </c>
      <c r="I297" s="378">
        <v>316</v>
      </c>
      <c r="J297" s="378">
        <v>199</v>
      </c>
      <c r="K297" s="378">
        <v>515</v>
      </c>
      <c r="L297" s="378">
        <v>4637</v>
      </c>
    </row>
    <row r="298" spans="2:12" outlineLevel="1" x14ac:dyDescent="0.25">
      <c r="B298" s="375">
        <v>45139</v>
      </c>
      <c r="C298" s="267">
        <v>3384</v>
      </c>
      <c r="D298" s="267">
        <v>1786</v>
      </c>
      <c r="E298" s="378">
        <v>5170</v>
      </c>
      <c r="F298" s="378">
        <v>108</v>
      </c>
      <c r="G298" s="378">
        <v>122</v>
      </c>
      <c r="H298" s="378">
        <v>230</v>
      </c>
      <c r="I298" s="378">
        <v>345</v>
      </c>
      <c r="J298" s="378">
        <v>189</v>
      </c>
      <c r="K298" s="378">
        <v>534</v>
      </c>
      <c r="L298" s="378">
        <v>5934</v>
      </c>
    </row>
    <row r="299" spans="2:12" outlineLevel="1" x14ac:dyDescent="0.25">
      <c r="B299" s="375">
        <v>45170</v>
      </c>
      <c r="C299" s="267">
        <v>1197</v>
      </c>
      <c r="D299" s="267">
        <v>506</v>
      </c>
      <c r="E299" s="378">
        <v>1703</v>
      </c>
      <c r="F299" s="378">
        <v>43</v>
      </c>
      <c r="G299" s="378">
        <v>43</v>
      </c>
      <c r="H299" s="378">
        <v>86</v>
      </c>
      <c r="I299" s="378">
        <v>103</v>
      </c>
      <c r="J299" s="378">
        <v>67</v>
      </c>
      <c r="K299" s="378">
        <v>170</v>
      </c>
      <c r="L299" s="378">
        <v>1959</v>
      </c>
    </row>
    <row r="300" spans="2:12" ht="27.75" customHeight="1" x14ac:dyDescent="0.25">
      <c r="B300" s="241" t="s">
        <v>870</v>
      </c>
      <c r="C300" s="306">
        <v>28173</v>
      </c>
      <c r="D300" s="306">
        <v>12256</v>
      </c>
      <c r="E300" s="306">
        <v>40429</v>
      </c>
      <c r="F300" s="306">
        <v>716</v>
      </c>
      <c r="G300" s="306">
        <v>581</v>
      </c>
      <c r="H300" s="306">
        <v>1297</v>
      </c>
      <c r="I300" s="306">
        <v>2939</v>
      </c>
      <c r="J300" s="306">
        <v>1725</v>
      </c>
      <c r="K300" s="306">
        <v>4664</v>
      </c>
      <c r="L300" s="306">
        <v>46390</v>
      </c>
    </row>
    <row r="301" spans="2:12" x14ac:dyDescent="0.25">
      <c r="B301" s="4" t="s">
        <v>868</v>
      </c>
    </row>
  </sheetData>
  <mergeCells count="7">
    <mergeCell ref="L156:L158"/>
    <mergeCell ref="C156:K156"/>
    <mergeCell ref="B150:D150"/>
    <mergeCell ref="B156:B158"/>
    <mergeCell ref="C157:E157"/>
    <mergeCell ref="F157:H157"/>
    <mergeCell ref="I157:K15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 workbookViewId="1"/>
  </sheetViews>
  <sheetFormatPr baseColWidth="10" defaultColWidth="11.5703125" defaultRowHeight="15" x14ac:dyDescent="0.25"/>
  <cols>
    <col min="1" max="1" width="46.5703125" style="165" bestFit="1" customWidth="1"/>
    <col min="2" max="2" width="13.28515625" style="164" customWidth="1"/>
    <col min="3" max="3" width="11.42578125" style="164" customWidth="1"/>
    <col min="4" max="4" width="13.42578125" style="164" customWidth="1"/>
    <col min="5" max="7" width="11.42578125" style="164" customWidth="1"/>
  </cols>
  <sheetData>
    <row r="3" spans="1:16" x14ac:dyDescent="0.25">
      <c r="A3" s="192" t="s">
        <v>493</v>
      </c>
    </row>
    <row r="7" spans="1:16" ht="18.75" x14ac:dyDescent="0.3">
      <c r="A7" s="2" t="s">
        <v>542</v>
      </c>
      <c r="B7" s="163"/>
    </row>
    <row r="8" spans="1:16" x14ac:dyDescent="0.25">
      <c r="A8" s="6" t="s">
        <v>11</v>
      </c>
      <c r="B8" s="163"/>
      <c r="C8" s="163"/>
      <c r="D8" s="163"/>
      <c r="E8" s="163"/>
      <c r="F8" s="163"/>
      <c r="G8" s="163"/>
    </row>
    <row r="9" spans="1:16" x14ac:dyDescent="0.25">
      <c r="A9" s="158"/>
      <c r="B9" s="163"/>
      <c r="C9" s="163"/>
      <c r="J9" s="139" t="s">
        <v>543</v>
      </c>
    </row>
    <row r="10" spans="1:16" ht="30" customHeight="1" x14ac:dyDescent="0.25">
      <c r="A10" s="505" t="s">
        <v>526</v>
      </c>
      <c r="B10" s="504" t="s">
        <v>527</v>
      </c>
      <c r="C10" s="504"/>
      <c r="D10" s="504"/>
      <c r="E10" s="504"/>
      <c r="F10" s="504"/>
      <c r="G10" s="154"/>
      <c r="H10" s="507" t="s">
        <v>528</v>
      </c>
      <c r="I10" s="507"/>
      <c r="J10" s="504" t="s">
        <v>529</v>
      </c>
      <c r="K10" s="504"/>
      <c r="L10" s="504"/>
      <c r="M10" s="504"/>
      <c r="N10" s="504"/>
      <c r="O10" s="504"/>
    </row>
    <row r="11" spans="1:16" ht="45" x14ac:dyDescent="0.25">
      <c r="A11" s="506"/>
      <c r="B11" s="180" t="s">
        <v>489</v>
      </c>
      <c r="C11" s="180" t="s">
        <v>132</v>
      </c>
      <c r="D11" s="180" t="s">
        <v>490</v>
      </c>
      <c r="E11" s="180" t="s">
        <v>12</v>
      </c>
      <c r="F11" s="180" t="s">
        <v>134</v>
      </c>
      <c r="G11" s="179" t="s">
        <v>28</v>
      </c>
      <c r="H11" s="180" t="s">
        <v>478</v>
      </c>
      <c r="I11" s="180" t="s">
        <v>479</v>
      </c>
      <c r="J11" s="181" t="s">
        <v>530</v>
      </c>
      <c r="K11" s="180" t="s">
        <v>531</v>
      </c>
      <c r="L11" s="180" t="s">
        <v>532</v>
      </c>
      <c r="M11" s="180" t="s">
        <v>533</v>
      </c>
      <c r="N11" s="180" t="s">
        <v>534</v>
      </c>
      <c r="O11" s="181">
        <v>7</v>
      </c>
      <c r="P11" s="179" t="s">
        <v>28</v>
      </c>
    </row>
    <row r="12" spans="1:16" x14ac:dyDescent="0.25">
      <c r="A12" s="178" t="s">
        <v>510</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8" t="s">
        <v>511</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8" t="s">
        <v>512</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8" t="s">
        <v>513</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8" t="s">
        <v>514</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8" t="s">
        <v>515</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8" t="s">
        <v>516</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8" t="s">
        <v>517</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8" t="s">
        <v>518</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8" t="s">
        <v>519</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8" t="s">
        <v>520</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8" t="s">
        <v>521</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8" t="s">
        <v>522</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8" t="s">
        <v>523</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8" t="s">
        <v>524</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8" t="s">
        <v>525</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8" t="s">
        <v>28</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8"/>
      <c r="B29" s="163"/>
      <c r="C29" s="163"/>
      <c r="D29" s="163"/>
      <c r="E29" s="163"/>
      <c r="F29" s="163"/>
      <c r="G29" s="163"/>
    </row>
    <row r="30" spans="1:16" x14ac:dyDescent="0.25">
      <c r="A30" s="158"/>
      <c r="B30" s="163"/>
      <c r="C30" s="163"/>
      <c r="D30" s="163"/>
      <c r="E30" s="163"/>
      <c r="F30" s="163"/>
      <c r="G30" s="163"/>
    </row>
    <row r="31" spans="1:16" x14ac:dyDescent="0.25">
      <c r="A31" s="199" t="s">
        <v>544</v>
      </c>
      <c r="B31" s="163"/>
      <c r="C31" s="163"/>
      <c r="D31" s="163"/>
      <c r="E31" s="163"/>
      <c r="F31" s="163"/>
      <c r="G31" s="163"/>
    </row>
    <row r="32" spans="1:16" ht="18.75" x14ac:dyDescent="0.3">
      <c r="A32" s="2" t="s">
        <v>535</v>
      </c>
      <c r="B32" s="163"/>
      <c r="C32" s="163"/>
      <c r="D32" s="163"/>
      <c r="E32" s="163"/>
      <c r="F32" s="163"/>
      <c r="G32" s="163"/>
    </row>
    <row r="33" spans="1:16" x14ac:dyDescent="0.25">
      <c r="A33" s="6" t="s">
        <v>11</v>
      </c>
      <c r="B33" s="163"/>
      <c r="C33" s="163"/>
      <c r="D33" s="163"/>
      <c r="E33" s="163"/>
      <c r="F33" s="163"/>
      <c r="G33" s="163"/>
    </row>
    <row r="34" spans="1:16" x14ac:dyDescent="0.25">
      <c r="A34" s="158"/>
      <c r="B34" s="163"/>
      <c r="C34" s="163"/>
      <c r="D34" s="163"/>
      <c r="E34" s="163"/>
      <c r="F34" s="163"/>
      <c r="G34" s="163"/>
    </row>
    <row r="35" spans="1:16" x14ac:dyDescent="0.25">
      <c r="A35" s="505" t="s">
        <v>526</v>
      </c>
      <c r="B35" s="504" t="s">
        <v>527</v>
      </c>
      <c r="C35" s="504"/>
      <c r="D35" s="504"/>
      <c r="E35" s="504"/>
      <c r="F35" s="504"/>
      <c r="G35" s="154"/>
      <c r="H35" s="507" t="s">
        <v>528</v>
      </c>
      <c r="I35" s="507"/>
      <c r="J35" s="504" t="s">
        <v>529</v>
      </c>
      <c r="K35" s="504"/>
      <c r="L35" s="504"/>
      <c r="M35" s="504"/>
      <c r="N35" s="504"/>
      <c r="O35" s="504"/>
    </row>
    <row r="36" spans="1:16" ht="45" x14ac:dyDescent="0.25">
      <c r="A36" s="506"/>
      <c r="B36" s="180" t="s">
        <v>489</v>
      </c>
      <c r="C36" s="180" t="s">
        <v>132</v>
      </c>
      <c r="D36" s="180" t="s">
        <v>490</v>
      </c>
      <c r="E36" s="180" t="s">
        <v>12</v>
      </c>
      <c r="F36" s="180" t="s">
        <v>134</v>
      </c>
      <c r="G36" s="179" t="s">
        <v>28</v>
      </c>
      <c r="H36" s="180" t="s">
        <v>478</v>
      </c>
      <c r="I36" s="180" t="s">
        <v>479</v>
      </c>
      <c r="J36" s="181" t="s">
        <v>530</v>
      </c>
      <c r="K36" s="180" t="s">
        <v>531</v>
      </c>
      <c r="L36" s="180" t="s">
        <v>532</v>
      </c>
      <c r="M36" s="180" t="s">
        <v>533</v>
      </c>
      <c r="N36" s="180" t="s">
        <v>534</v>
      </c>
      <c r="O36" s="181">
        <v>7</v>
      </c>
      <c r="P36" s="179" t="s">
        <v>28</v>
      </c>
    </row>
    <row r="37" spans="1:16" x14ac:dyDescent="0.25">
      <c r="A37" s="178" t="s">
        <v>510</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8" t="s">
        <v>511</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8" t="s">
        <v>512</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8" t="s">
        <v>513</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8" t="s">
        <v>514</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8" t="s">
        <v>515</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8" t="s">
        <v>516</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8" t="s">
        <v>517</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8" t="s">
        <v>518</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8" t="s">
        <v>519</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8" t="s">
        <v>520</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8" t="s">
        <v>521</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8" t="s">
        <v>522</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8" t="s">
        <v>523</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8" t="s">
        <v>524</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8" t="s">
        <v>525</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28</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8"/>
      <c r="B54" s="163"/>
      <c r="C54" s="163"/>
      <c r="D54" s="163"/>
      <c r="E54" s="163"/>
      <c r="F54" s="163"/>
      <c r="G54" s="163"/>
    </row>
    <row r="55" spans="1:16" x14ac:dyDescent="0.25">
      <c r="A55" s="199" t="s">
        <v>545</v>
      </c>
      <c r="B55" s="200"/>
      <c r="C55" s="163"/>
      <c r="D55" s="163"/>
      <c r="E55" s="163"/>
      <c r="F55" s="163"/>
      <c r="G55" s="163"/>
    </row>
    <row r="56" spans="1:16" ht="18.75" x14ac:dyDescent="0.3">
      <c r="A56" s="2" t="s">
        <v>536</v>
      </c>
      <c r="B56" s="163"/>
      <c r="C56" s="163"/>
      <c r="D56" s="163"/>
      <c r="E56" s="163"/>
      <c r="F56" s="163"/>
      <c r="G56" s="163"/>
    </row>
    <row r="57" spans="1:16" x14ac:dyDescent="0.25">
      <c r="A57" s="6" t="s">
        <v>11</v>
      </c>
      <c r="B57" s="163"/>
      <c r="C57" s="163"/>
      <c r="D57" s="163"/>
      <c r="E57" s="163"/>
      <c r="F57" s="163"/>
      <c r="G57" s="163"/>
    </row>
    <row r="58" spans="1:16" x14ac:dyDescent="0.25">
      <c r="A58" s="158" t="s">
        <v>494</v>
      </c>
      <c r="B58" s="163"/>
      <c r="C58" s="163"/>
    </row>
    <row r="59" spans="1:16" x14ac:dyDescent="0.25">
      <c r="A59" s="505" t="s">
        <v>526</v>
      </c>
      <c r="B59" s="504" t="s">
        <v>527</v>
      </c>
      <c r="C59" s="504"/>
      <c r="D59" s="504"/>
      <c r="E59" s="504"/>
      <c r="F59" s="504"/>
      <c r="G59" s="155"/>
    </row>
    <row r="60" spans="1:16" ht="30" x14ac:dyDescent="0.25">
      <c r="A60" s="506"/>
      <c r="B60" s="136" t="s">
        <v>489</v>
      </c>
      <c r="C60" s="136" t="s">
        <v>132</v>
      </c>
      <c r="D60" s="136" t="s">
        <v>490</v>
      </c>
      <c r="E60" s="136" t="s">
        <v>12</v>
      </c>
      <c r="F60" s="136" t="s">
        <v>134</v>
      </c>
      <c r="G60" s="136" t="s">
        <v>28</v>
      </c>
    </row>
    <row r="61" spans="1:16" x14ac:dyDescent="0.25">
      <c r="A61" s="178" t="s">
        <v>510</v>
      </c>
      <c r="B61" s="166">
        <f t="shared" ref="B61:G70" si="0">+B37/B12</f>
        <v>0.8223676089371682</v>
      </c>
      <c r="C61" s="166">
        <f t="shared" si="0"/>
        <v>0.57631673235399494</v>
      </c>
      <c r="D61" s="166">
        <f t="shared" si="0"/>
        <v>0.87112396096855804</v>
      </c>
      <c r="E61" s="166">
        <f t="shared" si="0"/>
        <v>0.47636297772142727</v>
      </c>
      <c r="F61" s="166">
        <f t="shared" si="0"/>
        <v>0.7980214344600165</v>
      </c>
      <c r="G61" s="166">
        <f t="shared" si="0"/>
        <v>0.78192697768762676</v>
      </c>
    </row>
    <row r="62" spans="1:16" x14ac:dyDescent="0.25">
      <c r="A62" s="178" t="s">
        <v>511</v>
      </c>
      <c r="B62" s="166">
        <f t="shared" si="0"/>
        <v>0.78783082183107511</v>
      </c>
      <c r="C62" s="166">
        <f t="shared" si="0"/>
        <v>0.56936134687630446</v>
      </c>
      <c r="D62" s="166">
        <f t="shared" si="0"/>
        <v>0.84438979526551505</v>
      </c>
      <c r="E62" s="166">
        <f t="shared" si="0"/>
        <v>0.46513202437373052</v>
      </c>
      <c r="F62" s="166">
        <f t="shared" si="0"/>
        <v>0.79561501300631732</v>
      </c>
      <c r="G62" s="166">
        <f t="shared" si="0"/>
        <v>0.7691425192193968</v>
      </c>
    </row>
    <row r="63" spans="1:16" x14ac:dyDescent="0.25">
      <c r="A63" s="178" t="s">
        <v>512</v>
      </c>
      <c r="B63" s="166">
        <f t="shared" si="0"/>
        <v>0.8358271424087057</v>
      </c>
      <c r="C63" s="166">
        <f t="shared" si="0"/>
        <v>0.59510275470048102</v>
      </c>
      <c r="D63" s="166">
        <f t="shared" si="0"/>
        <v>0.87709353259469214</v>
      </c>
      <c r="E63" s="166">
        <f t="shared" si="0"/>
        <v>0.52694084011436115</v>
      </c>
      <c r="F63" s="166">
        <f t="shared" si="0"/>
        <v>0.82554161915621438</v>
      </c>
      <c r="G63" s="166">
        <f t="shared" si="0"/>
        <v>0.81169386169386171</v>
      </c>
    </row>
    <row r="64" spans="1:16" x14ac:dyDescent="0.25">
      <c r="A64" s="178" t="s">
        <v>513</v>
      </c>
      <c r="B64" s="166">
        <f t="shared" si="0"/>
        <v>0.85777762227975651</v>
      </c>
      <c r="C64" s="166">
        <f t="shared" si="0"/>
        <v>0.59608313949125835</v>
      </c>
      <c r="D64" s="166">
        <f t="shared" si="0"/>
        <v>0.88809531682262566</v>
      </c>
      <c r="E64" s="166">
        <f t="shared" si="0"/>
        <v>0.50530111792282728</v>
      </c>
      <c r="F64" s="166">
        <f t="shared" si="0"/>
        <v>0.85821455363840959</v>
      </c>
      <c r="G64" s="166">
        <f t="shared" si="0"/>
        <v>0.82075279085849773</v>
      </c>
    </row>
    <row r="65" spans="1:7" x14ac:dyDescent="0.25">
      <c r="A65" s="178" t="s">
        <v>514</v>
      </c>
      <c r="B65" s="166">
        <f t="shared" si="0"/>
        <v>0.86006845489567074</v>
      </c>
      <c r="C65" s="166">
        <f t="shared" si="0"/>
        <v>0.61274465725504301</v>
      </c>
      <c r="D65" s="166">
        <f t="shared" si="0"/>
        <v>0.88454338372333818</v>
      </c>
      <c r="E65" s="166">
        <f t="shared" si="0"/>
        <v>0.4921151908522155</v>
      </c>
      <c r="F65" s="166">
        <f t="shared" si="0"/>
        <v>0.82810913705583755</v>
      </c>
      <c r="G65" s="166">
        <f t="shared" si="0"/>
        <v>0.81405041716595095</v>
      </c>
    </row>
    <row r="66" spans="1:7" x14ac:dyDescent="0.25">
      <c r="A66" s="178" t="s">
        <v>515</v>
      </c>
      <c r="B66" s="166">
        <f t="shared" si="0"/>
        <v>0.85050772096376859</v>
      </c>
      <c r="C66" s="166">
        <f t="shared" si="0"/>
        <v>0.51307806047009641</v>
      </c>
      <c r="D66" s="166">
        <f t="shared" si="0"/>
        <v>0.89342474561837981</v>
      </c>
      <c r="E66" s="166">
        <f t="shared" si="0"/>
        <v>0.50960179076343071</v>
      </c>
      <c r="F66" s="166">
        <f t="shared" si="0"/>
        <v>0.83353571034330498</v>
      </c>
      <c r="G66" s="166">
        <f t="shared" si="0"/>
        <v>0.81123303628032595</v>
      </c>
    </row>
    <row r="67" spans="1:7" x14ac:dyDescent="0.25">
      <c r="A67" s="178" t="s">
        <v>516</v>
      </c>
      <c r="B67" s="166">
        <f t="shared" si="0"/>
        <v>0.88476343941631974</v>
      </c>
      <c r="C67" s="166">
        <f t="shared" si="0"/>
        <v>0.53699274495734672</v>
      </c>
      <c r="D67" s="166">
        <f t="shared" si="0"/>
        <v>0.90578631049203118</v>
      </c>
      <c r="E67" s="166">
        <f t="shared" si="0"/>
        <v>0.54058926257675621</v>
      </c>
      <c r="F67" s="166">
        <f t="shared" si="0"/>
        <v>0.82575213060889208</v>
      </c>
      <c r="G67" s="166">
        <f t="shared" si="0"/>
        <v>0.82930698275673187</v>
      </c>
    </row>
    <row r="68" spans="1:7" x14ac:dyDescent="0.25">
      <c r="A68" s="178" t="s">
        <v>517</v>
      </c>
      <c r="B68" s="166">
        <f t="shared" si="0"/>
        <v>0.86500366837857667</v>
      </c>
      <c r="C68" s="166">
        <f t="shared" si="0"/>
        <v>0.49278475692336432</v>
      </c>
      <c r="D68" s="166">
        <f t="shared" si="0"/>
        <v>0.88534607571662138</v>
      </c>
      <c r="E68" s="166">
        <f t="shared" si="0"/>
        <v>0.53611492482335998</v>
      </c>
      <c r="F68" s="166">
        <f t="shared" si="0"/>
        <v>0.83058482211024587</v>
      </c>
      <c r="G68" s="166">
        <f t="shared" si="0"/>
        <v>0.79651309566174833</v>
      </c>
    </row>
    <row r="69" spans="1:7" x14ac:dyDescent="0.25">
      <c r="A69" s="178" t="s">
        <v>518</v>
      </c>
      <c r="B69" s="166">
        <f t="shared" si="0"/>
        <v>0.89704490266288017</v>
      </c>
      <c r="C69" s="166">
        <f t="shared" si="0"/>
        <v>0.46301037596011319</v>
      </c>
      <c r="D69" s="166">
        <f t="shared" si="0"/>
        <v>0.89935999060536664</v>
      </c>
      <c r="E69" s="166">
        <f t="shared" si="0"/>
        <v>0.52865417376490631</v>
      </c>
      <c r="F69" s="166">
        <f t="shared" si="0"/>
        <v>0.84002025060118968</v>
      </c>
      <c r="G69" s="166">
        <f t="shared" si="0"/>
        <v>0.80591016548463357</v>
      </c>
    </row>
    <row r="70" spans="1:7" x14ac:dyDescent="0.25">
      <c r="A70" s="178" t="s">
        <v>519</v>
      </c>
      <c r="B70" s="166">
        <f t="shared" si="0"/>
        <v>0.8975273212163376</v>
      </c>
      <c r="C70" s="166">
        <f t="shared" si="0"/>
        <v>0.55705840624261049</v>
      </c>
      <c r="D70" s="166">
        <f t="shared" si="0"/>
        <v>0.89610577969010607</v>
      </c>
      <c r="E70" s="166">
        <f t="shared" si="0"/>
        <v>0.59462676415575577</v>
      </c>
      <c r="F70" s="166">
        <f t="shared" si="0"/>
        <v>0.8367524555514112</v>
      </c>
      <c r="G70" s="166">
        <f t="shared" si="0"/>
        <v>0.82565982868160703</v>
      </c>
    </row>
    <row r="71" spans="1:7" x14ac:dyDescent="0.25">
      <c r="A71" s="178" t="s">
        <v>520</v>
      </c>
      <c r="B71" s="166">
        <f t="shared" ref="B71:G77" si="1">+B47/B22</f>
        <v>0.85623921794134561</v>
      </c>
      <c r="C71" s="166">
        <f t="shared" si="1"/>
        <v>0.48148148148148145</v>
      </c>
      <c r="D71" s="166">
        <f t="shared" si="1"/>
        <v>0.87007672634271105</v>
      </c>
      <c r="E71" s="166">
        <f t="shared" si="1"/>
        <v>0.43288084464555054</v>
      </c>
      <c r="F71" s="166">
        <f t="shared" si="1"/>
        <v>0.80864197530864201</v>
      </c>
      <c r="G71" s="166">
        <f t="shared" si="1"/>
        <v>0.79077228184787685</v>
      </c>
    </row>
    <row r="72" spans="1:7" x14ac:dyDescent="0.25">
      <c r="A72" s="178" t="s">
        <v>521</v>
      </c>
      <c r="B72" s="166">
        <f t="shared" si="1"/>
        <v>0.8458952583156405</v>
      </c>
      <c r="C72" s="166">
        <f t="shared" si="1"/>
        <v>0.64930875576036862</v>
      </c>
      <c r="D72" s="166">
        <f t="shared" si="1"/>
        <v>0.85434771296248113</v>
      </c>
      <c r="E72" s="166">
        <f t="shared" si="1"/>
        <v>0.5069828722002635</v>
      </c>
      <c r="F72" s="166">
        <f t="shared" si="1"/>
        <v>0.82752457551385161</v>
      </c>
      <c r="G72" s="166">
        <f t="shared" si="1"/>
        <v>0.7967327011548212</v>
      </c>
    </row>
    <row r="73" spans="1:7" x14ac:dyDescent="0.25">
      <c r="A73" s="178" t="s">
        <v>522</v>
      </c>
      <c r="B73" s="166">
        <f t="shared" si="1"/>
        <v>0.86150697977709334</v>
      </c>
      <c r="C73" s="166">
        <f t="shared" si="1"/>
        <v>0.60469741350425321</v>
      </c>
      <c r="D73" s="166">
        <f t="shared" si="1"/>
        <v>0.88287859263824309</v>
      </c>
      <c r="E73" s="166">
        <f t="shared" si="1"/>
        <v>0.53272319115869449</v>
      </c>
      <c r="F73" s="166">
        <f t="shared" si="1"/>
        <v>0.82763732833957548</v>
      </c>
      <c r="G73" s="166">
        <f t="shared" si="1"/>
        <v>0.82047313373549402</v>
      </c>
    </row>
    <row r="74" spans="1:7" x14ac:dyDescent="0.25">
      <c r="A74" s="178" t="s">
        <v>523</v>
      </c>
      <c r="B74" s="166">
        <f t="shared" si="1"/>
        <v>0.89630478372959033</v>
      </c>
      <c r="C74" s="166">
        <f t="shared" si="1"/>
        <v>0.65628925174950659</v>
      </c>
      <c r="D74" s="166">
        <f t="shared" si="1"/>
        <v>0.89162658076311951</v>
      </c>
      <c r="E74" s="166">
        <f t="shared" si="1"/>
        <v>0.57817772778402698</v>
      </c>
      <c r="F74" s="166">
        <f t="shared" si="1"/>
        <v>0.85687693898655637</v>
      </c>
      <c r="G74" s="166">
        <f t="shared" si="1"/>
        <v>0.83452613566729483</v>
      </c>
    </row>
    <row r="75" spans="1:7" x14ac:dyDescent="0.25">
      <c r="A75" s="178" t="s">
        <v>524</v>
      </c>
      <c r="B75" s="166">
        <f t="shared" si="1"/>
        <v>0.86400523560209419</v>
      </c>
      <c r="C75" s="166">
        <f t="shared" si="1"/>
        <v>0.68128916741271262</v>
      </c>
      <c r="D75" s="166">
        <f t="shared" si="1"/>
        <v>0.89262775196929911</v>
      </c>
      <c r="E75" s="166">
        <f t="shared" si="1"/>
        <v>0.56871926949192231</v>
      </c>
      <c r="F75" s="166">
        <f t="shared" si="1"/>
        <v>0.82494969818913477</v>
      </c>
      <c r="G75" s="166">
        <f t="shared" si="1"/>
        <v>0.83453792040088659</v>
      </c>
    </row>
    <row r="76" spans="1:7" x14ac:dyDescent="0.25">
      <c r="A76" s="178" t="s">
        <v>525</v>
      </c>
      <c r="B76" s="166">
        <f t="shared" si="1"/>
        <v>0.89605059262051345</v>
      </c>
      <c r="C76" s="166">
        <f t="shared" si="1"/>
        <v>0.43187562227157844</v>
      </c>
      <c r="D76" s="166">
        <f t="shared" si="1"/>
        <v>0.90785559084071532</v>
      </c>
      <c r="E76" s="166">
        <f t="shared" si="1"/>
        <v>0.55961787946691832</v>
      </c>
      <c r="F76" s="166">
        <f t="shared" si="1"/>
        <v>0.84547945205479447</v>
      </c>
      <c r="G76" s="166">
        <f t="shared" si="1"/>
        <v>0.77951433121019109</v>
      </c>
    </row>
    <row r="77" spans="1:7" x14ac:dyDescent="0.25">
      <c r="A77" s="136" t="s">
        <v>28</v>
      </c>
      <c r="B77" s="166">
        <f t="shared" si="1"/>
        <v>0.86657092084857446</v>
      </c>
      <c r="C77" s="166">
        <f t="shared" si="1"/>
        <v>0.55283376836101605</v>
      </c>
      <c r="D77" s="166">
        <f t="shared" si="1"/>
        <v>0.886623297749626</v>
      </c>
      <c r="E77" s="166">
        <f t="shared" si="1"/>
        <v>0.52626974072076371</v>
      </c>
      <c r="F77" s="166">
        <f t="shared" si="1"/>
        <v>0.83153321109964096</v>
      </c>
      <c r="G77" s="166">
        <f t="shared" si="1"/>
        <v>0.81351193229547447</v>
      </c>
    </row>
    <row r="78" spans="1:7" x14ac:dyDescent="0.25">
      <c r="A78" s="158"/>
      <c r="B78" s="163"/>
      <c r="C78" s="163"/>
      <c r="D78" s="163"/>
      <c r="E78" s="163"/>
      <c r="F78" s="163"/>
      <c r="G78" s="163"/>
    </row>
    <row r="79" spans="1:7" x14ac:dyDescent="0.25">
      <c r="A79" s="158"/>
      <c r="B79" s="163"/>
      <c r="C79" s="163"/>
      <c r="D79" s="163"/>
      <c r="E79" s="163"/>
      <c r="F79" s="163"/>
      <c r="G79" s="163"/>
    </row>
    <row r="80" spans="1:7" x14ac:dyDescent="0.25">
      <c r="A80" s="158"/>
      <c r="B80" s="163"/>
      <c r="C80" s="163"/>
      <c r="D80" s="163"/>
      <c r="E80" s="163"/>
      <c r="F80" s="163"/>
      <c r="G80" s="163"/>
    </row>
    <row r="81" spans="1:7" x14ac:dyDescent="0.25">
      <c r="A81" s="158"/>
      <c r="B81" s="163"/>
      <c r="C81" s="163"/>
      <c r="D81" s="163"/>
      <c r="E81" s="163"/>
      <c r="F81" s="163"/>
      <c r="G81" s="163"/>
    </row>
    <row r="82" spans="1:7" x14ac:dyDescent="0.25">
      <c r="A82" s="158"/>
      <c r="B82" s="163"/>
      <c r="C82" s="163"/>
      <c r="D82" s="163"/>
      <c r="E82" s="163"/>
      <c r="F82" s="163"/>
      <c r="G82" s="163"/>
    </row>
    <row r="83" spans="1:7" x14ac:dyDescent="0.25">
      <c r="A83" s="158"/>
      <c r="B83" s="163"/>
      <c r="C83" s="163"/>
      <c r="D83" s="163"/>
      <c r="E83" s="163"/>
      <c r="F83" s="163"/>
      <c r="G83" s="163"/>
    </row>
    <row r="84" spans="1:7" x14ac:dyDescent="0.25">
      <c r="A84" s="158"/>
      <c r="B84" s="163"/>
      <c r="C84" s="163"/>
      <c r="D84" s="163"/>
      <c r="E84" s="163"/>
      <c r="F84" s="163"/>
      <c r="G84" s="163"/>
    </row>
    <row r="85" spans="1:7" x14ac:dyDescent="0.25">
      <c r="A85" s="158"/>
      <c r="B85" s="163"/>
      <c r="C85" s="163"/>
      <c r="D85" s="163"/>
      <c r="E85" s="163"/>
      <c r="F85" s="163"/>
      <c r="G85" s="163"/>
    </row>
    <row r="86" spans="1:7" x14ac:dyDescent="0.25">
      <c r="A86" s="158"/>
      <c r="B86" s="163"/>
      <c r="C86" s="163"/>
      <c r="D86" s="163"/>
      <c r="E86" s="163"/>
      <c r="F86" s="163"/>
      <c r="G86" s="163"/>
    </row>
    <row r="87" spans="1:7" x14ac:dyDescent="0.25">
      <c r="A87" s="158"/>
      <c r="B87" s="163"/>
      <c r="C87" s="163"/>
      <c r="D87" s="163"/>
      <c r="E87" s="163"/>
      <c r="F87" s="163"/>
      <c r="G87" s="163"/>
    </row>
    <row r="88" spans="1:7" x14ac:dyDescent="0.25">
      <c r="A88" s="158"/>
      <c r="B88" s="163"/>
      <c r="C88" s="163"/>
      <c r="D88" s="163"/>
      <c r="E88" s="163"/>
      <c r="F88" s="163"/>
      <c r="G88" s="163"/>
    </row>
    <row r="89" spans="1:7" x14ac:dyDescent="0.25">
      <c r="A89" s="158"/>
      <c r="B89" s="163"/>
      <c r="C89" s="163"/>
      <c r="D89" s="163"/>
      <c r="E89" s="163"/>
      <c r="F89" s="163"/>
      <c r="G89" s="163"/>
    </row>
    <row r="90" spans="1:7" x14ac:dyDescent="0.25">
      <c r="A90" s="158"/>
      <c r="B90" s="163"/>
      <c r="C90" s="163"/>
      <c r="D90" s="163"/>
      <c r="E90" s="163"/>
      <c r="F90" s="163"/>
      <c r="G90" s="163"/>
    </row>
    <row r="91" spans="1:7" x14ac:dyDescent="0.25">
      <c r="A91" s="158"/>
      <c r="B91" s="163"/>
      <c r="C91" s="163"/>
      <c r="D91" s="163"/>
      <c r="E91" s="163"/>
      <c r="F91" s="163"/>
      <c r="G91" s="163"/>
    </row>
    <row r="92" spans="1:7" x14ac:dyDescent="0.25">
      <c r="A92" s="158"/>
      <c r="B92" s="163"/>
      <c r="C92" s="163"/>
      <c r="D92" s="163"/>
      <c r="E92" s="163"/>
      <c r="F92" s="163"/>
      <c r="G92" s="163"/>
    </row>
    <row r="93" spans="1:7" x14ac:dyDescent="0.25">
      <c r="A93" s="158"/>
      <c r="B93" s="163"/>
      <c r="C93" s="163"/>
    </row>
    <row r="94" spans="1:7" x14ac:dyDescent="0.25">
      <c r="A94" s="158"/>
      <c r="B94" s="163"/>
      <c r="C94" s="163"/>
      <c r="D94" s="163"/>
      <c r="E94" s="163"/>
      <c r="F94" s="163"/>
      <c r="G94" s="163"/>
    </row>
    <row r="95" spans="1:7" x14ac:dyDescent="0.25">
      <c r="A95" s="158"/>
      <c r="B95" s="163"/>
      <c r="C95" s="163"/>
      <c r="D95" s="163"/>
    </row>
    <row r="96" spans="1:7" x14ac:dyDescent="0.25">
      <c r="A96" s="158"/>
    </row>
    <row r="97" spans="1:7" x14ac:dyDescent="0.25">
      <c r="A97" s="158"/>
      <c r="B97" s="163"/>
      <c r="C97" s="163"/>
    </row>
    <row r="98" spans="1:7" x14ac:dyDescent="0.25">
      <c r="A98" s="158"/>
      <c r="B98" s="163"/>
      <c r="C98" s="163"/>
      <c r="D98" s="163"/>
      <c r="E98" s="163"/>
      <c r="F98" s="163"/>
      <c r="G98" s="163"/>
    </row>
    <row r="99" spans="1:7" x14ac:dyDescent="0.25">
      <c r="A99" s="158"/>
      <c r="B99" s="163"/>
      <c r="C99" s="163"/>
    </row>
    <row r="100" spans="1:7" x14ac:dyDescent="0.25">
      <c r="A100" s="158"/>
      <c r="B100" s="163"/>
      <c r="C100" s="163"/>
      <c r="D100" s="163"/>
      <c r="E100" s="163"/>
      <c r="F100" s="163"/>
      <c r="G100" s="163"/>
    </row>
    <row r="101" spans="1:7" x14ac:dyDescent="0.25">
      <c r="A101" s="158"/>
      <c r="B101" s="163"/>
      <c r="C101" s="163"/>
      <c r="D101" s="163"/>
      <c r="E101" s="163"/>
      <c r="F101" s="163"/>
      <c r="G101" s="163"/>
    </row>
    <row r="102" spans="1:7" x14ac:dyDescent="0.25">
      <c r="A102" s="158"/>
      <c r="B102" s="163"/>
      <c r="C102" s="163"/>
      <c r="D102" s="163"/>
      <c r="E102" s="163"/>
      <c r="F102" s="163"/>
      <c r="G102" s="163"/>
    </row>
    <row r="103" spans="1:7" x14ac:dyDescent="0.25">
      <c r="A103" s="158"/>
      <c r="B103" s="163"/>
      <c r="C103" s="163"/>
      <c r="D103" s="163"/>
      <c r="E103" s="163"/>
      <c r="F103" s="163"/>
      <c r="G103" s="163"/>
    </row>
    <row r="104" spans="1:7" x14ac:dyDescent="0.25">
      <c r="A104" s="158"/>
      <c r="B104" s="163"/>
      <c r="C104" s="163"/>
      <c r="D104" s="163"/>
      <c r="E104" s="163"/>
      <c r="F104" s="163"/>
      <c r="G104" s="163"/>
    </row>
    <row r="105" spans="1:7" x14ac:dyDescent="0.25">
      <c r="A105" s="158"/>
      <c r="B105" s="163"/>
      <c r="C105" s="163"/>
      <c r="D105" s="163"/>
      <c r="E105" s="163"/>
      <c r="F105" s="163"/>
      <c r="G105" s="163"/>
    </row>
    <row r="106" spans="1:7" x14ac:dyDescent="0.25">
      <c r="A106" s="158"/>
      <c r="B106" s="163"/>
      <c r="C106" s="163"/>
      <c r="D106" s="163"/>
      <c r="E106" s="163"/>
      <c r="F106" s="163"/>
      <c r="G106" s="163"/>
    </row>
    <row r="107" spans="1:7" x14ac:dyDescent="0.25">
      <c r="A107" s="158"/>
      <c r="B107" s="163"/>
      <c r="C107" s="163"/>
      <c r="D107" s="163"/>
      <c r="E107" s="163"/>
      <c r="F107" s="163"/>
      <c r="G107" s="163"/>
    </row>
    <row r="108" spans="1:7" x14ac:dyDescent="0.25">
      <c r="A108" s="158"/>
      <c r="B108" s="163"/>
      <c r="C108" s="163"/>
      <c r="D108" s="163"/>
      <c r="E108" s="163"/>
      <c r="F108" s="163"/>
      <c r="G108" s="163"/>
    </row>
    <row r="109" spans="1:7" x14ac:dyDescent="0.25">
      <c r="A109" s="158"/>
      <c r="B109" s="163"/>
      <c r="C109" s="163"/>
      <c r="D109" s="163"/>
      <c r="E109" s="163"/>
      <c r="F109" s="163"/>
      <c r="G109" s="163"/>
    </row>
    <row r="110" spans="1:7" x14ac:dyDescent="0.25">
      <c r="A110" s="158"/>
      <c r="B110" s="163"/>
      <c r="C110" s="163"/>
    </row>
    <row r="111" spans="1:7" x14ac:dyDescent="0.25">
      <c r="A111" s="158"/>
      <c r="B111" s="163"/>
      <c r="C111" s="163"/>
      <c r="D111" s="163"/>
      <c r="E111" s="163"/>
      <c r="F111" s="163"/>
      <c r="G111" s="163"/>
    </row>
    <row r="112" spans="1:7" x14ac:dyDescent="0.25">
      <c r="A112" s="158"/>
      <c r="B112" s="163"/>
      <c r="C112" s="163"/>
      <c r="D112" s="163"/>
    </row>
    <row r="113" spans="1:7" x14ac:dyDescent="0.25">
      <c r="A113" s="158"/>
    </row>
    <row r="114" spans="1:7" x14ac:dyDescent="0.25">
      <c r="A114" s="158"/>
      <c r="B114" s="163"/>
      <c r="C114" s="163"/>
    </row>
    <row r="115" spans="1:7" x14ac:dyDescent="0.25">
      <c r="A115" s="158"/>
      <c r="B115" s="163"/>
      <c r="C115" s="163"/>
      <c r="D115" s="163"/>
      <c r="E115" s="163"/>
      <c r="F115" s="163"/>
      <c r="G115" s="163"/>
    </row>
    <row r="116" spans="1:7" x14ac:dyDescent="0.25">
      <c r="A116" s="158"/>
      <c r="B116" s="163"/>
      <c r="C116" s="163"/>
    </row>
    <row r="117" spans="1:7" x14ac:dyDescent="0.25">
      <c r="A117" s="158"/>
      <c r="B117" s="163"/>
      <c r="C117" s="163"/>
      <c r="D117" s="163"/>
      <c r="E117" s="163"/>
      <c r="F117" s="163"/>
      <c r="G117" s="163"/>
    </row>
    <row r="118" spans="1:7" x14ac:dyDescent="0.25">
      <c r="A118" s="158"/>
      <c r="B118" s="163"/>
      <c r="C118" s="163"/>
      <c r="D118" s="163"/>
      <c r="E118" s="163"/>
      <c r="F118" s="163"/>
      <c r="G118" s="163"/>
    </row>
    <row r="119" spans="1:7" x14ac:dyDescent="0.25">
      <c r="A119" s="158"/>
      <c r="B119" s="163"/>
      <c r="C119" s="163"/>
      <c r="D119" s="163"/>
      <c r="E119" s="163"/>
      <c r="F119" s="163"/>
      <c r="G119" s="163"/>
    </row>
    <row r="120" spans="1:7" x14ac:dyDescent="0.25">
      <c r="A120" s="158"/>
      <c r="B120" s="163"/>
      <c r="C120" s="163"/>
      <c r="D120" s="163"/>
      <c r="E120" s="163"/>
      <c r="F120" s="163"/>
      <c r="G120" s="163"/>
    </row>
    <row r="121" spans="1:7" x14ac:dyDescent="0.25">
      <c r="A121" s="158"/>
      <c r="B121" s="163"/>
      <c r="C121" s="163"/>
      <c r="D121" s="163"/>
      <c r="E121" s="163"/>
      <c r="F121" s="163"/>
      <c r="G121" s="163"/>
    </row>
    <row r="122" spans="1:7" x14ac:dyDescent="0.25">
      <c r="A122" s="158"/>
      <c r="B122" s="163"/>
      <c r="C122" s="163"/>
      <c r="D122" s="163"/>
      <c r="E122" s="163"/>
      <c r="F122" s="163"/>
      <c r="G122" s="163"/>
    </row>
    <row r="123" spans="1:7" x14ac:dyDescent="0.25">
      <c r="A123" s="158"/>
      <c r="B123" s="163"/>
      <c r="C123" s="163"/>
      <c r="D123" s="163"/>
      <c r="E123" s="163"/>
      <c r="F123" s="163"/>
      <c r="G123" s="163"/>
    </row>
    <row r="124" spans="1:7" x14ac:dyDescent="0.25">
      <c r="A124" s="158"/>
      <c r="B124" s="163"/>
      <c r="C124" s="163"/>
      <c r="D124" s="163"/>
      <c r="E124" s="163"/>
      <c r="F124" s="163"/>
      <c r="G124" s="163"/>
    </row>
    <row r="125" spans="1:7" x14ac:dyDescent="0.25">
      <c r="A125" s="158"/>
      <c r="B125" s="163"/>
      <c r="C125" s="163"/>
      <c r="D125" s="163"/>
      <c r="E125" s="163"/>
      <c r="F125" s="163"/>
      <c r="G125" s="163"/>
    </row>
    <row r="126" spans="1:7" x14ac:dyDescent="0.25">
      <c r="A126" s="158"/>
      <c r="B126" s="163"/>
      <c r="C126" s="163"/>
      <c r="D126" s="163"/>
      <c r="E126" s="163"/>
      <c r="F126" s="163"/>
      <c r="G126" s="163"/>
    </row>
    <row r="127" spans="1:7" x14ac:dyDescent="0.25">
      <c r="A127" s="158"/>
      <c r="B127" s="163"/>
      <c r="C127" s="163"/>
      <c r="D127" s="163"/>
      <c r="E127" s="163"/>
      <c r="F127" s="163"/>
      <c r="G127" s="163"/>
    </row>
    <row r="128" spans="1:7" x14ac:dyDescent="0.25">
      <c r="A128" s="158"/>
      <c r="B128" s="163"/>
      <c r="C128" s="163"/>
    </row>
    <row r="129" spans="1:7" x14ac:dyDescent="0.25">
      <c r="A129" s="158"/>
      <c r="B129" s="163"/>
      <c r="C129" s="163"/>
      <c r="D129" s="163"/>
      <c r="E129" s="163"/>
      <c r="F129" s="163"/>
      <c r="G129" s="163"/>
    </row>
    <row r="130" spans="1:7" x14ac:dyDescent="0.25">
      <c r="A130" s="158"/>
      <c r="B130" s="163"/>
      <c r="C130" s="163"/>
      <c r="D130" s="163"/>
    </row>
    <row r="131" spans="1:7" x14ac:dyDescent="0.25">
      <c r="A131" s="158"/>
    </row>
    <row r="132" spans="1:7" x14ac:dyDescent="0.25">
      <c r="A132" s="158"/>
      <c r="B132" s="163"/>
      <c r="C132" s="163"/>
    </row>
    <row r="133" spans="1:7" x14ac:dyDescent="0.25">
      <c r="A133" s="158"/>
      <c r="B133" s="163"/>
      <c r="C133" s="163"/>
      <c r="D133" s="163"/>
      <c r="E133" s="163"/>
      <c r="F133" s="163"/>
      <c r="G133" s="163"/>
    </row>
    <row r="134" spans="1:7" x14ac:dyDescent="0.25">
      <c r="A134" s="158"/>
      <c r="B134" s="163"/>
      <c r="C134" s="163"/>
    </row>
    <row r="135" spans="1:7" x14ac:dyDescent="0.25">
      <c r="A135" s="158"/>
      <c r="B135" s="163"/>
      <c r="C135" s="163"/>
      <c r="D135" s="163"/>
      <c r="E135" s="163"/>
      <c r="F135" s="163"/>
      <c r="G135" s="163"/>
    </row>
    <row r="136" spans="1:7" x14ac:dyDescent="0.25">
      <c r="A136" s="158"/>
      <c r="B136" s="163"/>
      <c r="C136" s="163"/>
      <c r="D136" s="163"/>
      <c r="E136" s="163"/>
      <c r="F136" s="163"/>
      <c r="G136" s="163"/>
    </row>
    <row r="137" spans="1:7" x14ac:dyDescent="0.25">
      <c r="A137" s="158"/>
      <c r="B137" s="163"/>
      <c r="C137" s="163"/>
      <c r="D137" s="163"/>
      <c r="E137" s="163"/>
      <c r="F137" s="163"/>
      <c r="G137" s="163"/>
    </row>
    <row r="138" spans="1:7" x14ac:dyDescent="0.25">
      <c r="A138" s="158"/>
      <c r="B138" s="163"/>
      <c r="C138" s="163"/>
      <c r="D138" s="163"/>
      <c r="E138" s="163"/>
      <c r="F138" s="163"/>
      <c r="G138" s="163"/>
    </row>
    <row r="139" spans="1:7" x14ac:dyDescent="0.25">
      <c r="A139" s="158"/>
      <c r="B139" s="163"/>
      <c r="C139" s="163"/>
      <c r="D139" s="163"/>
      <c r="E139" s="163"/>
      <c r="F139" s="163"/>
      <c r="G139" s="163"/>
    </row>
    <row r="140" spans="1:7" x14ac:dyDescent="0.25">
      <c r="A140" s="158"/>
      <c r="B140" s="163"/>
      <c r="C140" s="163"/>
      <c r="D140" s="163"/>
      <c r="E140" s="163"/>
      <c r="F140" s="163"/>
      <c r="G140" s="163"/>
    </row>
    <row r="141" spans="1:7" x14ac:dyDescent="0.25">
      <c r="A141" s="158"/>
      <c r="B141" s="163"/>
      <c r="C141" s="163"/>
      <c r="D141" s="163"/>
      <c r="E141" s="163"/>
      <c r="F141" s="163"/>
      <c r="G141" s="163"/>
    </row>
    <row r="142" spans="1:7" x14ac:dyDescent="0.25">
      <c r="A142" s="158"/>
      <c r="B142" s="163"/>
      <c r="C142" s="163"/>
      <c r="D142" s="163"/>
      <c r="E142" s="163"/>
      <c r="F142" s="163"/>
      <c r="G142" s="163"/>
    </row>
    <row r="143" spans="1:7" x14ac:dyDescent="0.25">
      <c r="A143" s="158"/>
      <c r="B143" s="163"/>
      <c r="C143" s="163"/>
      <c r="D143" s="163"/>
      <c r="E143" s="163"/>
      <c r="F143" s="163"/>
      <c r="G143" s="163"/>
    </row>
    <row r="144" spans="1:7" x14ac:dyDescent="0.25">
      <c r="A144" s="158"/>
      <c r="B144" s="163"/>
      <c r="C144" s="163"/>
      <c r="D144" s="163"/>
      <c r="E144" s="163"/>
      <c r="F144" s="163"/>
      <c r="G144" s="163"/>
    </row>
    <row r="145" spans="1:7" x14ac:dyDescent="0.25">
      <c r="A145" s="158"/>
      <c r="B145" s="163"/>
      <c r="C145" s="163"/>
      <c r="D145" s="163"/>
      <c r="E145" s="163"/>
      <c r="F145" s="163"/>
      <c r="G145" s="163"/>
    </row>
    <row r="146" spans="1:7" x14ac:dyDescent="0.25">
      <c r="A146" s="158"/>
      <c r="B146" s="163"/>
      <c r="C146" s="163"/>
      <c r="D146" s="163"/>
      <c r="E146" s="163"/>
      <c r="F146" s="163"/>
      <c r="G146" s="163"/>
    </row>
    <row r="147" spans="1:7" x14ac:dyDescent="0.25">
      <c r="A147" s="158"/>
      <c r="B147" s="163"/>
      <c r="C147" s="163"/>
      <c r="D147" s="163"/>
      <c r="E147" s="163"/>
      <c r="F147" s="163"/>
      <c r="G147" s="163"/>
    </row>
    <row r="148" spans="1:7" x14ac:dyDescent="0.25">
      <c r="A148" s="158"/>
      <c r="B148" s="163"/>
      <c r="C148" s="163"/>
      <c r="D148" s="163"/>
      <c r="E148" s="163"/>
      <c r="F148" s="163"/>
      <c r="G148" s="163"/>
    </row>
    <row r="149" spans="1:7" x14ac:dyDescent="0.25">
      <c r="A149" s="158"/>
      <c r="B149" s="163"/>
      <c r="C149" s="163"/>
      <c r="D149" s="163"/>
      <c r="E149" s="163"/>
      <c r="F149" s="163"/>
      <c r="G149" s="163"/>
    </row>
    <row r="150" spans="1:7" x14ac:dyDescent="0.25">
      <c r="A150" s="158"/>
      <c r="B150" s="163"/>
      <c r="C150" s="163"/>
      <c r="D150" s="163"/>
      <c r="E150" s="163"/>
      <c r="F150" s="163"/>
      <c r="G150" s="163"/>
    </row>
    <row r="151" spans="1:7" x14ac:dyDescent="0.25">
      <c r="A151" s="158"/>
      <c r="B151" s="163"/>
      <c r="C151" s="163"/>
      <c r="D151" s="163"/>
      <c r="E151" s="163"/>
      <c r="F151" s="163"/>
      <c r="G151" s="163"/>
    </row>
    <row r="152" spans="1:7" x14ac:dyDescent="0.25">
      <c r="A152" s="158"/>
      <c r="B152" s="163"/>
      <c r="C152" s="163"/>
      <c r="D152" s="163"/>
      <c r="E152" s="163"/>
      <c r="F152" s="163"/>
      <c r="G152" s="163"/>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63"/>
      <c r="C155" s="163"/>
      <c r="D155" s="163"/>
      <c r="E155" s="163"/>
      <c r="F155" s="163"/>
      <c r="G155" s="163"/>
    </row>
    <row r="156" spans="1:7" x14ac:dyDescent="0.25">
      <c r="A156" s="158"/>
      <c r="B156" s="163"/>
      <c r="C156" s="163"/>
      <c r="D156" s="163"/>
      <c r="E156" s="163"/>
      <c r="F156" s="163"/>
      <c r="G156" s="163"/>
    </row>
    <row r="157" spans="1:7" x14ac:dyDescent="0.25">
      <c r="A157" s="158"/>
      <c r="B157" s="163"/>
      <c r="C157" s="163"/>
      <c r="D157" s="163"/>
      <c r="E157" s="163"/>
      <c r="F157" s="163"/>
      <c r="G157" s="163"/>
    </row>
    <row r="158" spans="1:7" x14ac:dyDescent="0.25">
      <c r="A158" s="158"/>
      <c r="B158" s="163"/>
      <c r="C158" s="163"/>
      <c r="D158" s="163"/>
      <c r="E158" s="163"/>
      <c r="F158" s="163"/>
      <c r="G158" s="163"/>
    </row>
    <row r="159" spans="1:7" x14ac:dyDescent="0.25">
      <c r="A159" s="158"/>
      <c r="B159" s="163"/>
      <c r="C159" s="163"/>
      <c r="D159" s="163"/>
      <c r="E159" s="163"/>
      <c r="F159" s="163"/>
      <c r="G159" s="163"/>
    </row>
    <row r="160" spans="1:7" x14ac:dyDescent="0.25">
      <c r="A160" s="158"/>
      <c r="B160" s="163"/>
      <c r="C160" s="163"/>
      <c r="D160" s="163"/>
      <c r="E160" s="163"/>
      <c r="F160" s="163"/>
      <c r="G160" s="163"/>
    </row>
    <row r="161" spans="1:7" x14ac:dyDescent="0.25">
      <c r="A161" s="158"/>
      <c r="B161" s="163"/>
      <c r="C161" s="163"/>
      <c r="D161" s="163"/>
      <c r="E161" s="163"/>
      <c r="F161" s="163"/>
      <c r="G161" s="163"/>
    </row>
    <row r="162" spans="1:7" x14ac:dyDescent="0.25">
      <c r="A162" s="158"/>
      <c r="B162" s="163"/>
      <c r="C162" s="163"/>
      <c r="D162" s="163"/>
      <c r="E162" s="163"/>
      <c r="F162" s="163"/>
      <c r="G162" s="163"/>
    </row>
    <row r="163" spans="1:7" x14ac:dyDescent="0.25">
      <c r="A163" s="158"/>
      <c r="B163" s="163"/>
      <c r="C163" s="163"/>
      <c r="D163" s="163"/>
      <c r="E163" s="163"/>
      <c r="F163" s="163"/>
      <c r="G163" s="163"/>
    </row>
    <row r="164" spans="1:7" x14ac:dyDescent="0.25">
      <c r="A164" s="158"/>
      <c r="B164" s="163"/>
      <c r="C164" s="163"/>
      <c r="D164" s="163"/>
      <c r="E164" s="163"/>
      <c r="F164" s="163"/>
      <c r="G164" s="163"/>
    </row>
    <row r="165" spans="1:7" x14ac:dyDescent="0.25">
      <c r="A165" s="158"/>
      <c r="B165" s="163"/>
      <c r="C165" s="163"/>
      <c r="D165" s="163"/>
      <c r="E165" s="163"/>
      <c r="F165" s="163"/>
      <c r="G165" s="163"/>
    </row>
    <row r="166" spans="1:7" x14ac:dyDescent="0.25">
      <c r="A166" s="158"/>
      <c r="B166" s="163"/>
      <c r="C166" s="163"/>
      <c r="D166" s="163"/>
      <c r="E166" s="163"/>
      <c r="F166" s="163"/>
      <c r="G166" s="163"/>
    </row>
    <row r="167" spans="1:7" x14ac:dyDescent="0.25">
      <c r="A167" s="158"/>
      <c r="B167" s="163"/>
      <c r="C167" s="163"/>
      <c r="D167" s="163"/>
      <c r="E167" s="163"/>
      <c r="F167" s="163"/>
      <c r="G167" s="163"/>
    </row>
    <row r="168" spans="1:7" x14ac:dyDescent="0.25">
      <c r="A168" s="158"/>
      <c r="B168" s="163"/>
      <c r="C168" s="163"/>
      <c r="D168" s="163"/>
      <c r="E168" s="163"/>
      <c r="F168" s="163"/>
      <c r="G168" s="163"/>
    </row>
    <row r="169" spans="1:7" x14ac:dyDescent="0.25">
      <c r="A169" s="158"/>
      <c r="B169" s="163"/>
      <c r="C169" s="163"/>
      <c r="D169" s="163"/>
      <c r="E169" s="163"/>
      <c r="F169" s="163"/>
      <c r="G169" s="163"/>
    </row>
    <row r="170" spans="1:7" x14ac:dyDescent="0.25">
      <c r="A170" s="158"/>
      <c r="B170" s="163"/>
      <c r="C170" s="163"/>
      <c r="D170" s="163"/>
      <c r="E170" s="163"/>
      <c r="F170" s="163"/>
      <c r="G170" s="163"/>
    </row>
    <row r="171" spans="1:7" x14ac:dyDescent="0.25">
      <c r="A171" s="158"/>
      <c r="B171" s="163"/>
      <c r="C171" s="163"/>
      <c r="D171" s="163"/>
      <c r="E171" s="163"/>
      <c r="F171" s="163"/>
      <c r="G171" s="163"/>
    </row>
    <row r="172" spans="1:7" x14ac:dyDescent="0.25">
      <c r="A172" s="158"/>
      <c r="B172" s="163"/>
      <c r="C172" s="163"/>
      <c r="D172" s="163"/>
      <c r="E172" s="163"/>
      <c r="F172" s="163"/>
      <c r="G172" s="163"/>
    </row>
    <row r="173" spans="1:7" x14ac:dyDescent="0.25">
      <c r="A173" s="158"/>
      <c r="B173" s="163"/>
      <c r="C173" s="163"/>
      <c r="D173" s="163"/>
      <c r="E173" s="163"/>
      <c r="F173" s="163"/>
      <c r="G173" s="163"/>
    </row>
    <row r="174" spans="1:7" x14ac:dyDescent="0.25">
      <c r="A174" s="158"/>
      <c r="B174" s="163"/>
      <c r="C174" s="163"/>
      <c r="D174" s="163"/>
      <c r="E174" s="163"/>
      <c r="F174" s="163"/>
      <c r="G174" s="163"/>
    </row>
    <row r="175" spans="1:7" x14ac:dyDescent="0.25">
      <c r="A175" s="158"/>
      <c r="B175" s="163"/>
      <c r="C175" s="163"/>
      <c r="D175" s="163"/>
      <c r="E175" s="163"/>
      <c r="F175" s="163"/>
      <c r="G175" s="163"/>
    </row>
    <row r="176" spans="1:7" x14ac:dyDescent="0.25">
      <c r="A176" s="158"/>
      <c r="B176" s="163"/>
      <c r="C176" s="163"/>
      <c r="D176" s="163"/>
      <c r="E176" s="163"/>
      <c r="F176" s="163"/>
      <c r="G176" s="163"/>
    </row>
    <row r="177" spans="1:7" x14ac:dyDescent="0.25">
      <c r="A177" s="158"/>
      <c r="B177" s="163"/>
      <c r="C177" s="163"/>
      <c r="D177" s="163"/>
      <c r="E177" s="163"/>
      <c r="F177" s="163"/>
      <c r="G177" s="163"/>
    </row>
    <row r="178" spans="1:7" x14ac:dyDescent="0.25">
      <c r="A178" s="158"/>
      <c r="B178" s="163"/>
      <c r="C178" s="163"/>
      <c r="D178" s="163"/>
      <c r="E178" s="163"/>
      <c r="F178" s="163"/>
      <c r="G178" s="163"/>
    </row>
    <row r="179" spans="1:7" x14ac:dyDescent="0.25">
      <c r="A179" s="158"/>
      <c r="B179" s="163"/>
      <c r="C179" s="163"/>
      <c r="D179" s="163"/>
      <c r="E179" s="163"/>
      <c r="F179" s="163"/>
      <c r="G179" s="163"/>
    </row>
    <row r="180" spans="1:7" x14ac:dyDescent="0.25">
      <c r="A180" s="158"/>
      <c r="B180" s="163"/>
      <c r="C180" s="163"/>
      <c r="D180" s="163"/>
      <c r="E180" s="163"/>
      <c r="F180" s="163"/>
      <c r="G180" s="163"/>
    </row>
    <row r="181" spans="1:7" x14ac:dyDescent="0.25">
      <c r="A181" s="158"/>
      <c r="B181" s="163"/>
      <c r="C181" s="163"/>
      <c r="D181" s="163"/>
      <c r="E181" s="163"/>
      <c r="F181" s="163"/>
      <c r="G181" s="163"/>
    </row>
    <row r="182" spans="1:7" x14ac:dyDescent="0.25">
      <c r="A182" s="158"/>
      <c r="B182" s="163"/>
      <c r="C182" s="163"/>
      <c r="D182" s="163"/>
      <c r="E182" s="163"/>
      <c r="F182" s="163"/>
      <c r="G182" s="163"/>
    </row>
    <row r="183" spans="1:7" x14ac:dyDescent="0.25">
      <c r="A183" s="158"/>
      <c r="B183" s="163"/>
      <c r="C183" s="163"/>
      <c r="D183" s="163"/>
      <c r="E183" s="163"/>
      <c r="F183" s="163"/>
      <c r="G183" s="163"/>
    </row>
    <row r="184" spans="1:7" x14ac:dyDescent="0.25">
      <c r="A184" s="158"/>
      <c r="B184" s="163"/>
      <c r="C184" s="163"/>
      <c r="D184" s="163"/>
      <c r="E184" s="163"/>
      <c r="F184" s="163"/>
      <c r="G184" s="163"/>
    </row>
    <row r="185" spans="1:7" x14ac:dyDescent="0.25">
      <c r="A185" s="158"/>
      <c r="B185" s="163"/>
      <c r="C185" s="163"/>
      <c r="D185" s="163"/>
      <c r="E185" s="163"/>
      <c r="F185" s="163"/>
      <c r="G185" s="163"/>
    </row>
    <row r="186" spans="1:7" x14ac:dyDescent="0.25">
      <c r="A186" s="158"/>
      <c r="B186" s="163"/>
      <c r="C186" s="163"/>
      <c r="D186" s="163"/>
      <c r="E186" s="163"/>
      <c r="F186" s="163"/>
      <c r="G186" s="163"/>
    </row>
    <row r="187" spans="1:7" x14ac:dyDescent="0.25">
      <c r="A187" s="158"/>
      <c r="B187" s="163"/>
      <c r="C187" s="163"/>
    </row>
    <row r="188" spans="1:7" x14ac:dyDescent="0.25">
      <c r="A188" s="158"/>
      <c r="B188" s="163"/>
      <c r="C188" s="163"/>
      <c r="D188" s="163"/>
      <c r="E188" s="163"/>
      <c r="F188" s="163"/>
      <c r="G188" s="163"/>
    </row>
    <row r="189" spans="1:7" x14ac:dyDescent="0.25">
      <c r="A189" s="158"/>
      <c r="B189" s="163"/>
      <c r="C189" s="163"/>
      <c r="D189" s="163"/>
    </row>
    <row r="190" spans="1:7" x14ac:dyDescent="0.25">
      <c r="A190" s="158"/>
    </row>
    <row r="191" spans="1:7" x14ac:dyDescent="0.25">
      <c r="A191" s="158"/>
      <c r="B191" s="163"/>
      <c r="C191" s="163"/>
    </row>
    <row r="192" spans="1:7" x14ac:dyDescent="0.25">
      <c r="A192" s="158"/>
      <c r="B192" s="163"/>
      <c r="C192" s="163"/>
      <c r="D192" s="163"/>
      <c r="E192" s="163"/>
      <c r="F192" s="163"/>
      <c r="G192" s="163"/>
    </row>
    <row r="193" spans="1:7" x14ac:dyDescent="0.25">
      <c r="A193" s="158"/>
      <c r="B193" s="163"/>
      <c r="C193" s="163"/>
    </row>
    <row r="194" spans="1:7" x14ac:dyDescent="0.25">
      <c r="A194" s="158"/>
      <c r="B194" s="163"/>
      <c r="C194" s="163"/>
      <c r="D194" s="163"/>
      <c r="E194" s="163"/>
      <c r="F194" s="163"/>
      <c r="G194" s="163"/>
    </row>
    <row r="195" spans="1:7" x14ac:dyDescent="0.25">
      <c r="A195" s="158"/>
      <c r="B195" s="163"/>
      <c r="C195" s="163"/>
      <c r="D195" s="163"/>
      <c r="E195" s="163"/>
      <c r="F195" s="163"/>
      <c r="G195" s="163"/>
    </row>
    <row r="196" spans="1:7" x14ac:dyDescent="0.25">
      <c r="A196" s="158"/>
      <c r="B196" s="163"/>
      <c r="C196" s="163"/>
      <c r="D196" s="163"/>
      <c r="E196" s="163"/>
      <c r="F196" s="163"/>
      <c r="G196" s="163"/>
    </row>
    <row r="197" spans="1:7" x14ac:dyDescent="0.25">
      <c r="A197" s="158"/>
      <c r="B197" s="163"/>
      <c r="C197" s="163"/>
      <c r="D197" s="163"/>
      <c r="E197" s="163"/>
      <c r="F197" s="163"/>
      <c r="G197" s="163"/>
    </row>
    <row r="198" spans="1:7" x14ac:dyDescent="0.25">
      <c r="A198" s="158"/>
      <c r="B198" s="163"/>
      <c r="C198" s="163"/>
      <c r="D198" s="163"/>
      <c r="E198" s="163"/>
      <c r="F198" s="163"/>
      <c r="G198" s="163"/>
    </row>
    <row r="199" spans="1:7" x14ac:dyDescent="0.25">
      <c r="A199" s="158"/>
      <c r="B199" s="163"/>
      <c r="C199" s="163"/>
      <c r="D199" s="163"/>
      <c r="E199" s="163"/>
      <c r="F199" s="163"/>
      <c r="G199" s="163"/>
    </row>
    <row r="200" spans="1:7" x14ac:dyDescent="0.25">
      <c r="A200" s="158"/>
      <c r="B200" s="163"/>
      <c r="C200" s="163"/>
      <c r="D200" s="163"/>
      <c r="E200" s="163"/>
      <c r="F200" s="163"/>
      <c r="G200" s="163"/>
    </row>
    <row r="201" spans="1:7" x14ac:dyDescent="0.25">
      <c r="A201" s="158"/>
      <c r="B201" s="163"/>
      <c r="C201" s="163"/>
      <c r="D201" s="163"/>
      <c r="E201" s="163"/>
      <c r="F201" s="163"/>
      <c r="G201" s="163"/>
    </row>
    <row r="202" spans="1:7" x14ac:dyDescent="0.25">
      <c r="A202" s="158"/>
      <c r="B202" s="163"/>
      <c r="C202" s="163"/>
      <c r="D202" s="163"/>
      <c r="E202" s="163"/>
      <c r="F202" s="163"/>
      <c r="G202" s="163"/>
    </row>
    <row r="203" spans="1:7" x14ac:dyDescent="0.25">
      <c r="A203" s="158"/>
      <c r="B203" s="163"/>
      <c r="C203" s="163"/>
      <c r="D203" s="163"/>
      <c r="E203" s="163"/>
      <c r="F203" s="163"/>
      <c r="G203" s="163"/>
    </row>
    <row r="204" spans="1:7" x14ac:dyDescent="0.25">
      <c r="A204" s="158"/>
      <c r="B204" s="163"/>
      <c r="C204" s="163"/>
      <c r="D204" s="163"/>
      <c r="E204" s="163"/>
      <c r="F204" s="163"/>
      <c r="G204" s="163"/>
    </row>
    <row r="205" spans="1:7" x14ac:dyDescent="0.25">
      <c r="A205" s="158"/>
      <c r="B205" s="163"/>
      <c r="C205" s="163"/>
      <c r="D205" s="163"/>
      <c r="E205" s="163"/>
      <c r="F205" s="163"/>
      <c r="G205" s="163"/>
    </row>
    <row r="206" spans="1:7" x14ac:dyDescent="0.25">
      <c r="A206" s="158"/>
      <c r="B206" s="163"/>
      <c r="C206" s="163"/>
    </row>
    <row r="207" spans="1:7" x14ac:dyDescent="0.25">
      <c r="A207" s="158"/>
      <c r="B207" s="163"/>
      <c r="C207" s="163"/>
      <c r="D207" s="163"/>
      <c r="E207" s="163"/>
      <c r="F207" s="163"/>
      <c r="G207" s="163"/>
    </row>
    <row r="208" spans="1:7" x14ac:dyDescent="0.25">
      <c r="A208" s="158"/>
      <c r="B208" s="163"/>
      <c r="C208" s="163"/>
      <c r="D208" s="163"/>
    </row>
    <row r="209" spans="1:7" x14ac:dyDescent="0.25">
      <c r="A209" s="158"/>
    </row>
    <row r="210" spans="1:7" x14ac:dyDescent="0.25">
      <c r="A210" s="158"/>
      <c r="B210" s="163"/>
      <c r="C210" s="163"/>
    </row>
    <row r="211" spans="1:7" x14ac:dyDescent="0.25">
      <c r="A211" s="158"/>
      <c r="B211" s="163"/>
      <c r="C211" s="163"/>
      <c r="D211" s="163"/>
      <c r="E211" s="163"/>
      <c r="F211" s="163"/>
      <c r="G211" s="163"/>
    </row>
    <row r="212" spans="1:7" x14ac:dyDescent="0.25">
      <c r="A212" s="158"/>
      <c r="B212" s="163"/>
      <c r="C212" s="163"/>
    </row>
    <row r="213" spans="1:7" x14ac:dyDescent="0.25">
      <c r="A213" s="158"/>
      <c r="B213" s="163"/>
      <c r="C213" s="163"/>
      <c r="D213" s="163"/>
      <c r="E213" s="163"/>
      <c r="F213" s="163"/>
      <c r="G213" s="163"/>
    </row>
    <row r="214" spans="1:7" x14ac:dyDescent="0.25">
      <c r="A214" s="158"/>
      <c r="B214" s="163"/>
      <c r="C214" s="163"/>
      <c r="D214" s="163"/>
      <c r="E214" s="163"/>
      <c r="F214" s="163"/>
      <c r="G214" s="163"/>
    </row>
    <row r="215" spans="1:7" x14ac:dyDescent="0.25">
      <c r="A215" s="158"/>
      <c r="B215" s="163"/>
      <c r="C215" s="163"/>
      <c r="D215" s="163"/>
      <c r="E215" s="163"/>
      <c r="F215" s="163"/>
      <c r="G215" s="163"/>
    </row>
    <row r="216" spans="1:7" x14ac:dyDescent="0.25">
      <c r="A216" s="158"/>
      <c r="B216" s="163"/>
      <c r="C216" s="163"/>
      <c r="D216" s="163"/>
      <c r="E216" s="163"/>
      <c r="F216" s="163"/>
      <c r="G216" s="163"/>
    </row>
    <row r="217" spans="1:7" x14ac:dyDescent="0.25">
      <c r="A217" s="158"/>
      <c r="B217" s="163"/>
      <c r="C217" s="163"/>
    </row>
    <row r="218" spans="1:7" x14ac:dyDescent="0.25">
      <c r="A218" s="158"/>
      <c r="B218" s="163"/>
      <c r="C218" s="163"/>
      <c r="D218" s="163"/>
      <c r="E218" s="163"/>
      <c r="F218" s="163"/>
      <c r="G218" s="163"/>
    </row>
    <row r="219" spans="1:7" x14ac:dyDescent="0.25">
      <c r="A219" s="158"/>
      <c r="B219" s="163"/>
      <c r="C219" s="163"/>
      <c r="D219" s="163"/>
    </row>
    <row r="220" spans="1:7" x14ac:dyDescent="0.25">
      <c r="A220" s="158"/>
    </row>
    <row r="221" spans="1:7" x14ac:dyDescent="0.25">
      <c r="A221" s="158"/>
      <c r="B221" s="163"/>
      <c r="C221" s="163"/>
    </row>
    <row r="222" spans="1:7" x14ac:dyDescent="0.25">
      <c r="A222" s="158"/>
      <c r="B222" s="163"/>
      <c r="C222" s="163"/>
      <c r="D222" s="163"/>
      <c r="E222" s="163"/>
      <c r="F222" s="163"/>
      <c r="G222" s="163"/>
    </row>
    <row r="223" spans="1:7" x14ac:dyDescent="0.25">
      <c r="A223" s="158"/>
      <c r="B223" s="163"/>
      <c r="C223" s="163"/>
    </row>
    <row r="224" spans="1:7" x14ac:dyDescent="0.25">
      <c r="A224" s="158"/>
      <c r="B224" s="163"/>
      <c r="C224" s="163"/>
      <c r="D224" s="163"/>
      <c r="E224" s="163"/>
      <c r="F224" s="163"/>
      <c r="G224" s="163"/>
    </row>
    <row r="225" spans="1:7" x14ac:dyDescent="0.25">
      <c r="A225" s="158"/>
      <c r="B225" s="163"/>
      <c r="C225" s="163"/>
      <c r="D225" s="163"/>
      <c r="E225" s="163"/>
      <c r="F225" s="163"/>
      <c r="G225" s="163"/>
    </row>
    <row r="226" spans="1:7" x14ac:dyDescent="0.25">
      <c r="A226" s="158"/>
      <c r="B226" s="163"/>
      <c r="C226" s="163"/>
      <c r="D226" s="163"/>
      <c r="E226" s="163"/>
      <c r="F226" s="163"/>
      <c r="G226" s="163"/>
    </row>
    <row r="227" spans="1:7" x14ac:dyDescent="0.25">
      <c r="A227" s="158"/>
      <c r="B227" s="163"/>
      <c r="C227" s="163"/>
      <c r="D227" s="163"/>
      <c r="E227" s="163"/>
      <c r="F227" s="163"/>
      <c r="G227" s="163"/>
    </row>
    <row r="228" spans="1:7" x14ac:dyDescent="0.25">
      <c r="A228" s="158"/>
      <c r="B228" s="163"/>
      <c r="C228" s="163"/>
      <c r="D228" s="163"/>
      <c r="E228" s="163"/>
      <c r="F228" s="163"/>
      <c r="G228" s="163"/>
    </row>
    <row r="229" spans="1:7" x14ac:dyDescent="0.25">
      <c r="A229" s="158"/>
      <c r="B229" s="163"/>
      <c r="C229" s="163"/>
      <c r="D229" s="163"/>
      <c r="E229" s="163"/>
      <c r="F229" s="163"/>
      <c r="G229" s="163"/>
    </row>
    <row r="230" spans="1:7" x14ac:dyDescent="0.25">
      <c r="A230" s="158"/>
      <c r="B230" s="163"/>
      <c r="C230" s="163"/>
      <c r="D230" s="163"/>
      <c r="E230" s="163"/>
      <c r="F230" s="163"/>
      <c r="G230" s="163"/>
    </row>
    <row r="231" spans="1:7" x14ac:dyDescent="0.25">
      <c r="A231" s="158"/>
      <c r="B231" s="163"/>
      <c r="C231" s="163"/>
      <c r="D231" s="163"/>
      <c r="E231" s="163"/>
      <c r="F231" s="163"/>
      <c r="G231" s="163"/>
    </row>
    <row r="232" spans="1:7" x14ac:dyDescent="0.25">
      <c r="A232" s="158"/>
      <c r="B232" s="163"/>
      <c r="C232" s="163"/>
      <c r="D232" s="163"/>
      <c r="E232" s="163"/>
      <c r="F232" s="163"/>
      <c r="G232" s="163"/>
    </row>
    <row r="233" spans="1:7" x14ac:dyDescent="0.25">
      <c r="A233" s="158"/>
      <c r="B233" s="163"/>
      <c r="C233" s="163"/>
      <c r="D233" s="163"/>
      <c r="E233" s="163"/>
      <c r="F233" s="163"/>
      <c r="G233" s="163"/>
    </row>
    <row r="234" spans="1:7" x14ac:dyDescent="0.25">
      <c r="A234" s="158"/>
      <c r="B234" s="163"/>
      <c r="C234" s="163"/>
      <c r="D234" s="163"/>
      <c r="E234" s="163"/>
      <c r="F234" s="163"/>
      <c r="G234" s="163"/>
    </row>
    <row r="235" spans="1:7" x14ac:dyDescent="0.25">
      <c r="A235" s="158"/>
      <c r="B235" s="163"/>
      <c r="C235" s="163"/>
      <c r="D235" s="163"/>
      <c r="E235" s="163"/>
      <c r="F235" s="163"/>
      <c r="G235" s="163"/>
    </row>
    <row r="236" spans="1:7" x14ac:dyDescent="0.25">
      <c r="A236" s="158"/>
      <c r="B236" s="163"/>
      <c r="C236" s="163"/>
      <c r="D236" s="163"/>
      <c r="E236" s="163"/>
      <c r="F236" s="163"/>
      <c r="G236" s="163"/>
    </row>
    <row r="237" spans="1:7" x14ac:dyDescent="0.25">
      <c r="A237" s="158"/>
      <c r="B237" s="163"/>
      <c r="C237" s="163"/>
      <c r="D237" s="163"/>
      <c r="E237" s="163"/>
      <c r="F237" s="163"/>
      <c r="G237" s="163"/>
    </row>
    <row r="238" spans="1:7" x14ac:dyDescent="0.25">
      <c r="A238" s="158"/>
      <c r="B238" s="163"/>
      <c r="C238" s="163"/>
      <c r="D238" s="163"/>
      <c r="E238" s="163"/>
      <c r="F238" s="163"/>
      <c r="G238" s="163"/>
    </row>
    <row r="239" spans="1:7" x14ac:dyDescent="0.25">
      <c r="A239" s="158"/>
      <c r="B239" s="163"/>
      <c r="C239" s="163"/>
      <c r="D239" s="163"/>
      <c r="E239" s="163"/>
      <c r="F239" s="163"/>
      <c r="G239" s="163"/>
    </row>
    <row r="240" spans="1:7" x14ac:dyDescent="0.25">
      <c r="A240" s="158"/>
      <c r="B240" s="163"/>
      <c r="C240" s="163"/>
      <c r="D240" s="163"/>
      <c r="E240" s="163"/>
      <c r="F240" s="163"/>
      <c r="G240" s="163"/>
    </row>
    <row r="241" spans="1:7" x14ac:dyDescent="0.25">
      <c r="A241" s="158"/>
      <c r="B241" s="163"/>
      <c r="C241" s="163"/>
      <c r="D241" s="163"/>
      <c r="E241" s="163"/>
      <c r="F241" s="163"/>
      <c r="G241" s="163"/>
    </row>
    <row r="242" spans="1:7" x14ac:dyDescent="0.25">
      <c r="A242" s="158"/>
      <c r="B242" s="163"/>
      <c r="C242" s="163"/>
      <c r="D242" s="163"/>
      <c r="E242" s="163"/>
      <c r="F242" s="163"/>
      <c r="G242" s="163"/>
    </row>
    <row r="243" spans="1:7" x14ac:dyDescent="0.25">
      <c r="A243" s="158"/>
      <c r="B243" s="163"/>
      <c r="C243" s="163"/>
      <c r="D243" s="163"/>
      <c r="E243" s="163"/>
      <c r="F243" s="163"/>
      <c r="G243" s="163"/>
    </row>
    <row r="244" spans="1:7" x14ac:dyDescent="0.25">
      <c r="A244" s="158"/>
      <c r="B244" s="163"/>
      <c r="C244" s="163"/>
      <c r="D244" s="163"/>
      <c r="E244" s="163"/>
      <c r="F244" s="163"/>
      <c r="G244" s="163"/>
    </row>
    <row r="245" spans="1:7" x14ac:dyDescent="0.25">
      <c r="A245" s="158"/>
      <c r="B245" s="163"/>
      <c r="C245" s="163"/>
    </row>
    <row r="246" spans="1:7" x14ac:dyDescent="0.25">
      <c r="A246" s="158"/>
      <c r="B246" s="163"/>
      <c r="C246" s="163"/>
      <c r="D246" s="163"/>
      <c r="E246" s="163"/>
      <c r="F246" s="163"/>
      <c r="G246" s="163"/>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 workbookViewId="1"/>
  </sheetViews>
  <sheetFormatPr baseColWidth="10" defaultRowHeight="15" x14ac:dyDescent="0.25"/>
  <cols>
    <col min="1" max="1" width="18.28515625" customWidth="1"/>
    <col min="2" max="2" width="11.85546875" customWidth="1"/>
  </cols>
  <sheetData>
    <row r="2" spans="1:7" ht="18.75" x14ac:dyDescent="0.3">
      <c r="A2" s="2" t="s">
        <v>538</v>
      </c>
    </row>
    <row r="3" spans="1:7" x14ac:dyDescent="0.25">
      <c r="A3" s="6" t="s">
        <v>11</v>
      </c>
    </row>
    <row r="5" spans="1:7" x14ac:dyDescent="0.25">
      <c r="A5" s="187" t="s">
        <v>510</v>
      </c>
    </row>
    <row r="6" spans="1:7" x14ac:dyDescent="0.25">
      <c r="A6" s="90"/>
      <c r="B6" s="426" t="s">
        <v>492</v>
      </c>
      <c r="C6" s="426"/>
      <c r="D6" s="426"/>
      <c r="E6" s="426"/>
      <c r="F6" s="426"/>
      <c r="G6" s="91"/>
    </row>
    <row r="7" spans="1:7" x14ac:dyDescent="0.25">
      <c r="A7" s="160" t="s">
        <v>537</v>
      </c>
      <c r="B7" s="201" t="s">
        <v>131</v>
      </c>
      <c r="C7" s="162" t="s">
        <v>132</v>
      </c>
      <c r="D7" s="202" t="s">
        <v>133</v>
      </c>
      <c r="E7" s="162" t="s">
        <v>12</v>
      </c>
      <c r="F7" s="186" t="s">
        <v>134</v>
      </c>
      <c r="G7" s="161" t="s">
        <v>28</v>
      </c>
    </row>
    <row r="8" spans="1:7" x14ac:dyDescent="0.25">
      <c r="A8" s="157" t="s">
        <v>135</v>
      </c>
      <c r="B8" s="137">
        <v>1424</v>
      </c>
      <c r="C8" s="137">
        <v>1114</v>
      </c>
      <c r="D8" s="137">
        <v>4984</v>
      </c>
      <c r="E8" s="137">
        <v>463</v>
      </c>
      <c r="F8" s="137">
        <v>646</v>
      </c>
      <c r="G8" s="183">
        <v>8631</v>
      </c>
    </row>
    <row r="9" spans="1:7" x14ac:dyDescent="0.25">
      <c r="A9" s="136" t="s">
        <v>141</v>
      </c>
      <c r="B9" s="137">
        <v>66</v>
      </c>
      <c r="C9" s="137">
        <v>23</v>
      </c>
      <c r="D9" s="137">
        <v>92</v>
      </c>
      <c r="E9" s="137">
        <v>1</v>
      </c>
      <c r="F9" s="137">
        <v>10</v>
      </c>
      <c r="G9" s="137">
        <v>192</v>
      </c>
    </row>
    <row r="10" spans="1:7" x14ac:dyDescent="0.25">
      <c r="A10" s="136" t="s">
        <v>136</v>
      </c>
      <c r="B10" s="137">
        <v>63</v>
      </c>
      <c r="C10" s="137">
        <v>21</v>
      </c>
      <c r="D10" s="137">
        <v>47</v>
      </c>
      <c r="E10" s="137">
        <v>1</v>
      </c>
      <c r="F10" s="137">
        <v>5</v>
      </c>
      <c r="G10" s="137">
        <v>137</v>
      </c>
    </row>
    <row r="11" spans="1:7" x14ac:dyDescent="0.25">
      <c r="A11" s="136" t="s">
        <v>137</v>
      </c>
      <c r="B11" s="137">
        <v>122</v>
      </c>
      <c r="C11" s="137">
        <v>49</v>
      </c>
      <c r="D11" s="137">
        <v>254</v>
      </c>
      <c r="E11" s="137">
        <v>25</v>
      </c>
      <c r="F11" s="137">
        <v>26</v>
      </c>
      <c r="G11" s="137">
        <v>476</v>
      </c>
    </row>
    <row r="12" spans="1:7" x14ac:dyDescent="0.25">
      <c r="A12" s="156" t="s">
        <v>138</v>
      </c>
      <c r="B12" s="182">
        <v>4488</v>
      </c>
      <c r="C12" s="182">
        <v>1820</v>
      </c>
      <c r="D12" s="182">
        <v>17191</v>
      </c>
      <c r="E12" s="182">
        <v>1998</v>
      </c>
      <c r="F12" s="182">
        <v>1151</v>
      </c>
      <c r="G12" s="182">
        <v>26648</v>
      </c>
    </row>
    <row r="13" spans="1:7" x14ac:dyDescent="0.25">
      <c r="A13" s="159" t="s">
        <v>139</v>
      </c>
      <c r="B13" s="174">
        <v>178</v>
      </c>
      <c r="C13" s="174">
        <v>70</v>
      </c>
      <c r="D13" s="174">
        <v>564</v>
      </c>
      <c r="E13" s="174">
        <v>39</v>
      </c>
      <c r="F13" s="174">
        <v>25</v>
      </c>
      <c r="G13" s="174">
        <v>876</v>
      </c>
    </row>
    <row r="14" spans="1:7" x14ac:dyDescent="0.25">
      <c r="A14" s="159" t="s">
        <v>140</v>
      </c>
      <c r="B14" s="174">
        <v>321</v>
      </c>
      <c r="C14" s="174">
        <v>120</v>
      </c>
      <c r="D14" s="174">
        <v>972</v>
      </c>
      <c r="E14" s="174">
        <v>103</v>
      </c>
      <c r="F14" s="174">
        <v>73</v>
      </c>
      <c r="G14" s="174">
        <v>1589</v>
      </c>
    </row>
    <row r="15" spans="1:7" x14ac:dyDescent="0.25">
      <c r="A15" s="184" t="s">
        <v>28</v>
      </c>
      <c r="B15" s="185">
        <v>6662</v>
      </c>
      <c r="C15" s="185">
        <v>3217</v>
      </c>
      <c r="D15" s="185">
        <v>24104</v>
      </c>
      <c r="E15" s="185">
        <v>2630</v>
      </c>
      <c r="F15" s="185">
        <v>1936</v>
      </c>
      <c r="G15" s="185">
        <v>38549</v>
      </c>
    </row>
    <row r="16" spans="1:7" x14ac:dyDescent="0.25">
      <c r="A16" s="158"/>
      <c r="B16" s="158"/>
      <c r="C16" s="158"/>
      <c r="D16" s="158"/>
      <c r="E16" s="158"/>
      <c r="F16" s="158"/>
      <c r="G16" s="158"/>
    </row>
    <row r="17" spans="1:7" x14ac:dyDescent="0.25">
      <c r="A17" s="158"/>
      <c r="B17" s="158"/>
      <c r="C17" s="158"/>
      <c r="D17" s="158"/>
      <c r="E17" s="158"/>
      <c r="F17" s="158"/>
      <c r="G17" s="158"/>
    </row>
    <row r="18" spans="1:7" x14ac:dyDescent="0.25">
      <c r="A18" s="158"/>
      <c r="B18" s="158"/>
      <c r="C18" s="158"/>
      <c r="D18" s="158"/>
    </row>
    <row r="19" spans="1:7" x14ac:dyDescent="0.25">
      <c r="A19" s="187" t="s">
        <v>511</v>
      </c>
    </row>
    <row r="20" spans="1:7" x14ac:dyDescent="0.25">
      <c r="A20" s="90"/>
      <c r="B20" s="426" t="s">
        <v>492</v>
      </c>
      <c r="C20" s="426"/>
      <c r="D20" s="426"/>
      <c r="E20" s="426"/>
      <c r="F20" s="426"/>
      <c r="G20" s="91"/>
    </row>
    <row r="21" spans="1:7" x14ac:dyDescent="0.25">
      <c r="A21" s="160" t="s">
        <v>537</v>
      </c>
      <c r="B21" s="161" t="s">
        <v>131</v>
      </c>
      <c r="C21" s="161" t="s">
        <v>132</v>
      </c>
      <c r="D21" s="161" t="s">
        <v>133</v>
      </c>
      <c r="E21" s="161" t="s">
        <v>12</v>
      </c>
      <c r="F21" s="161" t="s">
        <v>134</v>
      </c>
      <c r="G21" s="161" t="s">
        <v>28</v>
      </c>
    </row>
    <row r="22" spans="1:7" x14ac:dyDescent="0.25">
      <c r="A22" s="157" t="s">
        <v>143</v>
      </c>
      <c r="B22" s="183">
        <v>7570</v>
      </c>
      <c r="C22" s="183">
        <v>2615</v>
      </c>
      <c r="D22" s="183">
        <v>27432</v>
      </c>
      <c r="E22" s="183">
        <v>2782</v>
      </c>
      <c r="F22" s="183">
        <v>1460</v>
      </c>
      <c r="G22" s="183">
        <v>41859</v>
      </c>
    </row>
    <row r="23" spans="1:7" x14ac:dyDescent="0.25">
      <c r="A23" s="136" t="s">
        <v>144</v>
      </c>
      <c r="B23" s="137">
        <v>3138</v>
      </c>
      <c r="C23" s="137">
        <v>877</v>
      </c>
      <c r="D23" s="137">
        <v>9397</v>
      </c>
      <c r="E23" s="137">
        <v>832</v>
      </c>
      <c r="F23" s="137">
        <v>426</v>
      </c>
      <c r="G23" s="137">
        <v>14670</v>
      </c>
    </row>
    <row r="24" spans="1:7" x14ac:dyDescent="0.25">
      <c r="A24" s="136" t="s">
        <v>145</v>
      </c>
      <c r="B24" s="137">
        <v>80</v>
      </c>
      <c r="C24" s="137">
        <v>19</v>
      </c>
      <c r="D24" s="137">
        <v>272</v>
      </c>
      <c r="E24" s="137">
        <v>32</v>
      </c>
      <c r="F24" s="137">
        <v>11</v>
      </c>
      <c r="G24" s="137">
        <v>414</v>
      </c>
    </row>
    <row r="25" spans="1:7" x14ac:dyDescent="0.25">
      <c r="A25" s="136" t="s">
        <v>146</v>
      </c>
      <c r="B25" s="137">
        <v>222</v>
      </c>
      <c r="C25" s="137">
        <v>59</v>
      </c>
      <c r="D25" s="137">
        <v>761</v>
      </c>
      <c r="E25" s="137">
        <v>89</v>
      </c>
      <c r="F25" s="137">
        <v>34</v>
      </c>
      <c r="G25" s="137">
        <v>1165</v>
      </c>
    </row>
    <row r="26" spans="1:7" x14ac:dyDescent="0.25">
      <c r="A26" s="136" t="s">
        <v>147</v>
      </c>
      <c r="B26" s="137">
        <v>15</v>
      </c>
      <c r="C26" s="137">
        <v>1</v>
      </c>
      <c r="D26" s="137">
        <v>19</v>
      </c>
      <c r="E26" s="137">
        <v>1</v>
      </c>
      <c r="F26" s="137">
        <v>1</v>
      </c>
      <c r="G26" s="137">
        <v>37</v>
      </c>
    </row>
    <row r="27" spans="1:7" ht="30" x14ac:dyDescent="0.25">
      <c r="A27" s="136" t="s">
        <v>148</v>
      </c>
      <c r="B27" s="137">
        <v>179</v>
      </c>
      <c r="C27" s="137">
        <v>36</v>
      </c>
      <c r="D27" s="137">
        <v>417</v>
      </c>
      <c r="E27" s="137">
        <v>33</v>
      </c>
      <c r="F27" s="137">
        <v>15</v>
      </c>
      <c r="G27" s="137">
        <v>680</v>
      </c>
    </row>
    <row r="28" spans="1:7" x14ac:dyDescent="0.25">
      <c r="A28" s="136" t="s">
        <v>149</v>
      </c>
      <c r="B28" s="137">
        <v>23</v>
      </c>
      <c r="C28" s="137">
        <v>8</v>
      </c>
      <c r="D28" s="137">
        <v>55</v>
      </c>
      <c r="E28" s="137">
        <v>8</v>
      </c>
      <c r="F28" s="137">
        <v>4</v>
      </c>
      <c r="G28" s="137">
        <v>98</v>
      </c>
    </row>
    <row r="29" spans="1:7" x14ac:dyDescent="0.25">
      <c r="A29" s="136" t="s">
        <v>150</v>
      </c>
      <c r="B29" s="137">
        <v>378</v>
      </c>
      <c r="C29" s="137">
        <v>161</v>
      </c>
      <c r="D29" s="137">
        <v>1187</v>
      </c>
      <c r="E29" s="137">
        <v>102</v>
      </c>
      <c r="F29" s="137">
        <v>57</v>
      </c>
      <c r="G29" s="137">
        <v>1885</v>
      </c>
    </row>
    <row r="30" spans="1:7" x14ac:dyDescent="0.25">
      <c r="A30" s="156" t="s">
        <v>151</v>
      </c>
      <c r="B30" s="182">
        <v>838</v>
      </c>
      <c r="C30" s="182">
        <v>316</v>
      </c>
      <c r="D30" s="182">
        <v>2693</v>
      </c>
      <c r="E30" s="182">
        <v>243</v>
      </c>
      <c r="F30" s="182">
        <v>133</v>
      </c>
      <c r="G30" s="182">
        <v>4223</v>
      </c>
    </row>
    <row r="31" spans="1:7" x14ac:dyDescent="0.25">
      <c r="A31" s="184" t="s">
        <v>28</v>
      </c>
      <c r="B31" s="185">
        <v>12443</v>
      </c>
      <c r="C31" s="185">
        <v>4092</v>
      </c>
      <c r="D31" s="185">
        <v>42233</v>
      </c>
      <c r="E31" s="185">
        <v>4122</v>
      </c>
      <c r="F31" s="185">
        <v>2141</v>
      </c>
      <c r="G31" s="185">
        <v>65031</v>
      </c>
    </row>
    <row r="32" spans="1:7" x14ac:dyDescent="0.25">
      <c r="A32" s="158"/>
      <c r="B32" s="158"/>
      <c r="C32" s="158"/>
      <c r="D32" s="158"/>
      <c r="E32" s="158"/>
      <c r="F32" s="158"/>
      <c r="G32" s="158"/>
    </row>
    <row r="33" spans="1:7" x14ac:dyDescent="0.25">
      <c r="A33" s="158"/>
      <c r="B33" s="158"/>
      <c r="C33" s="158"/>
      <c r="D33" s="158"/>
    </row>
    <row r="34" spans="1:7" x14ac:dyDescent="0.25">
      <c r="A34" s="187" t="s">
        <v>512</v>
      </c>
    </row>
    <row r="35" spans="1:7" x14ac:dyDescent="0.25">
      <c r="A35" s="158"/>
      <c r="B35" s="426" t="s">
        <v>492</v>
      </c>
      <c r="C35" s="426"/>
      <c r="D35" s="426"/>
      <c r="E35" s="426"/>
      <c r="F35" s="426"/>
      <c r="G35" s="91"/>
    </row>
    <row r="36" spans="1:7" x14ac:dyDescent="0.25">
      <c r="A36" s="160" t="s">
        <v>537</v>
      </c>
      <c r="B36" s="161" t="s">
        <v>131</v>
      </c>
      <c r="C36" s="161" t="s">
        <v>132</v>
      </c>
      <c r="D36" s="161" t="s">
        <v>133</v>
      </c>
      <c r="E36" s="161" t="s">
        <v>12</v>
      </c>
      <c r="F36" s="161" t="s">
        <v>134</v>
      </c>
      <c r="G36" s="161" t="s">
        <v>28</v>
      </c>
    </row>
    <row r="37" spans="1:7" x14ac:dyDescent="0.25">
      <c r="A37" s="136" t="s">
        <v>152</v>
      </c>
      <c r="B37" s="137">
        <v>239</v>
      </c>
      <c r="C37" s="137">
        <v>67</v>
      </c>
      <c r="D37" s="137">
        <v>612</v>
      </c>
      <c r="E37" s="137">
        <v>17</v>
      </c>
      <c r="F37" s="137">
        <v>27</v>
      </c>
      <c r="G37" s="137">
        <v>962</v>
      </c>
    </row>
    <row r="38" spans="1:7" x14ac:dyDescent="0.25">
      <c r="A38" s="136" t="s">
        <v>153</v>
      </c>
      <c r="B38" s="137">
        <v>458</v>
      </c>
      <c r="C38" s="137">
        <v>158</v>
      </c>
      <c r="D38" s="137">
        <v>1668</v>
      </c>
      <c r="E38" s="137">
        <v>148</v>
      </c>
      <c r="F38" s="137">
        <v>92</v>
      </c>
      <c r="G38" s="137">
        <v>2524</v>
      </c>
    </row>
    <row r="39" spans="1:7" x14ac:dyDescent="0.25">
      <c r="A39" s="136" t="s">
        <v>495</v>
      </c>
      <c r="B39" s="137">
        <v>525</v>
      </c>
      <c r="C39" s="137">
        <v>152</v>
      </c>
      <c r="D39" s="137">
        <v>1396</v>
      </c>
      <c r="E39" s="137">
        <v>115</v>
      </c>
      <c r="F39" s="137">
        <v>58</v>
      </c>
      <c r="G39" s="137">
        <v>2246</v>
      </c>
    </row>
    <row r="40" spans="1:7" x14ac:dyDescent="0.25">
      <c r="A40" s="136" t="s">
        <v>154</v>
      </c>
      <c r="B40" s="137">
        <v>3599</v>
      </c>
      <c r="C40" s="137">
        <v>1258</v>
      </c>
      <c r="D40" s="137">
        <v>13406</v>
      </c>
      <c r="E40" s="137">
        <v>1276</v>
      </c>
      <c r="F40" s="137">
        <v>790</v>
      </c>
      <c r="G40" s="137">
        <v>20329</v>
      </c>
    </row>
    <row r="41" spans="1:7" ht="30" x14ac:dyDescent="0.25">
      <c r="A41" s="136" t="s">
        <v>155</v>
      </c>
      <c r="B41" s="137">
        <v>291</v>
      </c>
      <c r="C41" s="137">
        <v>140</v>
      </c>
      <c r="D41" s="137">
        <v>859</v>
      </c>
      <c r="E41" s="137">
        <v>62</v>
      </c>
      <c r="F41" s="137">
        <v>47</v>
      </c>
      <c r="G41" s="137">
        <v>1399</v>
      </c>
    </row>
    <row r="42" spans="1:7" x14ac:dyDescent="0.25">
      <c r="A42" s="136" t="s">
        <v>156</v>
      </c>
      <c r="B42" s="137">
        <v>250</v>
      </c>
      <c r="C42" s="137">
        <v>88</v>
      </c>
      <c r="D42" s="137">
        <v>756</v>
      </c>
      <c r="E42" s="137">
        <v>47</v>
      </c>
      <c r="F42" s="137">
        <v>28</v>
      </c>
      <c r="G42" s="137">
        <v>1169</v>
      </c>
    </row>
    <row r="43" spans="1:7" x14ac:dyDescent="0.25">
      <c r="A43" s="136" t="s">
        <v>157</v>
      </c>
      <c r="B43" s="137">
        <v>373</v>
      </c>
      <c r="C43" s="137">
        <v>95</v>
      </c>
      <c r="D43" s="137">
        <v>1098</v>
      </c>
      <c r="E43" s="137">
        <v>68</v>
      </c>
      <c r="F43" s="137">
        <v>53</v>
      </c>
      <c r="G43" s="137">
        <v>1687</v>
      </c>
    </row>
    <row r="44" spans="1:7" x14ac:dyDescent="0.25">
      <c r="A44" s="136" t="s">
        <v>158</v>
      </c>
      <c r="B44" s="137">
        <v>274</v>
      </c>
      <c r="C44" s="137">
        <v>122</v>
      </c>
      <c r="D44" s="137">
        <v>1013</v>
      </c>
      <c r="E44" s="137">
        <v>90</v>
      </c>
      <c r="F44" s="137">
        <v>66</v>
      </c>
      <c r="G44" s="137">
        <v>1565</v>
      </c>
    </row>
    <row r="45" spans="1:7" x14ac:dyDescent="0.25">
      <c r="A45" s="156" t="s">
        <v>159</v>
      </c>
      <c r="B45" s="182">
        <v>1979</v>
      </c>
      <c r="C45" s="182">
        <v>642</v>
      </c>
      <c r="D45" s="182">
        <v>6424</v>
      </c>
      <c r="E45" s="182">
        <v>573</v>
      </c>
      <c r="F45" s="182">
        <v>287</v>
      </c>
      <c r="G45" s="182">
        <v>9905</v>
      </c>
    </row>
    <row r="46" spans="1:7" x14ac:dyDescent="0.25">
      <c r="A46" s="184" t="s">
        <v>28</v>
      </c>
      <c r="B46" s="185">
        <v>7988</v>
      </c>
      <c r="C46" s="185">
        <v>2722</v>
      </c>
      <c r="D46" s="185">
        <v>27232</v>
      </c>
      <c r="E46" s="185">
        <v>2396</v>
      </c>
      <c r="F46" s="185">
        <v>1448</v>
      </c>
      <c r="G46" s="185">
        <v>41786</v>
      </c>
    </row>
    <row r="47" spans="1:7" x14ac:dyDescent="0.25">
      <c r="A47" s="158"/>
      <c r="B47" s="190"/>
      <c r="C47" s="190"/>
      <c r="D47" s="190"/>
      <c r="E47" s="190"/>
      <c r="F47" s="190"/>
      <c r="G47" s="190"/>
    </row>
    <row r="48" spans="1:7" x14ac:dyDescent="0.25">
      <c r="A48" s="158"/>
      <c r="B48" s="158"/>
      <c r="C48" s="158"/>
      <c r="D48" s="158"/>
    </row>
    <row r="49" spans="1:7" x14ac:dyDescent="0.25">
      <c r="A49" s="187" t="s">
        <v>513</v>
      </c>
    </row>
    <row r="50" spans="1:7" x14ac:dyDescent="0.25">
      <c r="A50" s="158"/>
      <c r="B50" s="426" t="s">
        <v>492</v>
      </c>
      <c r="C50" s="426"/>
      <c r="D50" s="426"/>
      <c r="E50" s="426"/>
      <c r="F50" s="426"/>
      <c r="G50" s="91"/>
    </row>
    <row r="51" spans="1:7" x14ac:dyDescent="0.25">
      <c r="A51" s="160" t="s">
        <v>537</v>
      </c>
      <c r="B51" s="161" t="s">
        <v>131</v>
      </c>
      <c r="C51" s="161" t="s">
        <v>132</v>
      </c>
      <c r="D51" s="161" t="s">
        <v>133</v>
      </c>
      <c r="E51" s="161" t="s">
        <v>12</v>
      </c>
      <c r="F51" s="161" t="s">
        <v>134</v>
      </c>
      <c r="G51" s="161" t="s">
        <v>28</v>
      </c>
    </row>
    <row r="52" spans="1:7" x14ac:dyDescent="0.25">
      <c r="A52" s="157" t="s">
        <v>160</v>
      </c>
      <c r="B52" s="183">
        <v>408</v>
      </c>
      <c r="C52" s="183">
        <v>130</v>
      </c>
      <c r="D52" s="183">
        <v>1422</v>
      </c>
      <c r="E52" s="183">
        <v>104</v>
      </c>
      <c r="F52" s="183">
        <v>67</v>
      </c>
      <c r="G52" s="183">
        <v>2131</v>
      </c>
    </row>
    <row r="53" spans="1:7" x14ac:dyDescent="0.25">
      <c r="A53" s="136" t="s">
        <v>161</v>
      </c>
      <c r="B53" s="137">
        <v>542</v>
      </c>
      <c r="C53" s="137">
        <v>135</v>
      </c>
      <c r="D53" s="137">
        <v>1032</v>
      </c>
      <c r="E53" s="137">
        <v>44</v>
      </c>
      <c r="F53" s="137">
        <v>61</v>
      </c>
      <c r="G53" s="137">
        <v>1814</v>
      </c>
    </row>
    <row r="54" spans="1:7" x14ac:dyDescent="0.25">
      <c r="A54" s="136" t="s">
        <v>162</v>
      </c>
      <c r="B54" s="137">
        <v>671</v>
      </c>
      <c r="C54" s="137">
        <v>182</v>
      </c>
      <c r="D54" s="137">
        <v>2043</v>
      </c>
      <c r="E54" s="137">
        <v>146</v>
      </c>
      <c r="F54" s="137">
        <v>90</v>
      </c>
      <c r="G54" s="137">
        <v>3132</v>
      </c>
    </row>
    <row r="55" spans="1:7" x14ac:dyDescent="0.25">
      <c r="A55" s="136" t="s">
        <v>163</v>
      </c>
      <c r="B55" s="137">
        <v>6548</v>
      </c>
      <c r="C55" s="137">
        <v>2215</v>
      </c>
      <c r="D55" s="137">
        <v>23107</v>
      </c>
      <c r="E55" s="137">
        <v>2367</v>
      </c>
      <c r="F55" s="137">
        <v>1325</v>
      </c>
      <c r="G55" s="137">
        <v>35562</v>
      </c>
    </row>
    <row r="56" spans="1:7" x14ac:dyDescent="0.25">
      <c r="A56" s="136" t="s">
        <v>164</v>
      </c>
      <c r="B56" s="137">
        <v>1376</v>
      </c>
      <c r="C56" s="137">
        <v>368</v>
      </c>
      <c r="D56" s="137">
        <v>4048</v>
      </c>
      <c r="E56" s="137">
        <v>313</v>
      </c>
      <c r="F56" s="137">
        <v>219</v>
      </c>
      <c r="G56" s="137">
        <v>6324</v>
      </c>
    </row>
    <row r="57" spans="1:7" x14ac:dyDescent="0.25">
      <c r="A57" s="136" t="s">
        <v>165</v>
      </c>
      <c r="B57" s="137">
        <v>187</v>
      </c>
      <c r="C57" s="137">
        <v>53</v>
      </c>
      <c r="D57" s="137">
        <v>433</v>
      </c>
      <c r="E57" s="137">
        <v>26</v>
      </c>
      <c r="F57" s="137">
        <v>32</v>
      </c>
      <c r="G57" s="137">
        <v>731</v>
      </c>
    </row>
    <row r="58" spans="1:7" x14ac:dyDescent="0.25">
      <c r="A58" s="136" t="s">
        <v>166</v>
      </c>
      <c r="B58" s="137">
        <v>5671</v>
      </c>
      <c r="C58" s="137">
        <v>2073</v>
      </c>
      <c r="D58" s="137">
        <v>21508</v>
      </c>
      <c r="E58" s="137">
        <v>2219</v>
      </c>
      <c r="F58" s="137">
        <v>1263</v>
      </c>
      <c r="G58" s="137">
        <v>32734</v>
      </c>
    </row>
    <row r="59" spans="1:7" x14ac:dyDescent="0.25">
      <c r="A59" s="136" t="s">
        <v>167</v>
      </c>
      <c r="B59" s="137">
        <v>826</v>
      </c>
      <c r="C59" s="137">
        <v>229</v>
      </c>
      <c r="D59" s="137">
        <v>2497</v>
      </c>
      <c r="E59" s="137">
        <v>169</v>
      </c>
      <c r="F59" s="137">
        <v>128</v>
      </c>
      <c r="G59" s="137">
        <v>3849</v>
      </c>
    </row>
    <row r="60" spans="1:7" x14ac:dyDescent="0.25">
      <c r="A60" s="136" t="s">
        <v>168</v>
      </c>
      <c r="B60" s="137">
        <v>1123</v>
      </c>
      <c r="C60" s="137">
        <v>382</v>
      </c>
      <c r="D60" s="137">
        <v>3237</v>
      </c>
      <c r="E60" s="137">
        <v>145</v>
      </c>
      <c r="F60" s="137">
        <v>224</v>
      </c>
      <c r="G60" s="137">
        <v>5111</v>
      </c>
    </row>
    <row r="61" spans="1:7" x14ac:dyDescent="0.25">
      <c r="A61" s="136" t="s">
        <v>169</v>
      </c>
      <c r="B61" s="137">
        <v>4359</v>
      </c>
      <c r="C61" s="137">
        <v>1294</v>
      </c>
      <c r="D61" s="137">
        <v>12231</v>
      </c>
      <c r="E61" s="137">
        <v>921</v>
      </c>
      <c r="F61" s="137">
        <v>691</v>
      </c>
      <c r="G61" s="137">
        <v>19496</v>
      </c>
    </row>
    <row r="62" spans="1:7" x14ac:dyDescent="0.25">
      <c r="A62" s="136" t="s">
        <v>170</v>
      </c>
      <c r="B62" s="137">
        <v>146</v>
      </c>
      <c r="C62" s="137">
        <v>40</v>
      </c>
      <c r="D62" s="137">
        <v>577</v>
      </c>
      <c r="E62" s="137">
        <v>51</v>
      </c>
      <c r="F62" s="137">
        <v>23</v>
      </c>
      <c r="G62" s="137">
        <v>837</v>
      </c>
    </row>
    <row r="63" spans="1:7" x14ac:dyDescent="0.25">
      <c r="A63" s="136" t="s">
        <v>171</v>
      </c>
      <c r="B63" s="137">
        <v>451</v>
      </c>
      <c r="C63" s="137">
        <v>185</v>
      </c>
      <c r="D63" s="137">
        <v>1254</v>
      </c>
      <c r="E63" s="137">
        <v>54</v>
      </c>
      <c r="F63" s="137">
        <v>80</v>
      </c>
      <c r="G63" s="137">
        <v>2024</v>
      </c>
    </row>
    <row r="64" spans="1:7" x14ac:dyDescent="0.25">
      <c r="A64" s="136" t="s">
        <v>172</v>
      </c>
      <c r="B64" s="137">
        <v>279</v>
      </c>
      <c r="C64" s="137">
        <v>54</v>
      </c>
      <c r="D64" s="137">
        <v>547</v>
      </c>
      <c r="E64" s="137">
        <v>23</v>
      </c>
      <c r="F64" s="137">
        <v>24</v>
      </c>
      <c r="G64" s="137">
        <v>927</v>
      </c>
    </row>
    <row r="65" spans="1:7" x14ac:dyDescent="0.25">
      <c r="A65" s="156" t="s">
        <v>173</v>
      </c>
      <c r="B65" s="182">
        <v>1206</v>
      </c>
      <c r="C65" s="182">
        <v>332</v>
      </c>
      <c r="D65" s="182">
        <v>3347</v>
      </c>
      <c r="E65" s="182">
        <v>179</v>
      </c>
      <c r="F65" s="182">
        <v>148</v>
      </c>
      <c r="G65" s="182">
        <v>5212</v>
      </c>
    </row>
    <row r="66" spans="1:7" x14ac:dyDescent="0.25">
      <c r="A66" s="159" t="s">
        <v>496</v>
      </c>
      <c r="B66" s="174">
        <v>724</v>
      </c>
      <c r="C66" s="174">
        <v>272</v>
      </c>
      <c r="D66" s="174">
        <v>3293</v>
      </c>
      <c r="E66" s="174">
        <v>245</v>
      </c>
      <c r="F66" s="174">
        <v>201</v>
      </c>
      <c r="G66" s="174">
        <v>4735</v>
      </c>
    </row>
    <row r="67" spans="1:7" x14ac:dyDescent="0.25">
      <c r="A67" s="184" t="s">
        <v>28</v>
      </c>
      <c r="B67" s="185">
        <v>24517</v>
      </c>
      <c r="C67" s="185">
        <v>7944</v>
      </c>
      <c r="D67" s="185">
        <v>80576</v>
      </c>
      <c r="E67" s="185">
        <v>7006</v>
      </c>
      <c r="F67" s="185">
        <v>4576</v>
      </c>
      <c r="G67" s="185">
        <v>124619</v>
      </c>
    </row>
    <row r="68" spans="1:7" x14ac:dyDescent="0.25">
      <c r="A68" s="158"/>
      <c r="B68" s="190"/>
      <c r="C68" s="190"/>
      <c r="D68" s="190"/>
      <c r="E68" s="190"/>
      <c r="F68" s="190"/>
      <c r="G68" s="190"/>
    </row>
    <row r="69" spans="1:7" x14ac:dyDescent="0.25">
      <c r="A69" s="158"/>
      <c r="B69" s="190"/>
      <c r="C69" s="190"/>
      <c r="D69" s="190"/>
      <c r="E69" s="190"/>
      <c r="F69" s="190"/>
      <c r="G69" s="190"/>
    </row>
    <row r="70" spans="1:7" x14ac:dyDescent="0.25">
      <c r="A70" s="158"/>
      <c r="B70" s="158"/>
      <c r="C70" s="158"/>
      <c r="D70" s="158"/>
    </row>
    <row r="71" spans="1:7" x14ac:dyDescent="0.25">
      <c r="A71" s="188" t="s">
        <v>514</v>
      </c>
    </row>
    <row r="72" spans="1:7" x14ac:dyDescent="0.25">
      <c r="A72" s="158"/>
      <c r="B72" s="426" t="s">
        <v>492</v>
      </c>
      <c r="C72" s="426"/>
      <c r="D72" s="426"/>
      <c r="E72" s="426"/>
      <c r="F72" s="426"/>
      <c r="G72" s="91"/>
    </row>
    <row r="73" spans="1:7" x14ac:dyDescent="0.25">
      <c r="A73" s="160" t="s">
        <v>537</v>
      </c>
      <c r="B73" s="161" t="s">
        <v>131</v>
      </c>
      <c r="C73" s="161" t="s">
        <v>132</v>
      </c>
      <c r="D73" s="161" t="s">
        <v>133</v>
      </c>
      <c r="E73" s="161" t="s">
        <v>12</v>
      </c>
      <c r="F73" s="161" t="s">
        <v>134</v>
      </c>
      <c r="G73" s="161" t="s">
        <v>28</v>
      </c>
    </row>
    <row r="74" spans="1:7" x14ac:dyDescent="0.25">
      <c r="A74" s="136" t="s">
        <v>174</v>
      </c>
      <c r="B74" s="137">
        <v>660</v>
      </c>
      <c r="C74" s="137">
        <v>120</v>
      </c>
      <c r="D74" s="137">
        <v>1917</v>
      </c>
      <c r="E74" s="137">
        <v>161</v>
      </c>
      <c r="F74" s="137">
        <v>72</v>
      </c>
      <c r="G74" s="137">
        <v>2930</v>
      </c>
    </row>
    <row r="75" spans="1:7" x14ac:dyDescent="0.25">
      <c r="A75" s="136" t="s">
        <v>175</v>
      </c>
      <c r="B75" s="137">
        <v>796</v>
      </c>
      <c r="C75" s="137">
        <v>335</v>
      </c>
      <c r="D75" s="137">
        <v>2468</v>
      </c>
      <c r="E75" s="137">
        <v>162</v>
      </c>
      <c r="F75" s="137">
        <v>140</v>
      </c>
      <c r="G75" s="137">
        <v>3901</v>
      </c>
    </row>
    <row r="76" spans="1:7" x14ac:dyDescent="0.25">
      <c r="A76" s="136" t="s">
        <v>176</v>
      </c>
      <c r="B76" s="137">
        <v>293</v>
      </c>
      <c r="C76" s="137">
        <v>100</v>
      </c>
      <c r="D76" s="137">
        <v>1394</v>
      </c>
      <c r="E76" s="137">
        <v>128</v>
      </c>
      <c r="F76" s="137">
        <v>89</v>
      </c>
      <c r="G76" s="137">
        <v>2004</v>
      </c>
    </row>
    <row r="77" spans="1:7" x14ac:dyDescent="0.25">
      <c r="A77" s="136" t="s">
        <v>177</v>
      </c>
      <c r="B77" s="137">
        <v>1179</v>
      </c>
      <c r="C77" s="137">
        <v>323</v>
      </c>
      <c r="D77" s="137">
        <v>3039</v>
      </c>
      <c r="E77" s="137">
        <v>262</v>
      </c>
      <c r="F77" s="137">
        <v>231</v>
      </c>
      <c r="G77" s="137">
        <v>5034</v>
      </c>
    </row>
    <row r="78" spans="1:7" x14ac:dyDescent="0.25">
      <c r="A78" s="136" t="s">
        <v>178</v>
      </c>
      <c r="B78" s="137">
        <v>946</v>
      </c>
      <c r="C78" s="137">
        <v>244</v>
      </c>
      <c r="D78" s="137">
        <v>2931</v>
      </c>
      <c r="E78" s="137">
        <v>262</v>
      </c>
      <c r="F78" s="137">
        <v>138</v>
      </c>
      <c r="G78" s="137">
        <v>4521</v>
      </c>
    </row>
    <row r="79" spans="1:7" x14ac:dyDescent="0.25">
      <c r="A79" s="136" t="s">
        <v>179</v>
      </c>
      <c r="B79" s="137">
        <v>525</v>
      </c>
      <c r="C79" s="137">
        <v>163</v>
      </c>
      <c r="D79" s="137">
        <v>1783</v>
      </c>
      <c r="E79" s="137">
        <v>129</v>
      </c>
      <c r="F79" s="137">
        <v>76</v>
      </c>
      <c r="G79" s="137">
        <v>2676</v>
      </c>
    </row>
    <row r="80" spans="1:7" x14ac:dyDescent="0.25">
      <c r="A80" s="136" t="s">
        <v>180</v>
      </c>
      <c r="B80" s="137">
        <v>1130</v>
      </c>
      <c r="C80" s="137">
        <v>361</v>
      </c>
      <c r="D80" s="137">
        <v>3806</v>
      </c>
      <c r="E80" s="137">
        <v>399</v>
      </c>
      <c r="F80" s="137">
        <v>191</v>
      </c>
      <c r="G80" s="137">
        <v>5887</v>
      </c>
    </row>
    <row r="81" spans="1:7" x14ac:dyDescent="0.25">
      <c r="A81" s="136" t="s">
        <v>181</v>
      </c>
      <c r="B81" s="137">
        <v>792</v>
      </c>
      <c r="C81" s="137">
        <v>167</v>
      </c>
      <c r="D81" s="137">
        <v>2520</v>
      </c>
      <c r="E81" s="137">
        <v>293</v>
      </c>
      <c r="F81" s="137">
        <v>106</v>
      </c>
      <c r="G81" s="137">
        <v>3878</v>
      </c>
    </row>
    <row r="82" spans="1:7" x14ac:dyDescent="0.25">
      <c r="A82" s="136" t="s">
        <v>182</v>
      </c>
      <c r="B82" s="137">
        <v>679</v>
      </c>
      <c r="C82" s="137">
        <v>160</v>
      </c>
      <c r="D82" s="137">
        <v>2197</v>
      </c>
      <c r="E82" s="137">
        <v>238</v>
      </c>
      <c r="F82" s="137">
        <v>116</v>
      </c>
      <c r="G82" s="137">
        <v>3390</v>
      </c>
    </row>
    <row r="83" spans="1:7" x14ac:dyDescent="0.25">
      <c r="A83" s="136" t="s">
        <v>183</v>
      </c>
      <c r="B83" s="137">
        <v>784</v>
      </c>
      <c r="C83" s="137">
        <v>288</v>
      </c>
      <c r="D83" s="137">
        <v>1961</v>
      </c>
      <c r="E83" s="137">
        <v>122</v>
      </c>
      <c r="F83" s="137">
        <v>190</v>
      </c>
      <c r="G83" s="137">
        <v>3345</v>
      </c>
    </row>
    <row r="84" spans="1:7" x14ac:dyDescent="0.25">
      <c r="A84" s="136" t="s">
        <v>184</v>
      </c>
      <c r="B84" s="137">
        <v>139</v>
      </c>
      <c r="C84" s="137">
        <v>54</v>
      </c>
      <c r="D84" s="137">
        <v>412</v>
      </c>
      <c r="E84" s="137">
        <v>29</v>
      </c>
      <c r="F84" s="137">
        <v>34</v>
      </c>
      <c r="G84" s="137">
        <v>668</v>
      </c>
    </row>
    <row r="85" spans="1:7" x14ac:dyDescent="0.25">
      <c r="A85" s="136" t="s">
        <v>185</v>
      </c>
      <c r="B85" s="137">
        <v>45</v>
      </c>
      <c r="C85" s="137">
        <v>3</v>
      </c>
      <c r="D85" s="137">
        <v>87</v>
      </c>
      <c r="E85" s="137">
        <v>4</v>
      </c>
      <c r="F85" s="137">
        <v>2</v>
      </c>
      <c r="G85" s="137">
        <v>141</v>
      </c>
    </row>
    <row r="86" spans="1:7" x14ac:dyDescent="0.25">
      <c r="A86" s="136" t="s">
        <v>186</v>
      </c>
      <c r="B86" s="137">
        <v>2122</v>
      </c>
      <c r="C86" s="137">
        <v>739</v>
      </c>
      <c r="D86" s="137">
        <v>6698</v>
      </c>
      <c r="E86" s="137">
        <v>630</v>
      </c>
      <c r="F86" s="137">
        <v>465</v>
      </c>
      <c r="G86" s="137">
        <v>10654</v>
      </c>
    </row>
    <row r="87" spans="1:7" x14ac:dyDescent="0.25">
      <c r="A87" s="136" t="s">
        <v>187</v>
      </c>
      <c r="B87" s="137">
        <v>465</v>
      </c>
      <c r="C87" s="137">
        <v>144</v>
      </c>
      <c r="D87" s="137">
        <v>1776</v>
      </c>
      <c r="E87" s="137">
        <v>149</v>
      </c>
      <c r="F87" s="137">
        <v>125</v>
      </c>
      <c r="G87" s="137">
        <v>2659</v>
      </c>
    </row>
    <row r="88" spans="1:7" x14ac:dyDescent="0.25">
      <c r="A88" s="136" t="s">
        <v>188</v>
      </c>
      <c r="B88" s="137">
        <v>1716</v>
      </c>
      <c r="C88" s="137">
        <v>540</v>
      </c>
      <c r="D88" s="137">
        <v>4385</v>
      </c>
      <c r="E88" s="137">
        <v>300</v>
      </c>
      <c r="F88" s="137">
        <v>281</v>
      </c>
      <c r="G88" s="137">
        <v>7222</v>
      </c>
    </row>
    <row r="89" spans="1:7" x14ac:dyDescent="0.25">
      <c r="A89" s="136" t="s">
        <v>189</v>
      </c>
      <c r="B89" s="137">
        <v>1607</v>
      </c>
      <c r="C89" s="137">
        <v>569</v>
      </c>
      <c r="D89" s="137">
        <v>5841</v>
      </c>
      <c r="E89" s="137">
        <v>544</v>
      </c>
      <c r="F89" s="137">
        <v>355</v>
      </c>
      <c r="G89" s="137">
        <v>8916</v>
      </c>
    </row>
    <row r="90" spans="1:7" x14ac:dyDescent="0.25">
      <c r="A90" s="136" t="s">
        <v>190</v>
      </c>
      <c r="B90" s="137">
        <v>792</v>
      </c>
      <c r="C90" s="137">
        <v>255</v>
      </c>
      <c r="D90" s="137">
        <v>3218</v>
      </c>
      <c r="E90" s="137">
        <v>289</v>
      </c>
      <c r="F90" s="137">
        <v>190</v>
      </c>
      <c r="G90" s="137">
        <v>4744</v>
      </c>
    </row>
    <row r="91" spans="1:7" x14ac:dyDescent="0.25">
      <c r="A91" s="136" t="s">
        <v>191</v>
      </c>
      <c r="B91" s="137">
        <v>1798</v>
      </c>
      <c r="C91" s="137">
        <v>526</v>
      </c>
      <c r="D91" s="137">
        <v>7944</v>
      </c>
      <c r="E91" s="137">
        <v>818</v>
      </c>
      <c r="F91" s="137">
        <v>471</v>
      </c>
      <c r="G91" s="137">
        <v>11557</v>
      </c>
    </row>
    <row r="92" spans="1:7" x14ac:dyDescent="0.25">
      <c r="A92" s="136" t="s">
        <v>192</v>
      </c>
      <c r="B92" s="137">
        <v>838</v>
      </c>
      <c r="C92" s="137">
        <v>290</v>
      </c>
      <c r="D92" s="137">
        <v>2804</v>
      </c>
      <c r="E92" s="137">
        <v>193</v>
      </c>
      <c r="F92" s="137">
        <v>175</v>
      </c>
      <c r="G92" s="137">
        <v>4300</v>
      </c>
    </row>
    <row r="93" spans="1:7" x14ac:dyDescent="0.25">
      <c r="A93" s="136" t="s">
        <v>193</v>
      </c>
      <c r="B93" s="137">
        <v>701</v>
      </c>
      <c r="C93" s="137">
        <v>252</v>
      </c>
      <c r="D93" s="137">
        <v>2114</v>
      </c>
      <c r="E93" s="137">
        <v>185</v>
      </c>
      <c r="F93" s="137">
        <v>147</v>
      </c>
      <c r="G93" s="137">
        <v>3399</v>
      </c>
    </row>
    <row r="94" spans="1:7" x14ac:dyDescent="0.25">
      <c r="A94" s="136" t="s">
        <v>194</v>
      </c>
      <c r="B94" s="137">
        <v>182</v>
      </c>
      <c r="C94" s="137">
        <v>72</v>
      </c>
      <c r="D94" s="137">
        <v>858</v>
      </c>
      <c r="E94" s="137">
        <v>81</v>
      </c>
      <c r="F94" s="137">
        <v>60</v>
      </c>
      <c r="G94" s="137">
        <v>1253</v>
      </c>
    </row>
    <row r="95" spans="1:7" x14ac:dyDescent="0.25">
      <c r="A95" s="136" t="s">
        <v>195</v>
      </c>
      <c r="B95" s="137">
        <v>239</v>
      </c>
      <c r="C95" s="137">
        <v>75</v>
      </c>
      <c r="D95" s="137">
        <v>650</v>
      </c>
      <c r="E95" s="137">
        <v>61</v>
      </c>
      <c r="F95" s="137">
        <v>43</v>
      </c>
      <c r="G95" s="137">
        <v>1068</v>
      </c>
    </row>
    <row r="96" spans="1:7" x14ac:dyDescent="0.25">
      <c r="A96" s="136" t="s">
        <v>196</v>
      </c>
      <c r="B96" s="137">
        <v>358</v>
      </c>
      <c r="C96" s="137">
        <v>139</v>
      </c>
      <c r="D96" s="137">
        <v>1244</v>
      </c>
      <c r="E96" s="137">
        <v>83</v>
      </c>
      <c r="F96" s="137">
        <v>66</v>
      </c>
      <c r="G96" s="137">
        <v>1890</v>
      </c>
    </row>
    <row r="97" spans="1:7" x14ac:dyDescent="0.25">
      <c r="A97" s="136" t="s">
        <v>197</v>
      </c>
      <c r="B97" s="137">
        <v>793</v>
      </c>
      <c r="C97" s="137">
        <v>172</v>
      </c>
      <c r="D97" s="137">
        <v>2314</v>
      </c>
      <c r="E97" s="137">
        <v>187</v>
      </c>
      <c r="F97" s="137">
        <v>102</v>
      </c>
      <c r="G97" s="137">
        <v>3568</v>
      </c>
    </row>
    <row r="98" spans="1:7" x14ac:dyDescent="0.25">
      <c r="A98" s="136" t="s">
        <v>198</v>
      </c>
      <c r="B98" s="137">
        <v>557</v>
      </c>
      <c r="C98" s="137">
        <v>280</v>
      </c>
      <c r="D98" s="137">
        <v>2196</v>
      </c>
      <c r="E98" s="137">
        <v>148</v>
      </c>
      <c r="F98" s="137">
        <v>147</v>
      </c>
      <c r="G98" s="137">
        <v>3328</v>
      </c>
    </row>
    <row r="99" spans="1:7" x14ac:dyDescent="0.25">
      <c r="A99" s="136" t="s">
        <v>199</v>
      </c>
      <c r="B99" s="137">
        <v>3017</v>
      </c>
      <c r="C99" s="137">
        <v>986</v>
      </c>
      <c r="D99" s="137">
        <v>11383</v>
      </c>
      <c r="E99" s="137">
        <v>1074</v>
      </c>
      <c r="F99" s="137">
        <v>671</v>
      </c>
      <c r="G99" s="137">
        <v>17131</v>
      </c>
    </row>
    <row r="100" spans="1:7" x14ac:dyDescent="0.25">
      <c r="A100" s="136" t="s">
        <v>200</v>
      </c>
      <c r="B100" s="137">
        <v>5180</v>
      </c>
      <c r="C100" s="137">
        <v>1571</v>
      </c>
      <c r="D100" s="137">
        <v>18076</v>
      </c>
      <c r="E100" s="137">
        <v>1991</v>
      </c>
      <c r="F100" s="137">
        <v>971</v>
      </c>
      <c r="G100" s="137">
        <v>27789</v>
      </c>
    </row>
    <row r="101" spans="1:7" x14ac:dyDescent="0.25">
      <c r="A101" s="136" t="s">
        <v>201</v>
      </c>
      <c r="B101" s="137">
        <v>1128</v>
      </c>
      <c r="C101" s="137">
        <v>390</v>
      </c>
      <c r="D101" s="137">
        <v>3537</v>
      </c>
      <c r="E101" s="137">
        <v>394</v>
      </c>
      <c r="F101" s="137">
        <v>216</v>
      </c>
      <c r="G101" s="137">
        <v>5665</v>
      </c>
    </row>
    <row r="102" spans="1:7" x14ac:dyDescent="0.25">
      <c r="A102" s="136" t="s">
        <v>202</v>
      </c>
      <c r="B102" s="137">
        <v>214</v>
      </c>
      <c r="C102" s="137">
        <v>74</v>
      </c>
      <c r="D102" s="137">
        <v>1028</v>
      </c>
      <c r="E102" s="137">
        <v>73</v>
      </c>
      <c r="F102" s="137">
        <v>74</v>
      </c>
      <c r="G102" s="137">
        <v>1463</v>
      </c>
    </row>
    <row r="103" spans="1:7" x14ac:dyDescent="0.25">
      <c r="A103" s="136" t="s">
        <v>203</v>
      </c>
      <c r="B103" s="137">
        <v>3383</v>
      </c>
      <c r="C103" s="137">
        <v>1314</v>
      </c>
      <c r="D103" s="137">
        <v>11545</v>
      </c>
      <c r="E103" s="137">
        <v>965</v>
      </c>
      <c r="F103" s="137">
        <v>877</v>
      </c>
      <c r="G103" s="137">
        <v>18084</v>
      </c>
    </row>
    <row r="104" spans="1:7" x14ac:dyDescent="0.25">
      <c r="A104" s="136" t="s">
        <v>204</v>
      </c>
      <c r="B104" s="137">
        <v>460</v>
      </c>
      <c r="C104" s="137">
        <v>148</v>
      </c>
      <c r="D104" s="137">
        <v>2016</v>
      </c>
      <c r="E104" s="137">
        <v>156</v>
      </c>
      <c r="F104" s="137">
        <v>117</v>
      </c>
      <c r="G104" s="137">
        <v>2897</v>
      </c>
    </row>
    <row r="105" spans="1:7" x14ac:dyDescent="0.25">
      <c r="A105" s="136" t="s">
        <v>205</v>
      </c>
      <c r="B105" s="137">
        <v>1829</v>
      </c>
      <c r="C105" s="137">
        <v>681</v>
      </c>
      <c r="D105" s="137">
        <v>9279</v>
      </c>
      <c r="E105" s="137">
        <v>985</v>
      </c>
      <c r="F105" s="137">
        <v>644</v>
      </c>
      <c r="G105" s="137">
        <v>13418</v>
      </c>
    </row>
    <row r="106" spans="1:7" x14ac:dyDescent="0.25">
      <c r="A106" s="136" t="s">
        <v>206</v>
      </c>
      <c r="B106" s="137">
        <v>352</v>
      </c>
      <c r="C106" s="137">
        <v>133</v>
      </c>
      <c r="D106" s="137">
        <v>1870</v>
      </c>
      <c r="E106" s="137">
        <v>156</v>
      </c>
      <c r="F106" s="137">
        <v>92</v>
      </c>
      <c r="G106" s="137">
        <v>2603</v>
      </c>
    </row>
    <row r="107" spans="1:7" x14ac:dyDescent="0.25">
      <c r="A107" s="136" t="s">
        <v>207</v>
      </c>
      <c r="B107" s="137">
        <v>376</v>
      </c>
      <c r="C107" s="137">
        <v>62</v>
      </c>
      <c r="D107" s="137">
        <v>1124</v>
      </c>
      <c r="E107" s="137">
        <v>82</v>
      </c>
      <c r="F107" s="137">
        <v>51</v>
      </c>
      <c r="G107" s="137">
        <v>1695</v>
      </c>
    </row>
    <row r="108" spans="1:7" x14ac:dyDescent="0.25">
      <c r="A108" s="136" t="s">
        <v>208</v>
      </c>
      <c r="B108" s="137">
        <v>10584</v>
      </c>
      <c r="C108" s="137">
        <v>4302</v>
      </c>
      <c r="D108" s="137">
        <v>36006</v>
      </c>
      <c r="E108" s="137">
        <v>3753</v>
      </c>
      <c r="F108" s="137">
        <v>2550</v>
      </c>
      <c r="G108" s="137">
        <v>57195</v>
      </c>
    </row>
    <row r="109" spans="1:7" x14ac:dyDescent="0.25">
      <c r="A109" s="136" t="s">
        <v>209</v>
      </c>
      <c r="B109" s="137">
        <v>3449</v>
      </c>
      <c r="C109" s="137">
        <v>1297</v>
      </c>
      <c r="D109" s="137">
        <v>12627</v>
      </c>
      <c r="E109" s="137">
        <v>1314</v>
      </c>
      <c r="F109" s="137">
        <v>771</v>
      </c>
      <c r="G109" s="137">
        <v>19458</v>
      </c>
    </row>
    <row r="110" spans="1:7" x14ac:dyDescent="0.25">
      <c r="A110" s="156" t="s">
        <v>497</v>
      </c>
      <c r="B110" s="182">
        <v>9670</v>
      </c>
      <c r="C110" s="182">
        <v>3034</v>
      </c>
      <c r="D110" s="182">
        <v>37684</v>
      </c>
      <c r="E110" s="182">
        <v>4154</v>
      </c>
      <c r="F110" s="182">
        <v>1968</v>
      </c>
      <c r="G110" s="182">
        <v>56510</v>
      </c>
    </row>
    <row r="111" spans="1:7" x14ac:dyDescent="0.25">
      <c r="A111" s="159" t="s">
        <v>210</v>
      </c>
      <c r="B111" s="174">
        <v>278</v>
      </c>
      <c r="C111" s="174">
        <v>80</v>
      </c>
      <c r="D111" s="174">
        <v>841</v>
      </c>
      <c r="E111" s="174">
        <v>48</v>
      </c>
      <c r="F111" s="174">
        <v>37</v>
      </c>
      <c r="G111" s="174">
        <v>1284</v>
      </c>
    </row>
    <row r="112" spans="1:7" x14ac:dyDescent="0.25">
      <c r="A112" s="184" t="s">
        <v>28</v>
      </c>
      <c r="B112" s="185">
        <v>60056</v>
      </c>
      <c r="C112" s="185">
        <v>20443</v>
      </c>
      <c r="D112" s="185">
        <v>213573</v>
      </c>
      <c r="E112" s="185">
        <v>21002</v>
      </c>
      <c r="F112" s="185">
        <v>13051</v>
      </c>
      <c r="G112" s="185">
        <v>328125</v>
      </c>
    </row>
    <row r="113" spans="1:7" x14ac:dyDescent="0.25">
      <c r="A113" s="158"/>
      <c r="B113" s="158"/>
      <c r="C113" s="158"/>
      <c r="D113" s="158"/>
      <c r="E113" s="158"/>
      <c r="F113" s="158"/>
      <c r="G113" s="158"/>
    </row>
    <row r="114" spans="1:7" x14ac:dyDescent="0.25">
      <c r="A114" s="158"/>
      <c r="B114" s="158"/>
      <c r="C114" s="158"/>
      <c r="D114" s="158"/>
      <c r="E114" s="158"/>
      <c r="F114" s="158"/>
      <c r="G114" s="158"/>
    </row>
    <row r="115" spans="1:7" x14ac:dyDescent="0.25">
      <c r="A115" s="158"/>
      <c r="B115" s="158"/>
      <c r="C115" s="158"/>
      <c r="D115" s="158"/>
    </row>
    <row r="116" spans="1:7" x14ac:dyDescent="0.25">
      <c r="A116" s="187" t="s">
        <v>515</v>
      </c>
    </row>
    <row r="117" spans="1:7" x14ac:dyDescent="0.25">
      <c r="A117" s="158"/>
      <c r="B117" s="426" t="s">
        <v>492</v>
      </c>
      <c r="C117" s="426"/>
      <c r="D117" s="426"/>
      <c r="E117" s="426"/>
      <c r="F117" s="426"/>
      <c r="G117" s="91"/>
    </row>
    <row r="118" spans="1:7" x14ac:dyDescent="0.25">
      <c r="A118" s="160" t="s">
        <v>537</v>
      </c>
      <c r="B118" s="161" t="s">
        <v>131</v>
      </c>
      <c r="C118" s="161" t="s">
        <v>132</v>
      </c>
      <c r="D118" s="161" t="s">
        <v>133</v>
      </c>
      <c r="E118" s="161" t="s">
        <v>12</v>
      </c>
      <c r="F118" s="161" t="s">
        <v>134</v>
      </c>
      <c r="G118" s="161" t="s">
        <v>28</v>
      </c>
    </row>
    <row r="119" spans="1:7" x14ac:dyDescent="0.25">
      <c r="A119" s="157" t="s">
        <v>211</v>
      </c>
      <c r="B119" s="183">
        <v>681</v>
      </c>
      <c r="C119" s="183">
        <v>219</v>
      </c>
      <c r="D119" s="183">
        <v>2046</v>
      </c>
      <c r="E119" s="183">
        <v>143</v>
      </c>
      <c r="F119" s="183">
        <v>147</v>
      </c>
      <c r="G119" s="183">
        <v>3236</v>
      </c>
    </row>
    <row r="120" spans="1:7" x14ac:dyDescent="0.25">
      <c r="A120" s="136" t="s">
        <v>212</v>
      </c>
      <c r="B120" s="137">
        <v>1234</v>
      </c>
      <c r="C120" s="137">
        <v>471</v>
      </c>
      <c r="D120" s="137">
        <v>4126</v>
      </c>
      <c r="E120" s="137">
        <v>257</v>
      </c>
      <c r="F120" s="137">
        <v>281</v>
      </c>
      <c r="G120" s="137">
        <v>6369</v>
      </c>
    </row>
    <row r="121" spans="1:7" x14ac:dyDescent="0.25">
      <c r="A121" s="136" t="s">
        <v>213</v>
      </c>
      <c r="B121" s="137">
        <v>321</v>
      </c>
      <c r="C121" s="137">
        <v>141</v>
      </c>
      <c r="D121" s="137">
        <v>1407</v>
      </c>
      <c r="E121" s="137">
        <v>122</v>
      </c>
      <c r="F121" s="137">
        <v>120</v>
      </c>
      <c r="G121" s="137">
        <v>2111</v>
      </c>
    </row>
    <row r="122" spans="1:7" x14ac:dyDescent="0.25">
      <c r="A122" s="136" t="s">
        <v>214</v>
      </c>
      <c r="B122" s="137">
        <v>329</v>
      </c>
      <c r="C122" s="137">
        <v>126</v>
      </c>
      <c r="D122" s="137">
        <v>865</v>
      </c>
      <c r="E122" s="137">
        <v>77</v>
      </c>
      <c r="F122" s="137">
        <v>68</v>
      </c>
      <c r="G122" s="137">
        <v>1465</v>
      </c>
    </row>
    <row r="123" spans="1:7" x14ac:dyDescent="0.25">
      <c r="A123" s="136" t="s">
        <v>215</v>
      </c>
      <c r="B123" s="137">
        <v>636</v>
      </c>
      <c r="C123" s="137">
        <v>223</v>
      </c>
      <c r="D123" s="137">
        <v>2365</v>
      </c>
      <c r="E123" s="137">
        <v>188</v>
      </c>
      <c r="F123" s="137">
        <v>164</v>
      </c>
      <c r="G123" s="137">
        <v>3576</v>
      </c>
    </row>
    <row r="124" spans="1:7" x14ac:dyDescent="0.25">
      <c r="A124" s="136" t="s">
        <v>498</v>
      </c>
      <c r="B124" s="137">
        <v>603</v>
      </c>
      <c r="C124" s="137">
        <v>203</v>
      </c>
      <c r="D124" s="137">
        <v>2250</v>
      </c>
      <c r="E124" s="137">
        <v>224</v>
      </c>
      <c r="F124" s="137">
        <v>148</v>
      </c>
      <c r="G124" s="137">
        <v>3428</v>
      </c>
    </row>
    <row r="125" spans="1:7" x14ac:dyDescent="0.25">
      <c r="A125" s="136" t="s">
        <v>216</v>
      </c>
      <c r="B125" s="137">
        <v>791</v>
      </c>
      <c r="C125" s="137">
        <v>292</v>
      </c>
      <c r="D125" s="137">
        <v>3196</v>
      </c>
      <c r="E125" s="137">
        <v>317</v>
      </c>
      <c r="F125" s="137">
        <v>239</v>
      </c>
      <c r="G125" s="137">
        <v>4835</v>
      </c>
    </row>
    <row r="126" spans="1:7" x14ac:dyDescent="0.25">
      <c r="A126" s="136" t="s">
        <v>217</v>
      </c>
      <c r="B126" s="137">
        <v>170</v>
      </c>
      <c r="C126" s="137">
        <v>46</v>
      </c>
      <c r="D126" s="137">
        <v>503</v>
      </c>
      <c r="E126" s="137">
        <v>34</v>
      </c>
      <c r="F126" s="137">
        <v>18</v>
      </c>
      <c r="G126" s="137">
        <v>771</v>
      </c>
    </row>
    <row r="127" spans="1:7" x14ac:dyDescent="0.25">
      <c r="A127" s="136" t="s">
        <v>218</v>
      </c>
      <c r="B127" s="137">
        <v>985</v>
      </c>
      <c r="C127" s="137">
        <v>289</v>
      </c>
      <c r="D127" s="137">
        <v>2933</v>
      </c>
      <c r="E127" s="137">
        <v>246</v>
      </c>
      <c r="F127" s="137">
        <v>160</v>
      </c>
      <c r="G127" s="137">
        <v>4613</v>
      </c>
    </row>
    <row r="128" spans="1:7" x14ac:dyDescent="0.25">
      <c r="A128" s="136" t="s">
        <v>219</v>
      </c>
      <c r="B128" s="137">
        <v>289</v>
      </c>
      <c r="C128" s="137">
        <v>77</v>
      </c>
      <c r="D128" s="137">
        <v>783</v>
      </c>
      <c r="E128" s="137">
        <v>59</v>
      </c>
      <c r="F128" s="137">
        <v>35</v>
      </c>
      <c r="G128" s="137">
        <v>1243</v>
      </c>
    </row>
    <row r="129" spans="1:7" x14ac:dyDescent="0.25">
      <c r="A129" s="136" t="s">
        <v>220</v>
      </c>
      <c r="B129" s="137">
        <v>354</v>
      </c>
      <c r="C129" s="137">
        <v>115</v>
      </c>
      <c r="D129" s="137">
        <v>1017</v>
      </c>
      <c r="E129" s="137">
        <v>64</v>
      </c>
      <c r="F129" s="137">
        <v>54</v>
      </c>
      <c r="G129" s="137">
        <v>1604</v>
      </c>
    </row>
    <row r="130" spans="1:7" x14ac:dyDescent="0.25">
      <c r="A130" s="136" t="s">
        <v>221</v>
      </c>
      <c r="B130" s="137">
        <v>942</v>
      </c>
      <c r="C130" s="137">
        <v>305</v>
      </c>
      <c r="D130" s="137">
        <v>3406</v>
      </c>
      <c r="E130" s="137">
        <v>324</v>
      </c>
      <c r="F130" s="137">
        <v>242</v>
      </c>
      <c r="G130" s="137">
        <v>5219</v>
      </c>
    </row>
    <row r="131" spans="1:7" x14ac:dyDescent="0.25">
      <c r="A131" s="136" t="s">
        <v>222</v>
      </c>
      <c r="B131" s="137">
        <v>562</v>
      </c>
      <c r="C131" s="137">
        <v>204</v>
      </c>
      <c r="D131" s="137">
        <v>1640</v>
      </c>
      <c r="E131" s="137">
        <v>108</v>
      </c>
      <c r="F131" s="137">
        <v>123</v>
      </c>
      <c r="G131" s="137">
        <v>2637</v>
      </c>
    </row>
    <row r="132" spans="1:7" x14ac:dyDescent="0.25">
      <c r="A132" s="136" t="s">
        <v>223</v>
      </c>
      <c r="B132" s="137">
        <v>317</v>
      </c>
      <c r="C132" s="137">
        <v>89</v>
      </c>
      <c r="D132" s="137">
        <v>1104</v>
      </c>
      <c r="E132" s="137">
        <v>77</v>
      </c>
      <c r="F132" s="137">
        <v>37</v>
      </c>
      <c r="G132" s="137">
        <v>1624</v>
      </c>
    </row>
    <row r="133" spans="1:7" x14ac:dyDescent="0.25">
      <c r="A133" s="136" t="s">
        <v>224</v>
      </c>
      <c r="B133" s="137">
        <v>688</v>
      </c>
      <c r="C133" s="137">
        <v>307</v>
      </c>
      <c r="D133" s="137">
        <v>2814</v>
      </c>
      <c r="E133" s="137">
        <v>235</v>
      </c>
      <c r="F133" s="137">
        <v>209</v>
      </c>
      <c r="G133" s="137">
        <v>4253</v>
      </c>
    </row>
    <row r="134" spans="1:7" x14ac:dyDescent="0.25">
      <c r="A134" s="136" t="s">
        <v>225</v>
      </c>
      <c r="B134" s="137">
        <v>466</v>
      </c>
      <c r="C134" s="137">
        <v>199</v>
      </c>
      <c r="D134" s="137">
        <v>2136</v>
      </c>
      <c r="E134" s="137">
        <v>180</v>
      </c>
      <c r="F134" s="137">
        <v>173</v>
      </c>
      <c r="G134" s="137">
        <v>3154</v>
      </c>
    </row>
    <row r="135" spans="1:7" x14ac:dyDescent="0.25">
      <c r="A135" s="136" t="s">
        <v>226</v>
      </c>
      <c r="B135" s="137">
        <v>445</v>
      </c>
      <c r="C135" s="137">
        <v>104</v>
      </c>
      <c r="D135" s="137">
        <v>811</v>
      </c>
      <c r="E135" s="137">
        <v>42</v>
      </c>
      <c r="F135" s="137">
        <v>42</v>
      </c>
      <c r="G135" s="137">
        <v>1444</v>
      </c>
    </row>
    <row r="136" spans="1:7" x14ac:dyDescent="0.25">
      <c r="A136" s="136" t="s">
        <v>227</v>
      </c>
      <c r="B136" s="137">
        <v>332</v>
      </c>
      <c r="C136" s="137">
        <v>113</v>
      </c>
      <c r="D136" s="137">
        <v>1409</v>
      </c>
      <c r="E136" s="137">
        <v>101</v>
      </c>
      <c r="F136" s="137">
        <v>87</v>
      </c>
      <c r="G136" s="137">
        <v>2042</v>
      </c>
    </row>
    <row r="137" spans="1:7" x14ac:dyDescent="0.25">
      <c r="A137" s="136" t="s">
        <v>228</v>
      </c>
      <c r="B137" s="137">
        <v>468</v>
      </c>
      <c r="C137" s="137">
        <v>137</v>
      </c>
      <c r="D137" s="137">
        <v>1542</v>
      </c>
      <c r="E137" s="137">
        <v>89</v>
      </c>
      <c r="F137" s="137">
        <v>128</v>
      </c>
      <c r="G137" s="137">
        <v>2364</v>
      </c>
    </row>
    <row r="138" spans="1:7" x14ac:dyDescent="0.25">
      <c r="A138" s="136" t="s">
        <v>229</v>
      </c>
      <c r="B138" s="137">
        <v>335</v>
      </c>
      <c r="C138" s="137">
        <v>111</v>
      </c>
      <c r="D138" s="137">
        <v>903</v>
      </c>
      <c r="E138" s="137">
        <v>55</v>
      </c>
      <c r="F138" s="137">
        <v>59</v>
      </c>
      <c r="G138" s="137">
        <v>1463</v>
      </c>
    </row>
    <row r="139" spans="1:7" x14ac:dyDescent="0.25">
      <c r="A139" s="136" t="s">
        <v>230</v>
      </c>
      <c r="B139" s="137">
        <v>412</v>
      </c>
      <c r="C139" s="137">
        <v>140</v>
      </c>
      <c r="D139" s="137">
        <v>1500</v>
      </c>
      <c r="E139" s="137">
        <v>105</v>
      </c>
      <c r="F139" s="137">
        <v>66</v>
      </c>
      <c r="G139" s="137">
        <v>2223</v>
      </c>
    </row>
    <row r="140" spans="1:7" x14ac:dyDescent="0.25">
      <c r="A140" s="136" t="s">
        <v>231</v>
      </c>
      <c r="B140" s="137">
        <v>539</v>
      </c>
      <c r="C140" s="137">
        <v>165</v>
      </c>
      <c r="D140" s="137">
        <v>1910</v>
      </c>
      <c r="E140" s="137">
        <v>181</v>
      </c>
      <c r="F140" s="137">
        <v>99</v>
      </c>
      <c r="G140" s="137">
        <v>2894</v>
      </c>
    </row>
    <row r="141" spans="1:7" x14ac:dyDescent="0.25">
      <c r="A141" s="136" t="s">
        <v>232</v>
      </c>
      <c r="B141" s="137">
        <v>856</v>
      </c>
      <c r="C141" s="137">
        <v>262</v>
      </c>
      <c r="D141" s="137">
        <v>2493</v>
      </c>
      <c r="E141" s="137">
        <v>196</v>
      </c>
      <c r="F141" s="137">
        <v>162</v>
      </c>
      <c r="G141" s="137">
        <v>3969</v>
      </c>
    </row>
    <row r="142" spans="1:7" x14ac:dyDescent="0.25">
      <c r="A142" s="136" t="s">
        <v>233</v>
      </c>
      <c r="B142" s="137">
        <v>615</v>
      </c>
      <c r="C142" s="137">
        <v>192</v>
      </c>
      <c r="D142" s="137">
        <v>2071</v>
      </c>
      <c r="E142" s="137">
        <v>211</v>
      </c>
      <c r="F142" s="137">
        <v>144</v>
      </c>
      <c r="G142" s="137">
        <v>3233</v>
      </c>
    </row>
    <row r="143" spans="1:7" x14ac:dyDescent="0.25">
      <c r="A143" s="136" t="s">
        <v>234</v>
      </c>
      <c r="B143" s="137">
        <v>262</v>
      </c>
      <c r="C143" s="137">
        <v>105</v>
      </c>
      <c r="D143" s="137">
        <v>1105</v>
      </c>
      <c r="E143" s="137">
        <v>65</v>
      </c>
      <c r="F143" s="137">
        <v>82</v>
      </c>
      <c r="G143" s="137">
        <v>1619</v>
      </c>
    </row>
    <row r="144" spans="1:7" x14ac:dyDescent="0.25">
      <c r="A144" s="136" t="s">
        <v>235</v>
      </c>
      <c r="B144" s="137">
        <v>207</v>
      </c>
      <c r="C144" s="137">
        <v>47</v>
      </c>
      <c r="D144" s="137">
        <v>587</v>
      </c>
      <c r="E144" s="137">
        <v>37</v>
      </c>
      <c r="F144" s="137">
        <v>31</v>
      </c>
      <c r="G144" s="137">
        <v>909</v>
      </c>
    </row>
    <row r="145" spans="1:7" x14ac:dyDescent="0.25">
      <c r="A145" s="136" t="s">
        <v>236</v>
      </c>
      <c r="B145" s="137">
        <v>522</v>
      </c>
      <c r="C145" s="137">
        <v>193</v>
      </c>
      <c r="D145" s="137">
        <v>1548</v>
      </c>
      <c r="E145" s="137">
        <v>115</v>
      </c>
      <c r="F145" s="137">
        <v>113</v>
      </c>
      <c r="G145" s="137">
        <v>2491</v>
      </c>
    </row>
    <row r="146" spans="1:7" x14ac:dyDescent="0.25">
      <c r="A146" s="136" t="s">
        <v>237</v>
      </c>
      <c r="B146" s="137">
        <v>6341</v>
      </c>
      <c r="C146" s="137">
        <v>2492</v>
      </c>
      <c r="D146" s="137">
        <v>24754</v>
      </c>
      <c r="E146" s="137">
        <v>2313</v>
      </c>
      <c r="F146" s="137">
        <v>2192</v>
      </c>
      <c r="G146" s="137">
        <v>38092</v>
      </c>
    </row>
    <row r="147" spans="1:7" x14ac:dyDescent="0.25">
      <c r="A147" s="136" t="s">
        <v>238</v>
      </c>
      <c r="B147" s="137">
        <v>1703</v>
      </c>
      <c r="C147" s="137">
        <v>695</v>
      </c>
      <c r="D147" s="137">
        <v>6855</v>
      </c>
      <c r="E147" s="137">
        <v>605</v>
      </c>
      <c r="F147" s="137">
        <v>522</v>
      </c>
      <c r="G147" s="137">
        <v>10380</v>
      </c>
    </row>
    <row r="148" spans="1:7" x14ac:dyDescent="0.25">
      <c r="A148" s="136" t="s">
        <v>239</v>
      </c>
      <c r="B148" s="137">
        <v>548</v>
      </c>
      <c r="C148" s="137">
        <v>241</v>
      </c>
      <c r="D148" s="137">
        <v>2627</v>
      </c>
      <c r="E148" s="137">
        <v>244</v>
      </c>
      <c r="F148" s="137">
        <v>185</v>
      </c>
      <c r="G148" s="137">
        <v>3845</v>
      </c>
    </row>
    <row r="149" spans="1:7" x14ac:dyDescent="0.25">
      <c r="A149" s="136" t="s">
        <v>240</v>
      </c>
      <c r="B149" s="137">
        <v>2090</v>
      </c>
      <c r="C149" s="137">
        <v>721</v>
      </c>
      <c r="D149" s="137">
        <v>8711</v>
      </c>
      <c r="E149" s="137">
        <v>779</v>
      </c>
      <c r="F149" s="137">
        <v>643</v>
      </c>
      <c r="G149" s="137">
        <v>12944</v>
      </c>
    </row>
    <row r="150" spans="1:7" x14ac:dyDescent="0.25">
      <c r="A150" s="136" t="s">
        <v>241</v>
      </c>
      <c r="B150" s="137">
        <v>1932</v>
      </c>
      <c r="C150" s="137">
        <v>582</v>
      </c>
      <c r="D150" s="137">
        <v>6409</v>
      </c>
      <c r="E150" s="137">
        <v>470</v>
      </c>
      <c r="F150" s="137">
        <v>385</v>
      </c>
      <c r="G150" s="137">
        <v>9778</v>
      </c>
    </row>
    <row r="151" spans="1:7" x14ac:dyDescent="0.25">
      <c r="A151" s="156" t="s">
        <v>242</v>
      </c>
      <c r="B151" s="182">
        <v>1335</v>
      </c>
      <c r="C151" s="182">
        <v>457</v>
      </c>
      <c r="D151" s="182">
        <v>4992</v>
      </c>
      <c r="E151" s="182">
        <v>388</v>
      </c>
      <c r="F151" s="182">
        <v>393</v>
      </c>
      <c r="G151" s="182">
        <v>7565</v>
      </c>
    </row>
    <row r="152" spans="1:7" x14ac:dyDescent="0.25">
      <c r="A152" s="184" t="s">
        <v>28</v>
      </c>
      <c r="B152" s="185">
        <v>28310</v>
      </c>
      <c r="C152" s="185">
        <v>10063</v>
      </c>
      <c r="D152" s="185">
        <v>102818</v>
      </c>
      <c r="E152" s="185">
        <v>8651</v>
      </c>
      <c r="F152" s="185">
        <v>7551</v>
      </c>
      <c r="G152" s="185">
        <v>157393</v>
      </c>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58"/>
      <c r="C155" s="158"/>
      <c r="D155" s="158"/>
    </row>
    <row r="156" spans="1:7" x14ac:dyDescent="0.25">
      <c r="A156" s="191" t="s">
        <v>516</v>
      </c>
    </row>
    <row r="157" spans="1:7" x14ac:dyDescent="0.25">
      <c r="A157" s="158"/>
      <c r="B157" s="426" t="s">
        <v>492</v>
      </c>
      <c r="C157" s="426"/>
      <c r="D157" s="426"/>
      <c r="E157" s="426"/>
      <c r="F157" s="426"/>
      <c r="G157" s="91"/>
    </row>
    <row r="158" spans="1:7" x14ac:dyDescent="0.25">
      <c r="A158" s="160" t="s">
        <v>537</v>
      </c>
      <c r="B158" s="189" t="s">
        <v>131</v>
      </c>
      <c r="C158" s="189" t="s">
        <v>132</v>
      </c>
      <c r="D158" s="189" t="s">
        <v>133</v>
      </c>
      <c r="E158" s="189" t="s">
        <v>12</v>
      </c>
      <c r="F158" s="189" t="s">
        <v>134</v>
      </c>
      <c r="G158" s="161" t="s">
        <v>28</v>
      </c>
    </row>
    <row r="159" spans="1:7" x14ac:dyDescent="0.25">
      <c r="A159" s="157" t="s">
        <v>243</v>
      </c>
      <c r="B159" s="137">
        <v>2259</v>
      </c>
      <c r="C159" s="137">
        <v>694</v>
      </c>
      <c r="D159" s="137">
        <v>6207</v>
      </c>
      <c r="E159" s="137">
        <v>443</v>
      </c>
      <c r="F159" s="137">
        <v>379</v>
      </c>
      <c r="G159" s="137">
        <v>9982</v>
      </c>
    </row>
    <row r="160" spans="1:7" x14ac:dyDescent="0.25">
      <c r="A160" s="136" t="s">
        <v>244</v>
      </c>
      <c r="B160" s="137">
        <v>516</v>
      </c>
      <c r="C160" s="137">
        <v>194</v>
      </c>
      <c r="D160" s="137">
        <v>1037</v>
      </c>
      <c r="E160" s="137">
        <v>57</v>
      </c>
      <c r="F160" s="137">
        <v>88</v>
      </c>
      <c r="G160" s="137">
        <v>1892</v>
      </c>
    </row>
    <row r="161" spans="1:7" x14ac:dyDescent="0.25">
      <c r="A161" s="136" t="s">
        <v>245</v>
      </c>
      <c r="B161" s="137">
        <v>791</v>
      </c>
      <c r="C161" s="137">
        <v>314</v>
      </c>
      <c r="D161" s="137">
        <v>2396</v>
      </c>
      <c r="E161" s="137">
        <v>120</v>
      </c>
      <c r="F161" s="137">
        <v>152</v>
      </c>
      <c r="G161" s="137">
        <v>3773</v>
      </c>
    </row>
    <row r="162" spans="1:7" x14ac:dyDescent="0.25">
      <c r="A162" s="136" t="s">
        <v>246</v>
      </c>
      <c r="B162" s="137">
        <v>1690</v>
      </c>
      <c r="C162" s="137">
        <v>775</v>
      </c>
      <c r="D162" s="137">
        <v>4827</v>
      </c>
      <c r="E162" s="137">
        <v>366</v>
      </c>
      <c r="F162" s="137">
        <v>349</v>
      </c>
      <c r="G162" s="137">
        <v>8007</v>
      </c>
    </row>
    <row r="163" spans="1:7" x14ac:dyDescent="0.25">
      <c r="A163" s="136" t="s">
        <v>247</v>
      </c>
      <c r="B163" s="137">
        <v>735</v>
      </c>
      <c r="C163" s="137">
        <v>240</v>
      </c>
      <c r="D163" s="137">
        <v>1392</v>
      </c>
      <c r="E163" s="137">
        <v>84</v>
      </c>
      <c r="F163" s="137">
        <v>100</v>
      </c>
      <c r="G163" s="137">
        <v>2551</v>
      </c>
    </row>
    <row r="164" spans="1:7" x14ac:dyDescent="0.25">
      <c r="A164" s="136" t="s">
        <v>248</v>
      </c>
      <c r="B164" s="137">
        <v>4134</v>
      </c>
      <c r="C164" s="137">
        <v>1331</v>
      </c>
      <c r="D164" s="137">
        <v>16771</v>
      </c>
      <c r="E164" s="137">
        <v>1615</v>
      </c>
      <c r="F164" s="137">
        <v>1180</v>
      </c>
      <c r="G164" s="137">
        <v>25031</v>
      </c>
    </row>
    <row r="165" spans="1:7" x14ac:dyDescent="0.25">
      <c r="A165" s="136" t="s">
        <v>249</v>
      </c>
      <c r="B165" s="137">
        <v>215</v>
      </c>
      <c r="C165" s="137">
        <v>92</v>
      </c>
      <c r="D165" s="137">
        <v>351</v>
      </c>
      <c r="E165" s="137">
        <v>15</v>
      </c>
      <c r="F165" s="137">
        <v>33</v>
      </c>
      <c r="G165" s="137">
        <v>706</v>
      </c>
    </row>
    <row r="166" spans="1:7" x14ac:dyDescent="0.25">
      <c r="A166" s="136" t="s">
        <v>499</v>
      </c>
      <c r="B166" s="137">
        <v>586</v>
      </c>
      <c r="C166" s="137">
        <v>161</v>
      </c>
      <c r="D166" s="137">
        <v>1423</v>
      </c>
      <c r="E166" s="137">
        <v>94</v>
      </c>
      <c r="F166" s="137">
        <v>89</v>
      </c>
      <c r="G166" s="137">
        <v>2353</v>
      </c>
    </row>
    <row r="167" spans="1:7" x14ac:dyDescent="0.25">
      <c r="A167" s="136" t="s">
        <v>250</v>
      </c>
      <c r="B167" s="137">
        <v>332</v>
      </c>
      <c r="C167" s="137">
        <v>113</v>
      </c>
      <c r="D167" s="137">
        <v>831</v>
      </c>
      <c r="E167" s="137">
        <v>40</v>
      </c>
      <c r="F167" s="137">
        <v>62</v>
      </c>
      <c r="G167" s="137">
        <v>1378</v>
      </c>
    </row>
    <row r="168" spans="1:7" x14ac:dyDescent="0.25">
      <c r="A168" s="136" t="s">
        <v>251</v>
      </c>
      <c r="B168" s="137">
        <v>3626</v>
      </c>
      <c r="C168" s="137">
        <v>1053</v>
      </c>
      <c r="D168" s="137">
        <v>10943</v>
      </c>
      <c r="E168" s="137">
        <v>954</v>
      </c>
      <c r="F168" s="137">
        <v>684</v>
      </c>
      <c r="G168" s="137">
        <v>17260</v>
      </c>
    </row>
    <row r="169" spans="1:7" x14ac:dyDescent="0.25">
      <c r="A169" s="136" t="s">
        <v>252</v>
      </c>
      <c r="B169" s="137">
        <v>1507</v>
      </c>
      <c r="C169" s="137">
        <v>507</v>
      </c>
      <c r="D169" s="137">
        <v>3425</v>
      </c>
      <c r="E169" s="137">
        <v>134</v>
      </c>
      <c r="F169" s="137">
        <v>245</v>
      </c>
      <c r="G169" s="137">
        <v>5818</v>
      </c>
    </row>
    <row r="170" spans="1:7" x14ac:dyDescent="0.25">
      <c r="A170" s="136" t="s">
        <v>253</v>
      </c>
      <c r="B170" s="137">
        <v>1082</v>
      </c>
      <c r="C170" s="137">
        <v>559</v>
      </c>
      <c r="D170" s="137">
        <v>2903</v>
      </c>
      <c r="E170" s="137">
        <v>264</v>
      </c>
      <c r="F170" s="137">
        <v>307</v>
      </c>
      <c r="G170" s="137">
        <v>5115</v>
      </c>
    </row>
    <row r="171" spans="1:7" x14ac:dyDescent="0.25">
      <c r="A171" s="136" t="s">
        <v>254</v>
      </c>
      <c r="B171" s="137">
        <v>1311</v>
      </c>
      <c r="C171" s="137">
        <v>449</v>
      </c>
      <c r="D171" s="137">
        <v>5427</v>
      </c>
      <c r="E171" s="137">
        <v>465</v>
      </c>
      <c r="F171" s="137">
        <v>310</v>
      </c>
      <c r="G171" s="137">
        <v>7962</v>
      </c>
    </row>
    <row r="172" spans="1:7" x14ac:dyDescent="0.25">
      <c r="A172" s="136" t="s">
        <v>255</v>
      </c>
      <c r="B172" s="137">
        <v>1947</v>
      </c>
      <c r="C172" s="137">
        <v>631</v>
      </c>
      <c r="D172" s="137">
        <v>5322</v>
      </c>
      <c r="E172" s="137">
        <v>390</v>
      </c>
      <c r="F172" s="137">
        <v>404</v>
      </c>
      <c r="G172" s="137">
        <v>8694</v>
      </c>
    </row>
    <row r="173" spans="1:7" x14ac:dyDescent="0.25">
      <c r="A173" s="136" t="s">
        <v>256</v>
      </c>
      <c r="B173" s="137">
        <v>422</v>
      </c>
      <c r="C173" s="137">
        <v>109</v>
      </c>
      <c r="D173" s="137">
        <v>1020</v>
      </c>
      <c r="E173" s="137">
        <v>66</v>
      </c>
      <c r="F173" s="137">
        <v>61</v>
      </c>
      <c r="G173" s="137">
        <v>1678</v>
      </c>
    </row>
    <row r="174" spans="1:7" x14ac:dyDescent="0.25">
      <c r="A174" s="136" t="s">
        <v>257</v>
      </c>
      <c r="B174" s="137">
        <v>458</v>
      </c>
      <c r="C174" s="137">
        <v>139</v>
      </c>
      <c r="D174" s="137">
        <v>744</v>
      </c>
      <c r="E174" s="137">
        <v>51</v>
      </c>
      <c r="F174" s="137">
        <v>41</v>
      </c>
      <c r="G174" s="137">
        <v>1433</v>
      </c>
    </row>
    <row r="175" spans="1:7" x14ac:dyDescent="0.25">
      <c r="A175" s="136" t="s">
        <v>258</v>
      </c>
      <c r="B175" s="137">
        <v>360</v>
      </c>
      <c r="C175" s="137">
        <v>145</v>
      </c>
      <c r="D175" s="137">
        <v>1016</v>
      </c>
      <c r="E175" s="137">
        <v>43</v>
      </c>
      <c r="F175" s="137">
        <v>67</v>
      </c>
      <c r="G175" s="137">
        <v>1631</v>
      </c>
    </row>
    <row r="176" spans="1:7" x14ac:dyDescent="0.25">
      <c r="A176" s="136" t="s">
        <v>259</v>
      </c>
      <c r="B176" s="137">
        <v>387</v>
      </c>
      <c r="C176" s="137">
        <v>112</v>
      </c>
      <c r="D176" s="137">
        <v>1249</v>
      </c>
      <c r="E176" s="137">
        <v>58</v>
      </c>
      <c r="F176" s="137">
        <v>74</v>
      </c>
      <c r="G176" s="137">
        <v>1880</v>
      </c>
    </row>
    <row r="177" spans="1:7" x14ac:dyDescent="0.25">
      <c r="A177" s="136" t="s">
        <v>260</v>
      </c>
      <c r="B177" s="137">
        <v>984</v>
      </c>
      <c r="C177" s="137">
        <v>344</v>
      </c>
      <c r="D177" s="137">
        <v>2384</v>
      </c>
      <c r="E177" s="137">
        <v>138</v>
      </c>
      <c r="F177" s="137">
        <v>152</v>
      </c>
      <c r="G177" s="137">
        <v>4002</v>
      </c>
    </row>
    <row r="178" spans="1:7" x14ac:dyDescent="0.25">
      <c r="A178" s="136" t="s">
        <v>261</v>
      </c>
      <c r="B178" s="137">
        <v>573</v>
      </c>
      <c r="C178" s="137">
        <v>200</v>
      </c>
      <c r="D178" s="137">
        <v>1604</v>
      </c>
      <c r="E178" s="137">
        <v>98</v>
      </c>
      <c r="F178" s="137">
        <v>95</v>
      </c>
      <c r="G178" s="137">
        <v>2570</v>
      </c>
    </row>
    <row r="179" spans="1:7" x14ac:dyDescent="0.25">
      <c r="A179" s="136" t="s">
        <v>262</v>
      </c>
      <c r="B179" s="137">
        <v>436</v>
      </c>
      <c r="C179" s="137">
        <v>147</v>
      </c>
      <c r="D179" s="137">
        <v>1676</v>
      </c>
      <c r="E179" s="137">
        <v>86</v>
      </c>
      <c r="F179" s="137">
        <v>94</v>
      </c>
      <c r="G179" s="137">
        <v>2439</v>
      </c>
    </row>
    <row r="180" spans="1:7" x14ac:dyDescent="0.25">
      <c r="A180" s="136" t="s">
        <v>263</v>
      </c>
      <c r="B180" s="137">
        <v>685</v>
      </c>
      <c r="C180" s="137">
        <v>228</v>
      </c>
      <c r="D180" s="137">
        <v>2182</v>
      </c>
      <c r="E180" s="137">
        <v>139</v>
      </c>
      <c r="F180" s="137">
        <v>133</v>
      </c>
      <c r="G180" s="137">
        <v>3367</v>
      </c>
    </row>
    <row r="181" spans="1:7" x14ac:dyDescent="0.25">
      <c r="A181" s="136" t="s">
        <v>264</v>
      </c>
      <c r="B181" s="137">
        <v>1828</v>
      </c>
      <c r="C181" s="137">
        <v>584</v>
      </c>
      <c r="D181" s="137">
        <v>4476</v>
      </c>
      <c r="E181" s="137">
        <v>291</v>
      </c>
      <c r="F181" s="137">
        <v>328</v>
      </c>
      <c r="G181" s="137">
        <v>7507</v>
      </c>
    </row>
    <row r="182" spans="1:7" x14ac:dyDescent="0.25">
      <c r="A182" s="136" t="s">
        <v>265</v>
      </c>
      <c r="B182" s="137">
        <v>1787</v>
      </c>
      <c r="C182" s="137">
        <v>521</v>
      </c>
      <c r="D182" s="137">
        <v>5593</v>
      </c>
      <c r="E182" s="137">
        <v>423</v>
      </c>
      <c r="F182" s="137">
        <v>289</v>
      </c>
      <c r="G182" s="137">
        <v>8613</v>
      </c>
    </row>
    <row r="183" spans="1:7" x14ac:dyDescent="0.25">
      <c r="A183" s="136" t="s">
        <v>266</v>
      </c>
      <c r="B183" s="137">
        <v>380</v>
      </c>
      <c r="C183" s="137">
        <v>125</v>
      </c>
      <c r="D183" s="137">
        <v>984</v>
      </c>
      <c r="E183" s="137">
        <v>59</v>
      </c>
      <c r="F183" s="137">
        <v>60</v>
      </c>
      <c r="G183" s="137">
        <v>1608</v>
      </c>
    </row>
    <row r="184" spans="1:7" x14ac:dyDescent="0.25">
      <c r="A184" s="136" t="s">
        <v>267</v>
      </c>
      <c r="B184" s="137">
        <v>7680</v>
      </c>
      <c r="C184" s="137">
        <v>2753</v>
      </c>
      <c r="D184" s="137">
        <v>24449</v>
      </c>
      <c r="E184" s="137">
        <v>2642</v>
      </c>
      <c r="F184" s="137">
        <v>1782</v>
      </c>
      <c r="G184" s="137">
        <v>39306</v>
      </c>
    </row>
    <row r="185" spans="1:7" x14ac:dyDescent="0.25">
      <c r="A185" s="136" t="s">
        <v>268</v>
      </c>
      <c r="B185" s="137">
        <v>1092</v>
      </c>
      <c r="C185" s="137">
        <v>393</v>
      </c>
      <c r="D185" s="137">
        <v>3495</v>
      </c>
      <c r="E185" s="137">
        <v>180</v>
      </c>
      <c r="F185" s="137">
        <v>202</v>
      </c>
      <c r="G185" s="137">
        <v>5362</v>
      </c>
    </row>
    <row r="186" spans="1:7" x14ac:dyDescent="0.25">
      <c r="A186" s="136" t="s">
        <v>269</v>
      </c>
      <c r="B186" s="137">
        <v>261</v>
      </c>
      <c r="C186" s="137">
        <v>70</v>
      </c>
      <c r="D186" s="137">
        <v>475</v>
      </c>
      <c r="E186" s="137">
        <v>28</v>
      </c>
      <c r="F186" s="137">
        <v>30</v>
      </c>
      <c r="G186" s="137">
        <v>864</v>
      </c>
    </row>
    <row r="187" spans="1:7" x14ac:dyDescent="0.25">
      <c r="A187" s="136" t="s">
        <v>270</v>
      </c>
      <c r="B187" s="137">
        <v>678</v>
      </c>
      <c r="C187" s="137">
        <v>224</v>
      </c>
      <c r="D187" s="137">
        <v>2050</v>
      </c>
      <c r="E187" s="137">
        <v>164</v>
      </c>
      <c r="F187" s="137">
        <v>114</v>
      </c>
      <c r="G187" s="137">
        <v>3230</v>
      </c>
    </row>
    <row r="188" spans="1:7" x14ac:dyDescent="0.25">
      <c r="A188" s="156" t="s">
        <v>271</v>
      </c>
      <c r="B188" s="182">
        <v>791</v>
      </c>
      <c r="C188" s="182">
        <v>264</v>
      </c>
      <c r="D188" s="182">
        <v>1958</v>
      </c>
      <c r="E188" s="137">
        <v>89</v>
      </c>
      <c r="F188" s="137">
        <v>138</v>
      </c>
      <c r="G188" s="137">
        <v>3240</v>
      </c>
    </row>
    <row r="189" spans="1:7" x14ac:dyDescent="0.25">
      <c r="A189" s="184" t="s">
        <v>28</v>
      </c>
      <c r="B189" s="185">
        <v>39533</v>
      </c>
      <c r="C189" s="185">
        <v>13471</v>
      </c>
      <c r="D189" s="185">
        <v>118610</v>
      </c>
      <c r="E189" s="185">
        <v>9596</v>
      </c>
      <c r="F189" s="185">
        <v>8042</v>
      </c>
      <c r="G189" s="185">
        <v>189252</v>
      </c>
    </row>
    <row r="190" spans="1:7" x14ac:dyDescent="0.25">
      <c r="A190" s="158"/>
      <c r="B190" s="158"/>
      <c r="C190" s="158"/>
      <c r="D190" s="158"/>
      <c r="E190" s="158"/>
      <c r="F190" s="158"/>
      <c r="G190" s="158"/>
    </row>
    <row r="191" spans="1:7" x14ac:dyDescent="0.25">
      <c r="A191" s="158"/>
      <c r="B191" s="158"/>
      <c r="C191" s="158"/>
      <c r="D191" s="158"/>
      <c r="E191" s="158"/>
      <c r="F191" s="158"/>
      <c r="G191" s="158"/>
    </row>
    <row r="192" spans="1:7" x14ac:dyDescent="0.25">
      <c r="A192" s="158"/>
      <c r="B192" s="158"/>
      <c r="C192" s="158"/>
      <c r="D192" s="158"/>
    </row>
    <row r="193" spans="1:7" x14ac:dyDescent="0.25">
      <c r="A193" s="187" t="s">
        <v>517</v>
      </c>
    </row>
    <row r="194" spans="1:7" x14ac:dyDescent="0.25">
      <c r="A194" s="158"/>
      <c r="B194" s="426" t="s">
        <v>492</v>
      </c>
      <c r="C194" s="426"/>
      <c r="D194" s="426"/>
      <c r="E194" s="426"/>
      <c r="F194" s="426"/>
      <c r="G194" s="91"/>
    </row>
    <row r="195" spans="1:7" x14ac:dyDescent="0.25">
      <c r="A195" s="160" t="s">
        <v>537</v>
      </c>
      <c r="B195" s="189" t="s">
        <v>131</v>
      </c>
      <c r="C195" s="189" t="s">
        <v>132</v>
      </c>
      <c r="D195" s="189" t="s">
        <v>133</v>
      </c>
      <c r="E195" s="189" t="s">
        <v>12</v>
      </c>
      <c r="F195" s="189" t="s">
        <v>134</v>
      </c>
      <c r="G195" s="161" t="s">
        <v>28</v>
      </c>
    </row>
    <row r="196" spans="1:7" x14ac:dyDescent="0.25">
      <c r="A196" s="157" t="s">
        <v>273</v>
      </c>
      <c r="B196" s="137">
        <v>184</v>
      </c>
      <c r="C196" s="137">
        <v>211</v>
      </c>
      <c r="D196" s="137">
        <v>328</v>
      </c>
      <c r="E196" s="137">
        <v>6</v>
      </c>
      <c r="F196" s="137">
        <v>86</v>
      </c>
      <c r="G196" s="137">
        <v>815</v>
      </c>
    </row>
    <row r="197" spans="1:7" x14ac:dyDescent="0.25">
      <c r="A197" s="136" t="s">
        <v>274</v>
      </c>
      <c r="B197" s="137">
        <v>213</v>
      </c>
      <c r="C197" s="137">
        <v>86</v>
      </c>
      <c r="D197" s="137">
        <v>477</v>
      </c>
      <c r="E197" s="137">
        <v>50</v>
      </c>
      <c r="F197" s="137">
        <v>37</v>
      </c>
      <c r="G197" s="137">
        <v>863</v>
      </c>
    </row>
    <row r="198" spans="1:7" x14ac:dyDescent="0.25">
      <c r="A198" s="136" t="s">
        <v>275</v>
      </c>
      <c r="B198" s="137">
        <v>1459</v>
      </c>
      <c r="C198" s="137">
        <v>556</v>
      </c>
      <c r="D198" s="137">
        <v>3454</v>
      </c>
      <c r="E198" s="137">
        <v>276</v>
      </c>
      <c r="F198" s="137">
        <v>214</v>
      </c>
      <c r="G198" s="137">
        <v>5959</v>
      </c>
    </row>
    <row r="199" spans="1:7" x14ac:dyDescent="0.25">
      <c r="A199" s="136" t="s">
        <v>276</v>
      </c>
      <c r="B199" s="137">
        <v>1185</v>
      </c>
      <c r="C199" s="137">
        <v>660</v>
      </c>
      <c r="D199" s="137">
        <v>3203</v>
      </c>
      <c r="E199" s="137">
        <v>249</v>
      </c>
      <c r="F199" s="137">
        <v>258</v>
      </c>
      <c r="G199" s="137">
        <v>5555</v>
      </c>
    </row>
    <row r="200" spans="1:7" x14ac:dyDescent="0.25">
      <c r="A200" s="136" t="s">
        <v>500</v>
      </c>
      <c r="B200" s="137">
        <v>1646</v>
      </c>
      <c r="C200" s="137">
        <v>525</v>
      </c>
      <c r="D200" s="137">
        <v>3412</v>
      </c>
      <c r="E200" s="137">
        <v>231</v>
      </c>
      <c r="F200" s="137">
        <v>217</v>
      </c>
      <c r="G200" s="137">
        <v>6031</v>
      </c>
    </row>
    <row r="201" spans="1:7" x14ac:dyDescent="0.25">
      <c r="A201" s="136" t="s">
        <v>277</v>
      </c>
      <c r="B201" s="137">
        <v>2333</v>
      </c>
      <c r="C201" s="137">
        <v>819</v>
      </c>
      <c r="D201" s="137">
        <v>8726</v>
      </c>
      <c r="E201" s="137">
        <v>980</v>
      </c>
      <c r="F201" s="137">
        <v>486</v>
      </c>
      <c r="G201" s="137">
        <v>13344</v>
      </c>
    </row>
    <row r="202" spans="1:7" x14ac:dyDescent="0.25">
      <c r="A202" s="136" t="s">
        <v>278</v>
      </c>
      <c r="B202" s="137">
        <v>6243</v>
      </c>
      <c r="C202" s="137">
        <v>1954</v>
      </c>
      <c r="D202" s="137">
        <v>23553</v>
      </c>
      <c r="E202" s="137">
        <v>2793</v>
      </c>
      <c r="F202" s="137">
        <v>1235</v>
      </c>
      <c r="G202" s="137">
        <v>35778</v>
      </c>
    </row>
    <row r="203" spans="1:7" x14ac:dyDescent="0.25">
      <c r="A203" s="136" t="s">
        <v>279</v>
      </c>
      <c r="B203" s="137">
        <v>312</v>
      </c>
      <c r="C203" s="137">
        <v>122</v>
      </c>
      <c r="D203" s="137">
        <v>643</v>
      </c>
      <c r="E203" s="137">
        <v>41</v>
      </c>
      <c r="F203" s="137">
        <v>53</v>
      </c>
      <c r="G203" s="137">
        <v>1171</v>
      </c>
    </row>
    <row r="204" spans="1:7" x14ac:dyDescent="0.25">
      <c r="A204" s="136" t="s">
        <v>280</v>
      </c>
      <c r="B204" s="137">
        <v>3671</v>
      </c>
      <c r="C204" s="137">
        <v>1344</v>
      </c>
      <c r="D204" s="137">
        <v>11349</v>
      </c>
      <c r="E204" s="137">
        <v>1120</v>
      </c>
      <c r="F204" s="137">
        <v>705</v>
      </c>
      <c r="G204" s="137">
        <v>18189</v>
      </c>
    </row>
    <row r="205" spans="1:7" x14ac:dyDescent="0.25">
      <c r="A205" s="136" t="s">
        <v>281</v>
      </c>
      <c r="B205" s="137">
        <v>1293</v>
      </c>
      <c r="C205" s="137">
        <v>506</v>
      </c>
      <c r="D205" s="137">
        <v>3578</v>
      </c>
      <c r="E205" s="137">
        <v>343</v>
      </c>
      <c r="F205" s="137">
        <v>183</v>
      </c>
      <c r="G205" s="137">
        <v>5903</v>
      </c>
    </row>
    <row r="206" spans="1:7" x14ac:dyDescent="0.25">
      <c r="A206" s="136" t="s">
        <v>282</v>
      </c>
      <c r="B206" s="137">
        <v>585</v>
      </c>
      <c r="C206" s="137">
        <v>187</v>
      </c>
      <c r="D206" s="137">
        <v>1343</v>
      </c>
      <c r="E206" s="137">
        <v>103</v>
      </c>
      <c r="F206" s="137">
        <v>81</v>
      </c>
      <c r="G206" s="137">
        <v>2299</v>
      </c>
    </row>
    <row r="207" spans="1:7" x14ac:dyDescent="0.25">
      <c r="A207" s="136" t="s">
        <v>283</v>
      </c>
      <c r="B207" s="137">
        <v>2673</v>
      </c>
      <c r="C207" s="137">
        <v>936</v>
      </c>
      <c r="D207" s="137">
        <v>9970</v>
      </c>
      <c r="E207" s="137">
        <v>1166</v>
      </c>
      <c r="F207" s="137">
        <v>471</v>
      </c>
      <c r="G207" s="137">
        <v>15216</v>
      </c>
    </row>
    <row r="208" spans="1:7" x14ac:dyDescent="0.25">
      <c r="A208" s="136" t="s">
        <v>284</v>
      </c>
      <c r="B208" s="137">
        <v>902</v>
      </c>
      <c r="C208" s="137">
        <v>375</v>
      </c>
      <c r="D208" s="137">
        <v>2217</v>
      </c>
      <c r="E208" s="137">
        <v>189</v>
      </c>
      <c r="F208" s="137">
        <v>180</v>
      </c>
      <c r="G208" s="137">
        <v>3863</v>
      </c>
    </row>
    <row r="209" spans="1:7" x14ac:dyDescent="0.25">
      <c r="A209" s="136" t="s">
        <v>285</v>
      </c>
      <c r="B209" s="137">
        <v>1242</v>
      </c>
      <c r="C209" s="137">
        <v>616</v>
      </c>
      <c r="D209" s="137">
        <v>2666</v>
      </c>
      <c r="E209" s="137">
        <v>274</v>
      </c>
      <c r="F209" s="137">
        <v>251</v>
      </c>
      <c r="G209" s="137">
        <v>5049</v>
      </c>
    </row>
    <row r="210" spans="1:7" x14ac:dyDescent="0.25">
      <c r="A210" s="136" t="s">
        <v>286</v>
      </c>
      <c r="B210" s="137">
        <v>1051</v>
      </c>
      <c r="C210" s="137">
        <v>437</v>
      </c>
      <c r="D210" s="137">
        <v>2480</v>
      </c>
      <c r="E210" s="137">
        <v>205</v>
      </c>
      <c r="F210" s="137">
        <v>140</v>
      </c>
      <c r="G210" s="137">
        <v>4313</v>
      </c>
    </row>
    <row r="211" spans="1:7" x14ac:dyDescent="0.25">
      <c r="A211" s="136" t="s">
        <v>287</v>
      </c>
      <c r="B211" s="137">
        <v>740</v>
      </c>
      <c r="C211" s="137">
        <v>301</v>
      </c>
      <c r="D211" s="137">
        <v>1937</v>
      </c>
      <c r="E211" s="137">
        <v>164</v>
      </c>
      <c r="F211" s="137">
        <v>145</v>
      </c>
      <c r="G211" s="137">
        <v>3287</v>
      </c>
    </row>
    <row r="212" spans="1:7" x14ac:dyDescent="0.25">
      <c r="A212" s="136" t="s">
        <v>288</v>
      </c>
      <c r="B212" s="137">
        <v>6971</v>
      </c>
      <c r="C212" s="137">
        <v>3282</v>
      </c>
      <c r="D212" s="137">
        <v>19795</v>
      </c>
      <c r="E212" s="137">
        <v>1962</v>
      </c>
      <c r="F212" s="137">
        <v>1873</v>
      </c>
      <c r="G212" s="137">
        <v>33883</v>
      </c>
    </row>
    <row r="213" spans="1:7" x14ac:dyDescent="0.25">
      <c r="A213" s="136" t="s">
        <v>289</v>
      </c>
      <c r="B213" s="137">
        <v>1827</v>
      </c>
      <c r="C213" s="137">
        <v>571</v>
      </c>
      <c r="D213" s="137">
        <v>6178</v>
      </c>
      <c r="E213" s="137">
        <v>516</v>
      </c>
      <c r="F213" s="137">
        <v>306</v>
      </c>
      <c r="G213" s="137">
        <v>9398</v>
      </c>
    </row>
    <row r="214" spans="1:7" x14ac:dyDescent="0.25">
      <c r="A214" s="136" t="s">
        <v>290</v>
      </c>
      <c r="B214" s="137">
        <v>1279</v>
      </c>
      <c r="C214" s="137">
        <v>692</v>
      </c>
      <c r="D214" s="137">
        <v>3433</v>
      </c>
      <c r="E214" s="137">
        <v>323</v>
      </c>
      <c r="F214" s="137">
        <v>363</v>
      </c>
      <c r="G214" s="137">
        <v>6090</v>
      </c>
    </row>
    <row r="215" spans="1:7" x14ac:dyDescent="0.25">
      <c r="A215" s="136" t="s">
        <v>291</v>
      </c>
      <c r="B215" s="137">
        <v>1129</v>
      </c>
      <c r="C215" s="137">
        <v>546</v>
      </c>
      <c r="D215" s="137">
        <v>2880</v>
      </c>
      <c r="E215" s="137">
        <v>190</v>
      </c>
      <c r="F215" s="137">
        <v>311</v>
      </c>
      <c r="G215" s="137">
        <v>5056</v>
      </c>
    </row>
    <row r="216" spans="1:7" x14ac:dyDescent="0.25">
      <c r="A216" s="136" t="s">
        <v>292</v>
      </c>
      <c r="B216" s="137">
        <v>389</v>
      </c>
      <c r="C216" s="137">
        <v>240</v>
      </c>
      <c r="D216" s="137">
        <v>1055</v>
      </c>
      <c r="E216" s="137">
        <v>84</v>
      </c>
      <c r="F216" s="137">
        <v>153</v>
      </c>
      <c r="G216" s="137">
        <v>1921</v>
      </c>
    </row>
    <row r="217" spans="1:7" x14ac:dyDescent="0.25">
      <c r="A217" s="136" t="s">
        <v>293</v>
      </c>
      <c r="B217" s="137">
        <v>1542</v>
      </c>
      <c r="C217" s="137">
        <v>562</v>
      </c>
      <c r="D217" s="137">
        <v>5383</v>
      </c>
      <c r="E217" s="137">
        <v>593</v>
      </c>
      <c r="F217" s="137">
        <v>310</v>
      </c>
      <c r="G217" s="137">
        <v>8390</v>
      </c>
    </row>
    <row r="218" spans="1:7" x14ac:dyDescent="0.25">
      <c r="A218" s="136" t="s">
        <v>294</v>
      </c>
      <c r="B218" s="137">
        <v>271</v>
      </c>
      <c r="C218" s="137">
        <v>101</v>
      </c>
      <c r="D218" s="137">
        <v>537</v>
      </c>
      <c r="E218" s="137">
        <v>27</v>
      </c>
      <c r="F218" s="137">
        <v>39</v>
      </c>
      <c r="G218" s="137">
        <v>975</v>
      </c>
    </row>
    <row r="219" spans="1:7" x14ac:dyDescent="0.25">
      <c r="A219" s="136" t="s">
        <v>295</v>
      </c>
      <c r="B219" s="137">
        <v>554</v>
      </c>
      <c r="C219" s="137">
        <v>251</v>
      </c>
      <c r="D219" s="137">
        <v>1019</v>
      </c>
      <c r="E219" s="137">
        <v>114</v>
      </c>
      <c r="F219" s="137">
        <v>86</v>
      </c>
      <c r="G219" s="137">
        <v>2024</v>
      </c>
    </row>
    <row r="220" spans="1:7" ht="30" x14ac:dyDescent="0.25">
      <c r="A220" s="136" t="s">
        <v>296</v>
      </c>
      <c r="B220" s="137">
        <v>2540</v>
      </c>
      <c r="C220" s="137">
        <v>1016</v>
      </c>
      <c r="D220" s="137">
        <v>9012</v>
      </c>
      <c r="E220" s="137">
        <v>1048</v>
      </c>
      <c r="F220" s="137">
        <v>560</v>
      </c>
      <c r="G220" s="137">
        <v>14176</v>
      </c>
    </row>
    <row r="221" spans="1:7" x14ac:dyDescent="0.25">
      <c r="A221" s="136" t="s">
        <v>297</v>
      </c>
      <c r="B221" s="137">
        <v>178</v>
      </c>
      <c r="C221" s="137">
        <v>94</v>
      </c>
      <c r="D221" s="137">
        <v>441</v>
      </c>
      <c r="E221" s="137">
        <v>40</v>
      </c>
      <c r="F221" s="137">
        <v>38</v>
      </c>
      <c r="G221" s="137">
        <v>791</v>
      </c>
    </row>
    <row r="222" spans="1:7" x14ac:dyDescent="0.25">
      <c r="A222" s="136" t="s">
        <v>298</v>
      </c>
      <c r="B222" s="137">
        <v>677</v>
      </c>
      <c r="C222" s="137">
        <v>295</v>
      </c>
      <c r="D222" s="137">
        <v>1501</v>
      </c>
      <c r="E222" s="137">
        <v>83</v>
      </c>
      <c r="F222" s="137">
        <v>128</v>
      </c>
      <c r="G222" s="137">
        <v>2684</v>
      </c>
    </row>
    <row r="223" spans="1:7" x14ac:dyDescent="0.25">
      <c r="A223" s="136" t="s">
        <v>299</v>
      </c>
      <c r="B223" s="137">
        <v>756</v>
      </c>
      <c r="C223" s="137">
        <v>228</v>
      </c>
      <c r="D223" s="137">
        <v>1424</v>
      </c>
      <c r="E223" s="137">
        <v>107</v>
      </c>
      <c r="F223" s="137">
        <v>101</v>
      </c>
      <c r="G223" s="137">
        <v>2616</v>
      </c>
    </row>
    <row r="224" spans="1:7" x14ac:dyDescent="0.25">
      <c r="A224" s="136" t="s">
        <v>300</v>
      </c>
      <c r="B224" s="137">
        <v>4752</v>
      </c>
      <c r="C224" s="137">
        <v>1750</v>
      </c>
      <c r="D224" s="137">
        <v>16230</v>
      </c>
      <c r="E224" s="137">
        <v>1569</v>
      </c>
      <c r="F224" s="137">
        <v>1015</v>
      </c>
      <c r="G224" s="137">
        <v>25316</v>
      </c>
    </row>
    <row r="225" spans="1:7" x14ac:dyDescent="0.25">
      <c r="A225" s="136" t="s">
        <v>301</v>
      </c>
      <c r="B225" s="137">
        <v>542</v>
      </c>
      <c r="C225" s="137">
        <v>208</v>
      </c>
      <c r="D225" s="137">
        <v>569</v>
      </c>
      <c r="E225" s="137">
        <v>14</v>
      </c>
      <c r="F225" s="137">
        <v>57</v>
      </c>
      <c r="G225" s="137">
        <v>1390</v>
      </c>
    </row>
    <row r="226" spans="1:7" x14ac:dyDescent="0.25">
      <c r="A226" s="136" t="s">
        <v>302</v>
      </c>
      <c r="B226" s="137">
        <v>2051</v>
      </c>
      <c r="C226" s="137">
        <v>657</v>
      </c>
      <c r="D226" s="137">
        <v>7328</v>
      </c>
      <c r="E226" s="137">
        <v>764</v>
      </c>
      <c r="F226" s="137">
        <v>381</v>
      </c>
      <c r="G226" s="137">
        <v>11181</v>
      </c>
    </row>
    <row r="227" spans="1:7" x14ac:dyDescent="0.25">
      <c r="A227" s="156" t="s">
        <v>303</v>
      </c>
      <c r="B227" s="182">
        <v>616</v>
      </c>
      <c r="C227" s="182">
        <v>300</v>
      </c>
      <c r="D227" s="182">
        <v>1819</v>
      </c>
      <c r="E227" s="182">
        <v>157</v>
      </c>
      <c r="F227" s="182">
        <v>158</v>
      </c>
      <c r="G227" s="182">
        <v>3050</v>
      </c>
    </row>
    <row r="228" spans="1:7" x14ac:dyDescent="0.25">
      <c r="A228" s="159" t="s">
        <v>304</v>
      </c>
      <c r="B228" s="174">
        <v>1249</v>
      </c>
      <c r="C228" s="174">
        <v>676</v>
      </c>
      <c r="D228" s="174">
        <v>2884</v>
      </c>
      <c r="E228" s="174">
        <v>229</v>
      </c>
      <c r="F228" s="174">
        <v>258</v>
      </c>
      <c r="G228" s="174">
        <v>5296</v>
      </c>
    </row>
    <row r="229" spans="1:7" x14ac:dyDescent="0.25">
      <c r="A229" s="184" t="s">
        <v>28</v>
      </c>
      <c r="B229" s="185">
        <v>53055</v>
      </c>
      <c r="C229" s="185">
        <v>21104</v>
      </c>
      <c r="D229" s="185">
        <v>160824</v>
      </c>
      <c r="E229" s="185">
        <v>16010</v>
      </c>
      <c r="F229" s="185">
        <v>10879</v>
      </c>
      <c r="G229" s="185">
        <v>261872</v>
      </c>
    </row>
    <row r="230" spans="1:7" x14ac:dyDescent="0.25">
      <c r="A230" s="158"/>
      <c r="B230" s="158"/>
      <c r="C230" s="158"/>
      <c r="D230" s="158"/>
    </row>
    <row r="231" spans="1:7" x14ac:dyDescent="0.25">
      <c r="A231" s="158"/>
      <c r="B231" s="158"/>
      <c r="C231" s="158"/>
      <c r="D231" s="158"/>
    </row>
    <row r="232" spans="1:7" x14ac:dyDescent="0.25">
      <c r="A232" s="158"/>
      <c r="B232" s="158"/>
      <c r="C232" s="158"/>
      <c r="D232" s="158"/>
    </row>
    <row r="233" spans="1:7" x14ac:dyDescent="0.25">
      <c r="A233" s="187" t="s">
        <v>518</v>
      </c>
    </row>
    <row r="234" spans="1:7" x14ac:dyDescent="0.25">
      <c r="A234" s="158"/>
      <c r="B234" s="426" t="s">
        <v>492</v>
      </c>
      <c r="C234" s="426"/>
      <c r="D234" s="426"/>
      <c r="E234" s="426"/>
      <c r="F234" s="426"/>
      <c r="G234" s="91"/>
    </row>
    <row r="235" spans="1:7" x14ac:dyDescent="0.25">
      <c r="A235" s="160" t="s">
        <v>537</v>
      </c>
      <c r="B235" s="189" t="s">
        <v>131</v>
      </c>
      <c r="C235" s="189" t="s">
        <v>132</v>
      </c>
      <c r="D235" s="189" t="s">
        <v>133</v>
      </c>
      <c r="E235" s="189" t="s">
        <v>12</v>
      </c>
      <c r="F235" s="189" t="s">
        <v>134</v>
      </c>
      <c r="G235" s="161" t="s">
        <v>28</v>
      </c>
    </row>
    <row r="236" spans="1:7" x14ac:dyDescent="0.25">
      <c r="A236" s="157" t="s">
        <v>305</v>
      </c>
      <c r="B236" s="183">
        <v>1894</v>
      </c>
      <c r="C236" s="183">
        <v>679</v>
      </c>
      <c r="D236" s="183">
        <v>6178</v>
      </c>
      <c r="E236" s="183">
        <v>475</v>
      </c>
      <c r="F236" s="183">
        <v>440</v>
      </c>
      <c r="G236" s="183">
        <v>9666</v>
      </c>
    </row>
    <row r="237" spans="1:7" x14ac:dyDescent="0.25">
      <c r="A237" s="136" t="s">
        <v>306</v>
      </c>
      <c r="B237" s="137">
        <v>1924</v>
      </c>
      <c r="C237" s="137">
        <v>591</v>
      </c>
      <c r="D237" s="137">
        <v>2142</v>
      </c>
      <c r="E237" s="137">
        <v>96</v>
      </c>
      <c r="F237" s="137">
        <v>186</v>
      </c>
      <c r="G237" s="137">
        <v>4939</v>
      </c>
    </row>
    <row r="238" spans="1:7" x14ac:dyDescent="0.25">
      <c r="A238" s="136" t="s">
        <v>307</v>
      </c>
      <c r="B238" s="137">
        <v>729</v>
      </c>
      <c r="C238" s="137">
        <v>212</v>
      </c>
      <c r="D238" s="137">
        <v>839</v>
      </c>
      <c r="E238" s="137">
        <v>30</v>
      </c>
      <c r="F238" s="137">
        <v>90</v>
      </c>
      <c r="G238" s="137">
        <v>1900</v>
      </c>
    </row>
    <row r="239" spans="1:7" x14ac:dyDescent="0.25">
      <c r="A239" s="136" t="s">
        <v>308</v>
      </c>
      <c r="B239" s="137">
        <v>959</v>
      </c>
      <c r="C239" s="137">
        <v>338</v>
      </c>
      <c r="D239" s="137">
        <v>2436</v>
      </c>
      <c r="E239" s="137">
        <v>186</v>
      </c>
      <c r="F239" s="137">
        <v>175</v>
      </c>
      <c r="G239" s="137">
        <v>4094</v>
      </c>
    </row>
    <row r="240" spans="1:7" x14ac:dyDescent="0.25">
      <c r="A240" s="136" t="s">
        <v>309</v>
      </c>
      <c r="B240" s="137">
        <v>1408</v>
      </c>
      <c r="C240" s="137">
        <v>326</v>
      </c>
      <c r="D240" s="137">
        <v>2068</v>
      </c>
      <c r="E240" s="137">
        <v>132</v>
      </c>
      <c r="F240" s="137">
        <v>124</v>
      </c>
      <c r="G240" s="137">
        <v>4058</v>
      </c>
    </row>
    <row r="241" spans="1:7" x14ac:dyDescent="0.25">
      <c r="A241" s="136" t="s">
        <v>310</v>
      </c>
      <c r="B241" s="137">
        <v>1068</v>
      </c>
      <c r="C241" s="137">
        <v>252</v>
      </c>
      <c r="D241" s="137">
        <v>2264</v>
      </c>
      <c r="E241" s="137">
        <v>271</v>
      </c>
      <c r="F241" s="137">
        <v>98</v>
      </c>
      <c r="G241" s="137">
        <v>3953</v>
      </c>
    </row>
    <row r="242" spans="1:7" x14ac:dyDescent="0.25">
      <c r="A242" s="136" t="s">
        <v>311</v>
      </c>
      <c r="B242" s="137">
        <v>671</v>
      </c>
      <c r="C242" s="137">
        <v>124</v>
      </c>
      <c r="D242" s="137">
        <v>504</v>
      </c>
      <c r="E242" s="137">
        <v>20</v>
      </c>
      <c r="F242" s="137">
        <v>29</v>
      </c>
      <c r="G242" s="137">
        <v>1348</v>
      </c>
    </row>
    <row r="243" spans="1:7" x14ac:dyDescent="0.25">
      <c r="A243" s="136" t="s">
        <v>312</v>
      </c>
      <c r="B243" s="137">
        <v>328</v>
      </c>
      <c r="C243" s="137">
        <v>131</v>
      </c>
      <c r="D243" s="137">
        <v>770</v>
      </c>
      <c r="E243" s="137">
        <v>37</v>
      </c>
      <c r="F243" s="137">
        <v>43</v>
      </c>
      <c r="G243" s="137">
        <v>1309</v>
      </c>
    </row>
    <row r="244" spans="1:7" x14ac:dyDescent="0.25">
      <c r="A244" s="136" t="s">
        <v>313</v>
      </c>
      <c r="B244" s="137">
        <v>1329</v>
      </c>
      <c r="C244" s="137">
        <v>363</v>
      </c>
      <c r="D244" s="137">
        <v>2444</v>
      </c>
      <c r="E244" s="137">
        <v>145</v>
      </c>
      <c r="F244" s="137">
        <v>182</v>
      </c>
      <c r="G244" s="137">
        <v>4463</v>
      </c>
    </row>
    <row r="245" spans="1:7" x14ac:dyDescent="0.25">
      <c r="A245" s="136" t="s">
        <v>314</v>
      </c>
      <c r="B245" s="137">
        <v>754</v>
      </c>
      <c r="C245" s="137">
        <v>301</v>
      </c>
      <c r="D245" s="137">
        <v>984</v>
      </c>
      <c r="E245" s="137">
        <v>46</v>
      </c>
      <c r="F245" s="137">
        <v>106</v>
      </c>
      <c r="G245" s="137">
        <v>2191</v>
      </c>
    </row>
    <row r="246" spans="1:7" x14ac:dyDescent="0.25">
      <c r="A246" s="136" t="s">
        <v>315</v>
      </c>
      <c r="B246" s="137">
        <v>854</v>
      </c>
      <c r="C246" s="137">
        <v>268</v>
      </c>
      <c r="D246" s="137">
        <v>2025</v>
      </c>
      <c r="E246" s="137">
        <v>156</v>
      </c>
      <c r="F246" s="137">
        <v>146</v>
      </c>
      <c r="G246" s="137">
        <v>3449</v>
      </c>
    </row>
    <row r="247" spans="1:7" x14ac:dyDescent="0.25">
      <c r="A247" s="136" t="s">
        <v>316</v>
      </c>
      <c r="B247" s="137">
        <v>1575</v>
      </c>
      <c r="C247" s="137">
        <v>494</v>
      </c>
      <c r="D247" s="137">
        <v>3362</v>
      </c>
      <c r="E247" s="137">
        <v>282</v>
      </c>
      <c r="F247" s="137">
        <v>250</v>
      </c>
      <c r="G247" s="137">
        <v>5963</v>
      </c>
    </row>
    <row r="248" spans="1:7" x14ac:dyDescent="0.25">
      <c r="A248" s="136" t="s">
        <v>317</v>
      </c>
      <c r="B248" s="137">
        <v>1107</v>
      </c>
      <c r="C248" s="137">
        <v>338</v>
      </c>
      <c r="D248" s="137">
        <v>2680</v>
      </c>
      <c r="E248" s="137">
        <v>241</v>
      </c>
      <c r="F248" s="137">
        <v>202</v>
      </c>
      <c r="G248" s="137">
        <v>4568</v>
      </c>
    </row>
    <row r="249" spans="1:7" x14ac:dyDescent="0.25">
      <c r="A249" s="136" t="s">
        <v>318</v>
      </c>
      <c r="B249" s="137">
        <v>617</v>
      </c>
      <c r="C249" s="137">
        <v>210</v>
      </c>
      <c r="D249" s="137">
        <v>737</v>
      </c>
      <c r="E249" s="137">
        <v>29</v>
      </c>
      <c r="F249" s="137">
        <v>54</v>
      </c>
      <c r="G249" s="137">
        <v>1647</v>
      </c>
    </row>
    <row r="250" spans="1:7" x14ac:dyDescent="0.25">
      <c r="A250" s="136" t="s">
        <v>319</v>
      </c>
      <c r="B250" s="137">
        <v>415</v>
      </c>
      <c r="C250" s="137">
        <v>115</v>
      </c>
      <c r="D250" s="137">
        <v>801</v>
      </c>
      <c r="E250" s="137">
        <v>37</v>
      </c>
      <c r="F250" s="137">
        <v>52</v>
      </c>
      <c r="G250" s="137">
        <v>1420</v>
      </c>
    </row>
    <row r="251" spans="1:7" x14ac:dyDescent="0.25">
      <c r="A251" s="136" t="s">
        <v>320</v>
      </c>
      <c r="B251" s="137">
        <v>530</v>
      </c>
      <c r="C251" s="137">
        <v>215</v>
      </c>
      <c r="D251" s="137">
        <v>699</v>
      </c>
      <c r="E251" s="137">
        <v>30</v>
      </c>
      <c r="F251" s="137">
        <v>73</v>
      </c>
      <c r="G251" s="137">
        <v>1547</v>
      </c>
    </row>
    <row r="252" spans="1:7" x14ac:dyDescent="0.25">
      <c r="A252" s="136" t="s">
        <v>321</v>
      </c>
      <c r="B252" s="137">
        <v>658</v>
      </c>
      <c r="C252" s="137">
        <v>134</v>
      </c>
      <c r="D252" s="137">
        <v>546</v>
      </c>
      <c r="E252" s="137">
        <v>34</v>
      </c>
      <c r="F252" s="137">
        <v>47</v>
      </c>
      <c r="G252" s="137">
        <v>1419</v>
      </c>
    </row>
    <row r="253" spans="1:7" x14ac:dyDescent="0.25">
      <c r="A253" s="136" t="s">
        <v>322</v>
      </c>
      <c r="B253" s="137">
        <v>1917</v>
      </c>
      <c r="C253" s="137">
        <v>599</v>
      </c>
      <c r="D253" s="137">
        <v>3069</v>
      </c>
      <c r="E253" s="137">
        <v>215</v>
      </c>
      <c r="F253" s="137">
        <v>225</v>
      </c>
      <c r="G253" s="137">
        <v>6025</v>
      </c>
    </row>
    <row r="254" spans="1:7" x14ac:dyDescent="0.25">
      <c r="A254" s="136" t="s">
        <v>323</v>
      </c>
      <c r="B254" s="137">
        <v>2797</v>
      </c>
      <c r="C254" s="137">
        <v>1052</v>
      </c>
      <c r="D254" s="137">
        <v>5126</v>
      </c>
      <c r="E254" s="137">
        <v>460</v>
      </c>
      <c r="F254" s="137">
        <v>526</v>
      </c>
      <c r="G254" s="137">
        <v>9961</v>
      </c>
    </row>
    <row r="255" spans="1:7" x14ac:dyDescent="0.25">
      <c r="A255" s="136" t="s">
        <v>324</v>
      </c>
      <c r="B255" s="137">
        <v>287</v>
      </c>
      <c r="C255" s="137">
        <v>103</v>
      </c>
      <c r="D255" s="137">
        <v>617</v>
      </c>
      <c r="E255" s="137">
        <v>36</v>
      </c>
      <c r="F255" s="137">
        <v>42</v>
      </c>
      <c r="G255" s="137">
        <v>1085</v>
      </c>
    </row>
    <row r="256" spans="1:7" x14ac:dyDescent="0.25">
      <c r="A256" s="136" t="s">
        <v>325</v>
      </c>
      <c r="B256" s="137">
        <v>1354</v>
      </c>
      <c r="C256" s="137">
        <v>392</v>
      </c>
      <c r="D256" s="137">
        <v>2684</v>
      </c>
      <c r="E256" s="137">
        <v>245</v>
      </c>
      <c r="F256" s="137">
        <v>199</v>
      </c>
      <c r="G256" s="137">
        <v>4874</v>
      </c>
    </row>
    <row r="257" spans="1:7" x14ac:dyDescent="0.25">
      <c r="A257" s="136" t="s">
        <v>326</v>
      </c>
      <c r="B257" s="137">
        <v>1013</v>
      </c>
      <c r="C257" s="137">
        <v>211</v>
      </c>
      <c r="D257" s="137">
        <v>2154</v>
      </c>
      <c r="E257" s="137">
        <v>160</v>
      </c>
      <c r="F257" s="137">
        <v>125</v>
      </c>
      <c r="G257" s="137">
        <v>3663</v>
      </c>
    </row>
    <row r="258" spans="1:7" x14ac:dyDescent="0.25">
      <c r="A258" s="136" t="s">
        <v>327</v>
      </c>
      <c r="B258" s="137">
        <v>741</v>
      </c>
      <c r="C258" s="137">
        <v>304</v>
      </c>
      <c r="D258" s="137">
        <v>1200</v>
      </c>
      <c r="E258" s="137">
        <v>66</v>
      </c>
      <c r="F258" s="137">
        <v>92</v>
      </c>
      <c r="G258" s="137">
        <v>2403</v>
      </c>
    </row>
    <row r="259" spans="1:7" x14ac:dyDescent="0.25">
      <c r="A259" s="136" t="s">
        <v>328</v>
      </c>
      <c r="B259" s="137">
        <v>407</v>
      </c>
      <c r="C259" s="137">
        <v>167</v>
      </c>
      <c r="D259" s="137">
        <v>1132</v>
      </c>
      <c r="E259" s="137">
        <v>60</v>
      </c>
      <c r="F259" s="137">
        <v>91</v>
      </c>
      <c r="G259" s="137">
        <v>1857</v>
      </c>
    </row>
    <row r="260" spans="1:7" x14ac:dyDescent="0.25">
      <c r="A260" s="136" t="s">
        <v>329</v>
      </c>
      <c r="B260" s="137">
        <v>895</v>
      </c>
      <c r="C260" s="137">
        <v>317</v>
      </c>
      <c r="D260" s="137">
        <v>939</v>
      </c>
      <c r="E260" s="137">
        <v>56</v>
      </c>
      <c r="F260" s="137">
        <v>118</v>
      </c>
      <c r="G260" s="137">
        <v>2325</v>
      </c>
    </row>
    <row r="261" spans="1:7" x14ac:dyDescent="0.25">
      <c r="A261" s="136" t="s">
        <v>330</v>
      </c>
      <c r="B261" s="137">
        <v>9094</v>
      </c>
      <c r="C261" s="137">
        <v>2949</v>
      </c>
      <c r="D261" s="137">
        <v>25921</v>
      </c>
      <c r="E261" s="137">
        <v>2940</v>
      </c>
      <c r="F261" s="137">
        <v>1770</v>
      </c>
      <c r="G261" s="137">
        <v>42674</v>
      </c>
    </row>
    <row r="262" spans="1:7" x14ac:dyDescent="0.25">
      <c r="A262" s="136" t="s">
        <v>331</v>
      </c>
      <c r="B262" s="137">
        <v>1212</v>
      </c>
      <c r="C262" s="137">
        <v>326</v>
      </c>
      <c r="D262" s="137">
        <v>1166</v>
      </c>
      <c r="E262" s="137">
        <v>63</v>
      </c>
      <c r="F262" s="137">
        <v>98</v>
      </c>
      <c r="G262" s="137">
        <v>2865</v>
      </c>
    </row>
    <row r="263" spans="1:7" x14ac:dyDescent="0.25">
      <c r="A263" s="136" t="s">
        <v>332</v>
      </c>
      <c r="B263" s="137">
        <v>716</v>
      </c>
      <c r="C263" s="137">
        <v>221</v>
      </c>
      <c r="D263" s="137">
        <v>847</v>
      </c>
      <c r="E263" s="137">
        <v>45</v>
      </c>
      <c r="F263" s="137">
        <v>82</v>
      </c>
      <c r="G263" s="137">
        <v>1911</v>
      </c>
    </row>
    <row r="264" spans="1:7" x14ac:dyDescent="0.25">
      <c r="A264" s="136" t="s">
        <v>333</v>
      </c>
      <c r="B264" s="137">
        <v>994</v>
      </c>
      <c r="C264" s="137">
        <v>380</v>
      </c>
      <c r="D264" s="137">
        <v>2543</v>
      </c>
      <c r="E264" s="137">
        <v>169</v>
      </c>
      <c r="F264" s="137">
        <v>141</v>
      </c>
      <c r="G264" s="137">
        <v>4227</v>
      </c>
    </row>
    <row r="265" spans="1:7" x14ac:dyDescent="0.25">
      <c r="A265" s="136" t="s">
        <v>334</v>
      </c>
      <c r="B265" s="137">
        <v>1629</v>
      </c>
      <c r="C265" s="137">
        <v>547</v>
      </c>
      <c r="D265" s="137">
        <v>4478</v>
      </c>
      <c r="E265" s="137">
        <v>334</v>
      </c>
      <c r="F265" s="137">
        <v>258</v>
      </c>
      <c r="G265" s="137">
        <v>7246</v>
      </c>
    </row>
    <row r="266" spans="1:7" x14ac:dyDescent="0.25">
      <c r="A266" s="136" t="s">
        <v>335</v>
      </c>
      <c r="B266" s="137">
        <v>1181</v>
      </c>
      <c r="C266" s="137">
        <v>405</v>
      </c>
      <c r="D266" s="137">
        <v>2381</v>
      </c>
      <c r="E266" s="137">
        <v>182</v>
      </c>
      <c r="F266" s="137">
        <v>169</v>
      </c>
      <c r="G266" s="137">
        <v>4318</v>
      </c>
    </row>
    <row r="267" spans="1:7" x14ac:dyDescent="0.25">
      <c r="A267" s="136" t="s">
        <v>336</v>
      </c>
      <c r="B267" s="137">
        <v>2534</v>
      </c>
      <c r="C267" s="137">
        <v>680</v>
      </c>
      <c r="D267" s="137">
        <v>6166</v>
      </c>
      <c r="E267" s="137">
        <v>480</v>
      </c>
      <c r="F267" s="137">
        <v>404</v>
      </c>
      <c r="G267" s="137">
        <v>10264</v>
      </c>
    </row>
    <row r="268" spans="1:7" x14ac:dyDescent="0.25">
      <c r="A268" s="184" t="s">
        <v>28</v>
      </c>
      <c r="B268" s="185">
        <v>43591</v>
      </c>
      <c r="C268" s="185">
        <v>13744</v>
      </c>
      <c r="D268" s="185">
        <v>91902</v>
      </c>
      <c r="E268" s="185">
        <v>7758</v>
      </c>
      <c r="F268" s="185">
        <v>6637</v>
      </c>
      <c r="G268" s="185">
        <v>163632</v>
      </c>
    </row>
    <row r="269" spans="1:7" x14ac:dyDescent="0.25">
      <c r="A269" s="158"/>
      <c r="B269" s="158"/>
      <c r="C269" s="158"/>
      <c r="D269" s="158"/>
    </row>
    <row r="270" spans="1:7" x14ac:dyDescent="0.25">
      <c r="A270" s="158"/>
      <c r="B270" s="158"/>
      <c r="C270" s="158"/>
      <c r="D270" s="158"/>
    </row>
    <row r="271" spans="1:7" x14ac:dyDescent="0.25">
      <c r="A271" s="158"/>
      <c r="B271" s="158"/>
      <c r="C271" s="158"/>
      <c r="D271" s="158"/>
    </row>
    <row r="272" spans="1:7" x14ac:dyDescent="0.25">
      <c r="A272" s="158"/>
      <c r="B272" s="158"/>
      <c r="C272" s="158"/>
      <c r="D272" s="158"/>
    </row>
    <row r="273" spans="1:7" x14ac:dyDescent="0.25">
      <c r="A273" s="187" t="s">
        <v>519</v>
      </c>
    </row>
    <row r="274" spans="1:7" x14ac:dyDescent="0.25">
      <c r="A274" s="158"/>
      <c r="B274" s="426" t="s">
        <v>492</v>
      </c>
      <c r="C274" s="426"/>
      <c r="D274" s="426"/>
      <c r="E274" s="426"/>
      <c r="F274" s="426"/>
      <c r="G274" s="91"/>
    </row>
    <row r="275" spans="1:7" x14ac:dyDescent="0.25">
      <c r="A275" s="160" t="s">
        <v>537</v>
      </c>
      <c r="B275" s="189" t="s">
        <v>131</v>
      </c>
      <c r="C275" s="189" t="s">
        <v>132</v>
      </c>
      <c r="D275" s="189" t="s">
        <v>133</v>
      </c>
      <c r="E275" s="189" t="s">
        <v>12</v>
      </c>
      <c r="F275" s="189" t="s">
        <v>134</v>
      </c>
      <c r="G275" s="161" t="s">
        <v>28</v>
      </c>
    </row>
    <row r="276" spans="1:7" x14ac:dyDescent="0.25">
      <c r="A276" s="157" t="s">
        <v>338</v>
      </c>
      <c r="B276" s="183">
        <v>1507</v>
      </c>
      <c r="C276" s="183">
        <v>547</v>
      </c>
      <c r="D276" s="183">
        <v>4869</v>
      </c>
      <c r="E276" s="183">
        <v>370</v>
      </c>
      <c r="F276" s="183">
        <v>324</v>
      </c>
      <c r="G276" s="183">
        <v>7617</v>
      </c>
    </row>
    <row r="277" spans="1:7" x14ac:dyDescent="0.25">
      <c r="A277" s="136" t="s">
        <v>339</v>
      </c>
      <c r="B277" s="137">
        <v>1888</v>
      </c>
      <c r="C277" s="137">
        <v>462</v>
      </c>
      <c r="D277" s="137">
        <v>2480</v>
      </c>
      <c r="E277" s="137">
        <v>130</v>
      </c>
      <c r="F277" s="137">
        <v>214</v>
      </c>
      <c r="G277" s="137">
        <v>5174</v>
      </c>
    </row>
    <row r="278" spans="1:7" x14ac:dyDescent="0.25">
      <c r="A278" s="136" t="s">
        <v>340</v>
      </c>
      <c r="B278" s="137">
        <v>1431</v>
      </c>
      <c r="C278" s="137">
        <v>604</v>
      </c>
      <c r="D278" s="137">
        <v>4340</v>
      </c>
      <c r="E278" s="137">
        <v>391</v>
      </c>
      <c r="F278" s="137">
        <v>422</v>
      </c>
      <c r="G278" s="137">
        <v>7188</v>
      </c>
    </row>
    <row r="279" spans="1:7" x14ac:dyDescent="0.25">
      <c r="A279" s="136" t="s">
        <v>341</v>
      </c>
      <c r="B279" s="137">
        <v>193</v>
      </c>
      <c r="C279" s="137">
        <v>41</v>
      </c>
      <c r="D279" s="137">
        <v>287</v>
      </c>
      <c r="E279" s="137">
        <v>9</v>
      </c>
      <c r="F279" s="137">
        <v>10</v>
      </c>
      <c r="G279" s="137">
        <v>540</v>
      </c>
    </row>
    <row r="280" spans="1:7" x14ac:dyDescent="0.25">
      <c r="A280" s="136" t="s">
        <v>342</v>
      </c>
      <c r="B280" s="137">
        <v>541</v>
      </c>
      <c r="C280" s="137">
        <v>200</v>
      </c>
      <c r="D280" s="137">
        <v>1388</v>
      </c>
      <c r="E280" s="137">
        <v>79</v>
      </c>
      <c r="F280" s="137">
        <v>123</v>
      </c>
      <c r="G280" s="137">
        <v>2331</v>
      </c>
    </row>
    <row r="281" spans="1:7" x14ac:dyDescent="0.25">
      <c r="A281" s="136" t="s">
        <v>343</v>
      </c>
      <c r="B281" s="137">
        <v>302</v>
      </c>
      <c r="C281" s="137">
        <v>59</v>
      </c>
      <c r="D281" s="137">
        <v>316</v>
      </c>
      <c r="E281" s="137">
        <v>11</v>
      </c>
      <c r="F281" s="137">
        <v>23</v>
      </c>
      <c r="G281" s="137">
        <v>711</v>
      </c>
    </row>
    <row r="282" spans="1:7" x14ac:dyDescent="0.25">
      <c r="A282" s="136" t="s">
        <v>344</v>
      </c>
      <c r="B282" s="137">
        <v>178</v>
      </c>
      <c r="C282" s="137">
        <v>55</v>
      </c>
      <c r="D282" s="137">
        <v>392</v>
      </c>
      <c r="E282" s="137">
        <v>16</v>
      </c>
      <c r="F282" s="137">
        <v>34</v>
      </c>
      <c r="G282" s="137">
        <v>675</v>
      </c>
    </row>
    <row r="283" spans="1:7" x14ac:dyDescent="0.25">
      <c r="A283" s="136" t="s">
        <v>345</v>
      </c>
      <c r="B283" s="137">
        <v>579</v>
      </c>
      <c r="C283" s="137">
        <v>162</v>
      </c>
      <c r="D283" s="137">
        <v>1010</v>
      </c>
      <c r="E283" s="137">
        <v>55</v>
      </c>
      <c r="F283" s="137">
        <v>117</v>
      </c>
      <c r="G283" s="137">
        <v>1923</v>
      </c>
    </row>
    <row r="284" spans="1:7" x14ac:dyDescent="0.25">
      <c r="A284" s="136" t="s">
        <v>346</v>
      </c>
      <c r="B284" s="137">
        <v>749</v>
      </c>
      <c r="C284" s="137">
        <v>209</v>
      </c>
      <c r="D284" s="137">
        <v>1214</v>
      </c>
      <c r="E284" s="137">
        <v>93</v>
      </c>
      <c r="F284" s="137">
        <v>82</v>
      </c>
      <c r="G284" s="137">
        <v>2347</v>
      </c>
    </row>
    <row r="285" spans="1:7" x14ac:dyDescent="0.25">
      <c r="A285" s="136" t="s">
        <v>347</v>
      </c>
      <c r="B285" s="137">
        <v>695</v>
      </c>
      <c r="C285" s="137">
        <v>218</v>
      </c>
      <c r="D285" s="137">
        <v>1934</v>
      </c>
      <c r="E285" s="137">
        <v>168</v>
      </c>
      <c r="F285" s="137">
        <v>110</v>
      </c>
      <c r="G285" s="137">
        <v>3125</v>
      </c>
    </row>
    <row r="286" spans="1:7" x14ac:dyDescent="0.25">
      <c r="A286" s="136" t="s">
        <v>348</v>
      </c>
      <c r="B286" s="137">
        <v>144</v>
      </c>
      <c r="C286" s="137">
        <v>21</v>
      </c>
      <c r="D286" s="137">
        <v>232</v>
      </c>
      <c r="E286" s="137">
        <v>6</v>
      </c>
      <c r="F286" s="137">
        <v>7</v>
      </c>
      <c r="G286" s="137">
        <v>410</v>
      </c>
    </row>
    <row r="287" spans="1:7" x14ac:dyDescent="0.25">
      <c r="A287" s="136" t="s">
        <v>349</v>
      </c>
      <c r="B287" s="137">
        <v>417</v>
      </c>
      <c r="C287" s="137">
        <v>138</v>
      </c>
      <c r="D287" s="137">
        <v>588</v>
      </c>
      <c r="E287" s="137">
        <v>38</v>
      </c>
      <c r="F287" s="137">
        <v>53</v>
      </c>
      <c r="G287" s="137">
        <v>1234</v>
      </c>
    </row>
    <row r="288" spans="1:7" x14ac:dyDescent="0.25">
      <c r="A288" s="136" t="s">
        <v>350</v>
      </c>
      <c r="B288" s="137">
        <v>628</v>
      </c>
      <c r="C288" s="137">
        <v>214</v>
      </c>
      <c r="D288" s="137">
        <v>1878</v>
      </c>
      <c r="E288" s="137">
        <v>201</v>
      </c>
      <c r="F288" s="137">
        <v>123</v>
      </c>
      <c r="G288" s="137">
        <v>3044</v>
      </c>
    </row>
    <row r="289" spans="1:7" x14ac:dyDescent="0.25">
      <c r="A289" s="136" t="s">
        <v>351</v>
      </c>
      <c r="B289" s="137">
        <v>1270</v>
      </c>
      <c r="C289" s="137">
        <v>361</v>
      </c>
      <c r="D289" s="137">
        <v>1467</v>
      </c>
      <c r="E289" s="137">
        <v>74</v>
      </c>
      <c r="F289" s="137">
        <v>113</v>
      </c>
      <c r="G289" s="137">
        <v>3285</v>
      </c>
    </row>
    <row r="290" spans="1:7" x14ac:dyDescent="0.25">
      <c r="A290" s="136" t="s">
        <v>352</v>
      </c>
      <c r="B290" s="137">
        <v>1228</v>
      </c>
      <c r="C290" s="137">
        <v>333</v>
      </c>
      <c r="D290" s="137">
        <v>1189</v>
      </c>
      <c r="E290" s="137">
        <v>63</v>
      </c>
      <c r="F290" s="137">
        <v>96</v>
      </c>
      <c r="G290" s="137">
        <v>2909</v>
      </c>
    </row>
    <row r="291" spans="1:7" x14ac:dyDescent="0.25">
      <c r="A291" s="136" t="s">
        <v>353</v>
      </c>
      <c r="B291" s="137">
        <v>5455</v>
      </c>
      <c r="C291" s="137">
        <v>2892</v>
      </c>
      <c r="D291" s="137">
        <v>17096</v>
      </c>
      <c r="E291" s="137">
        <v>2220</v>
      </c>
      <c r="F291" s="137">
        <v>1838</v>
      </c>
      <c r="G291" s="137">
        <v>29501</v>
      </c>
    </row>
    <row r="292" spans="1:7" x14ac:dyDescent="0.25">
      <c r="A292" s="136" t="s">
        <v>354</v>
      </c>
      <c r="B292" s="137">
        <v>118</v>
      </c>
      <c r="C292" s="137">
        <v>15</v>
      </c>
      <c r="D292" s="137">
        <v>244</v>
      </c>
      <c r="E292" s="137">
        <v>19</v>
      </c>
      <c r="F292" s="137">
        <v>9</v>
      </c>
      <c r="G292" s="137">
        <v>405</v>
      </c>
    </row>
    <row r="293" spans="1:7" x14ac:dyDescent="0.25">
      <c r="A293" s="136" t="s">
        <v>355</v>
      </c>
      <c r="B293" s="137">
        <v>6448</v>
      </c>
      <c r="C293" s="137">
        <v>2241</v>
      </c>
      <c r="D293" s="137">
        <v>17969</v>
      </c>
      <c r="E293" s="137">
        <v>1841</v>
      </c>
      <c r="F293" s="137">
        <v>1545</v>
      </c>
      <c r="G293" s="137">
        <v>30044</v>
      </c>
    </row>
    <row r="294" spans="1:7" x14ac:dyDescent="0.25">
      <c r="A294" s="136" t="s">
        <v>356</v>
      </c>
      <c r="B294" s="137">
        <v>348</v>
      </c>
      <c r="C294" s="137">
        <v>187</v>
      </c>
      <c r="D294" s="137">
        <v>791</v>
      </c>
      <c r="E294" s="137">
        <v>60</v>
      </c>
      <c r="F294" s="137">
        <v>91</v>
      </c>
      <c r="G294" s="137">
        <v>1477</v>
      </c>
    </row>
    <row r="295" spans="1:7" x14ac:dyDescent="0.25">
      <c r="A295" s="136" t="s">
        <v>357</v>
      </c>
      <c r="B295" s="137">
        <v>1076</v>
      </c>
      <c r="C295" s="137">
        <v>319</v>
      </c>
      <c r="D295" s="137">
        <v>3548</v>
      </c>
      <c r="E295" s="137">
        <v>370</v>
      </c>
      <c r="F295" s="137">
        <v>180</v>
      </c>
      <c r="G295" s="137">
        <v>5493</v>
      </c>
    </row>
    <row r="296" spans="1:7" x14ac:dyDescent="0.25">
      <c r="A296" s="136" t="s">
        <v>358</v>
      </c>
      <c r="B296" s="137">
        <v>250</v>
      </c>
      <c r="C296" s="137">
        <v>69</v>
      </c>
      <c r="D296" s="137">
        <v>348</v>
      </c>
      <c r="E296" s="137">
        <v>13</v>
      </c>
      <c r="F296" s="137">
        <v>37</v>
      </c>
      <c r="G296" s="137">
        <v>717</v>
      </c>
    </row>
    <row r="297" spans="1:7" x14ac:dyDescent="0.25">
      <c r="A297" s="136" t="s">
        <v>359</v>
      </c>
      <c r="B297" s="137">
        <v>980</v>
      </c>
      <c r="C297" s="137">
        <v>448</v>
      </c>
      <c r="D297" s="137">
        <v>2660</v>
      </c>
      <c r="E297" s="137">
        <v>256</v>
      </c>
      <c r="F297" s="137">
        <v>244</v>
      </c>
      <c r="G297" s="137">
        <v>4588</v>
      </c>
    </row>
    <row r="298" spans="1:7" x14ac:dyDescent="0.25">
      <c r="A298" s="136" t="s">
        <v>360</v>
      </c>
      <c r="B298" s="137">
        <v>485</v>
      </c>
      <c r="C298" s="137">
        <v>283</v>
      </c>
      <c r="D298" s="137">
        <v>1180</v>
      </c>
      <c r="E298" s="137">
        <v>87</v>
      </c>
      <c r="F298" s="137">
        <v>131</v>
      </c>
      <c r="G298" s="137">
        <v>2166</v>
      </c>
    </row>
    <row r="299" spans="1:7" x14ac:dyDescent="0.25">
      <c r="A299" s="136" t="s">
        <v>361</v>
      </c>
      <c r="B299" s="137">
        <v>252</v>
      </c>
      <c r="C299" s="137">
        <v>100</v>
      </c>
      <c r="D299" s="137">
        <v>462</v>
      </c>
      <c r="E299" s="137">
        <v>27</v>
      </c>
      <c r="F299" s="137">
        <v>43</v>
      </c>
      <c r="G299" s="137">
        <v>884</v>
      </c>
    </row>
    <row r="300" spans="1:7" x14ac:dyDescent="0.25">
      <c r="A300" s="136" t="s">
        <v>362</v>
      </c>
      <c r="B300" s="137">
        <v>795</v>
      </c>
      <c r="C300" s="137">
        <v>300</v>
      </c>
      <c r="D300" s="137">
        <v>1691</v>
      </c>
      <c r="E300" s="137">
        <v>77</v>
      </c>
      <c r="F300" s="137">
        <v>207</v>
      </c>
      <c r="G300" s="137">
        <v>3070</v>
      </c>
    </row>
    <row r="301" spans="1:7" x14ac:dyDescent="0.25">
      <c r="A301" s="136" t="s">
        <v>363</v>
      </c>
      <c r="B301" s="137">
        <v>522</v>
      </c>
      <c r="C301" s="137">
        <v>121</v>
      </c>
      <c r="D301" s="137">
        <v>656</v>
      </c>
      <c r="E301" s="137">
        <v>36</v>
      </c>
      <c r="F301" s="137">
        <v>53</v>
      </c>
      <c r="G301" s="137">
        <v>1388</v>
      </c>
    </row>
    <row r="302" spans="1:7" x14ac:dyDescent="0.25">
      <c r="A302" s="136" t="s">
        <v>364</v>
      </c>
      <c r="B302" s="137">
        <v>553</v>
      </c>
      <c r="C302" s="137">
        <v>156</v>
      </c>
      <c r="D302" s="137">
        <v>645</v>
      </c>
      <c r="E302" s="137">
        <v>38</v>
      </c>
      <c r="F302" s="137">
        <v>66</v>
      </c>
      <c r="G302" s="137">
        <v>1458</v>
      </c>
    </row>
    <row r="303" spans="1:7" x14ac:dyDescent="0.25">
      <c r="A303" s="136" t="s">
        <v>365</v>
      </c>
      <c r="B303" s="137">
        <v>679</v>
      </c>
      <c r="C303" s="137">
        <v>385</v>
      </c>
      <c r="D303" s="137">
        <v>1555</v>
      </c>
      <c r="E303" s="137">
        <v>136</v>
      </c>
      <c r="F303" s="137">
        <v>204</v>
      </c>
      <c r="G303" s="137">
        <v>2959</v>
      </c>
    </row>
    <row r="304" spans="1:7" ht="30" x14ac:dyDescent="0.25">
      <c r="A304" s="136" t="s">
        <v>366</v>
      </c>
      <c r="B304" s="137">
        <v>679</v>
      </c>
      <c r="C304" s="137">
        <v>329</v>
      </c>
      <c r="D304" s="137">
        <v>575</v>
      </c>
      <c r="E304" s="137">
        <v>28</v>
      </c>
      <c r="F304" s="137">
        <v>86</v>
      </c>
      <c r="G304" s="137">
        <v>1697</v>
      </c>
    </row>
    <row r="305" spans="1:7" x14ac:dyDescent="0.25">
      <c r="A305" s="136" t="s">
        <v>367</v>
      </c>
      <c r="B305" s="137">
        <v>572</v>
      </c>
      <c r="C305" s="137">
        <v>310</v>
      </c>
      <c r="D305" s="137">
        <v>1138</v>
      </c>
      <c r="E305" s="137">
        <v>82</v>
      </c>
      <c r="F305" s="137">
        <v>145</v>
      </c>
      <c r="G305" s="137">
        <v>2247</v>
      </c>
    </row>
    <row r="306" spans="1:7" x14ac:dyDescent="0.25">
      <c r="A306" s="184" t="s">
        <v>28</v>
      </c>
      <c r="B306" s="185">
        <v>30962</v>
      </c>
      <c r="C306" s="185">
        <v>11779</v>
      </c>
      <c r="D306" s="185">
        <v>74142</v>
      </c>
      <c r="E306" s="185">
        <v>6994</v>
      </c>
      <c r="F306" s="185">
        <v>6730</v>
      </c>
      <c r="G306" s="185">
        <v>130607</v>
      </c>
    </row>
    <row r="307" spans="1:7" x14ac:dyDescent="0.25">
      <c r="A307" s="158"/>
      <c r="B307" s="158"/>
      <c r="C307" s="158"/>
      <c r="D307" s="158"/>
      <c r="E307" s="158"/>
      <c r="F307" s="158"/>
      <c r="G307" s="158"/>
    </row>
    <row r="308" spans="1:7" x14ac:dyDescent="0.25">
      <c r="A308" s="158"/>
      <c r="B308" s="158"/>
      <c r="C308" s="158"/>
      <c r="D308" s="158"/>
      <c r="E308" s="158"/>
      <c r="F308" s="158"/>
      <c r="G308" s="158"/>
    </row>
    <row r="309" spans="1:7" x14ac:dyDescent="0.25">
      <c r="A309" s="158"/>
      <c r="B309" s="158"/>
      <c r="C309" s="158"/>
      <c r="D309" s="158"/>
      <c r="E309" s="158"/>
      <c r="F309" s="158"/>
      <c r="G309" s="158"/>
    </row>
    <row r="310" spans="1:7" x14ac:dyDescent="0.25">
      <c r="A310" s="158"/>
      <c r="B310" s="158"/>
      <c r="C310" s="158"/>
      <c r="D310" s="158"/>
    </row>
    <row r="311" spans="1:7" x14ac:dyDescent="0.25">
      <c r="A311" s="187" t="s">
        <v>520</v>
      </c>
    </row>
    <row r="312" spans="1:7" x14ac:dyDescent="0.25">
      <c r="A312" s="158"/>
      <c r="B312" s="426" t="s">
        <v>492</v>
      </c>
      <c r="C312" s="426"/>
      <c r="D312" s="426"/>
      <c r="E312" s="426"/>
      <c r="F312" s="426"/>
      <c r="G312" s="91"/>
    </row>
    <row r="313" spans="1:7" x14ac:dyDescent="0.25">
      <c r="A313" s="160" t="s">
        <v>537</v>
      </c>
      <c r="B313" s="189" t="s">
        <v>131</v>
      </c>
      <c r="C313" s="189" t="s">
        <v>132</v>
      </c>
      <c r="D313" s="189" t="s">
        <v>133</v>
      </c>
      <c r="E313" s="189" t="s">
        <v>12</v>
      </c>
      <c r="F313" s="189" t="s">
        <v>134</v>
      </c>
      <c r="G313" s="161" t="s">
        <v>28</v>
      </c>
    </row>
    <row r="314" spans="1:7" x14ac:dyDescent="0.25">
      <c r="A314" s="157" t="s">
        <v>368</v>
      </c>
      <c r="B314" s="183">
        <v>449</v>
      </c>
      <c r="C314" s="183">
        <v>69</v>
      </c>
      <c r="D314" s="183">
        <v>583</v>
      </c>
      <c r="E314" s="183">
        <v>21</v>
      </c>
      <c r="F314" s="183">
        <v>37</v>
      </c>
      <c r="G314" s="183">
        <v>1159</v>
      </c>
    </row>
    <row r="315" spans="1:7" x14ac:dyDescent="0.25">
      <c r="A315" s="136" t="s">
        <v>369</v>
      </c>
      <c r="B315" s="137">
        <v>139</v>
      </c>
      <c r="C315" s="137">
        <v>37</v>
      </c>
      <c r="D315" s="137">
        <v>434</v>
      </c>
      <c r="E315" s="137">
        <v>11</v>
      </c>
      <c r="F315" s="137">
        <v>23</v>
      </c>
      <c r="G315" s="137">
        <v>644</v>
      </c>
    </row>
    <row r="316" spans="1:7" x14ac:dyDescent="0.25">
      <c r="A316" s="136" t="s">
        <v>370</v>
      </c>
      <c r="B316" s="137">
        <v>163</v>
      </c>
      <c r="C316" s="137">
        <v>30</v>
      </c>
      <c r="D316" s="137">
        <v>257</v>
      </c>
      <c r="E316" s="137">
        <v>15</v>
      </c>
      <c r="F316" s="137">
        <v>8</v>
      </c>
      <c r="G316" s="137">
        <v>473</v>
      </c>
    </row>
    <row r="317" spans="1:7" x14ac:dyDescent="0.25">
      <c r="A317" s="136" t="s">
        <v>371</v>
      </c>
      <c r="B317" s="137">
        <v>1401</v>
      </c>
      <c r="C317" s="137">
        <v>479</v>
      </c>
      <c r="D317" s="137">
        <v>4698</v>
      </c>
      <c r="E317" s="137">
        <v>407</v>
      </c>
      <c r="F317" s="137">
        <v>418</v>
      </c>
      <c r="G317" s="137">
        <v>7403</v>
      </c>
    </row>
    <row r="318" spans="1:7" x14ac:dyDescent="0.25">
      <c r="A318" s="136" t="s">
        <v>372</v>
      </c>
      <c r="B318" s="137">
        <v>50</v>
      </c>
      <c r="C318" s="137">
        <v>11</v>
      </c>
      <c r="D318" s="137">
        <v>83</v>
      </c>
      <c r="E318" s="137">
        <v>2</v>
      </c>
      <c r="F318" s="137">
        <v>7</v>
      </c>
      <c r="G318" s="137">
        <v>153</v>
      </c>
    </row>
    <row r="319" spans="1:7" x14ac:dyDescent="0.25">
      <c r="A319" s="136" t="s">
        <v>373</v>
      </c>
      <c r="B319" s="137">
        <v>50</v>
      </c>
      <c r="C319" s="137">
        <v>4</v>
      </c>
      <c r="D319" s="137">
        <v>99</v>
      </c>
      <c r="E319" s="137">
        <v>2</v>
      </c>
      <c r="F319" s="137">
        <v>3</v>
      </c>
      <c r="G319" s="137">
        <v>158</v>
      </c>
    </row>
    <row r="320" spans="1:7" x14ac:dyDescent="0.25">
      <c r="A320" s="136" t="s">
        <v>374</v>
      </c>
      <c r="B320" s="137">
        <v>15</v>
      </c>
      <c r="C320" s="137">
        <v>1</v>
      </c>
      <c r="D320" s="137">
        <v>27</v>
      </c>
      <c r="E320" s="137">
        <v>0</v>
      </c>
      <c r="F320" s="137">
        <v>1</v>
      </c>
      <c r="G320" s="137">
        <v>44</v>
      </c>
    </row>
    <row r="321" spans="1:7" x14ac:dyDescent="0.25">
      <c r="A321" s="136" t="s">
        <v>375</v>
      </c>
      <c r="B321" s="137">
        <v>575</v>
      </c>
      <c r="C321" s="137">
        <v>190</v>
      </c>
      <c r="D321" s="137">
        <v>2000</v>
      </c>
      <c r="E321" s="137">
        <v>109</v>
      </c>
      <c r="F321" s="137">
        <v>139</v>
      </c>
      <c r="G321" s="137">
        <v>3013</v>
      </c>
    </row>
    <row r="322" spans="1:7" x14ac:dyDescent="0.25">
      <c r="A322" s="136" t="s">
        <v>501</v>
      </c>
      <c r="B322" s="137">
        <v>124</v>
      </c>
      <c r="C322" s="137">
        <v>23</v>
      </c>
      <c r="D322" s="137">
        <v>299</v>
      </c>
      <c r="E322" s="137">
        <v>7</v>
      </c>
      <c r="F322" s="137">
        <v>16</v>
      </c>
      <c r="G322" s="137">
        <v>469</v>
      </c>
    </row>
    <row r="323" spans="1:7" x14ac:dyDescent="0.25">
      <c r="A323" s="136" t="s">
        <v>376</v>
      </c>
      <c r="B323" s="137">
        <v>12</v>
      </c>
      <c r="C323" s="137">
        <v>1</v>
      </c>
      <c r="D323" s="137">
        <v>25</v>
      </c>
      <c r="E323" s="137">
        <v>0</v>
      </c>
      <c r="F323" s="137">
        <v>3</v>
      </c>
      <c r="G323" s="137">
        <v>41</v>
      </c>
    </row>
    <row r="324" spans="1:7" x14ac:dyDescent="0.25">
      <c r="A324" s="184" t="s">
        <v>28</v>
      </c>
      <c r="B324" s="185">
        <v>2978</v>
      </c>
      <c r="C324" s="185">
        <v>845</v>
      </c>
      <c r="D324" s="185">
        <v>8505</v>
      </c>
      <c r="E324" s="185">
        <v>574</v>
      </c>
      <c r="F324" s="185">
        <v>655</v>
      </c>
      <c r="G324" s="185">
        <v>13557</v>
      </c>
    </row>
    <row r="325" spans="1:7" x14ac:dyDescent="0.25">
      <c r="A325" s="158"/>
      <c r="B325" s="158"/>
      <c r="C325" s="158"/>
      <c r="D325" s="158"/>
    </row>
    <row r="326" spans="1:7" x14ac:dyDescent="0.25">
      <c r="A326" s="158"/>
      <c r="B326" s="158"/>
      <c r="C326" s="158"/>
      <c r="D326" s="158"/>
    </row>
    <row r="327" spans="1:7" x14ac:dyDescent="0.25">
      <c r="A327" s="158"/>
      <c r="B327" s="158"/>
      <c r="C327" s="158"/>
      <c r="D327" s="158"/>
    </row>
    <row r="328" spans="1:7" x14ac:dyDescent="0.25">
      <c r="A328" s="187" t="s">
        <v>521</v>
      </c>
    </row>
    <row r="329" spans="1:7" x14ac:dyDescent="0.25">
      <c r="A329" s="158"/>
      <c r="B329" s="426" t="s">
        <v>492</v>
      </c>
      <c r="C329" s="426"/>
      <c r="D329" s="426"/>
      <c r="E329" s="426"/>
      <c r="F329" s="426"/>
      <c r="G329" s="91"/>
    </row>
    <row r="330" spans="1:7" x14ac:dyDescent="0.25">
      <c r="A330" s="160" t="s">
        <v>537</v>
      </c>
      <c r="B330" s="189" t="s">
        <v>131</v>
      </c>
      <c r="C330" s="189" t="s">
        <v>132</v>
      </c>
      <c r="D330" s="189" t="s">
        <v>133</v>
      </c>
      <c r="E330" s="189" t="s">
        <v>12</v>
      </c>
      <c r="F330" s="189" t="s">
        <v>134</v>
      </c>
      <c r="G330" s="161" t="s">
        <v>28</v>
      </c>
    </row>
    <row r="331" spans="1:7" x14ac:dyDescent="0.25">
      <c r="A331" s="157" t="s">
        <v>377</v>
      </c>
      <c r="B331" s="183">
        <v>17</v>
      </c>
      <c r="C331" s="183">
        <v>7</v>
      </c>
      <c r="D331" s="183">
        <v>71</v>
      </c>
      <c r="E331" s="183">
        <v>2</v>
      </c>
      <c r="F331" s="183">
        <v>4</v>
      </c>
      <c r="G331" s="183">
        <v>101</v>
      </c>
    </row>
    <row r="332" spans="1:7" x14ac:dyDescent="0.25">
      <c r="A332" s="136" t="s">
        <v>378</v>
      </c>
      <c r="B332" s="137">
        <v>0</v>
      </c>
      <c r="C332" s="137">
        <v>0</v>
      </c>
      <c r="D332" s="137">
        <v>4</v>
      </c>
      <c r="E332" s="137">
        <v>0</v>
      </c>
      <c r="F332" s="137">
        <v>0</v>
      </c>
      <c r="G332" s="137">
        <v>4</v>
      </c>
    </row>
    <row r="333" spans="1:7" x14ac:dyDescent="0.25">
      <c r="A333" s="136" t="s">
        <v>379</v>
      </c>
      <c r="B333" s="137">
        <v>3</v>
      </c>
      <c r="C333" s="137">
        <v>0</v>
      </c>
      <c r="D333" s="137">
        <v>15</v>
      </c>
      <c r="E333" s="137">
        <v>0</v>
      </c>
      <c r="F333" s="137">
        <v>1</v>
      </c>
      <c r="G333" s="137">
        <v>19</v>
      </c>
    </row>
    <row r="334" spans="1:7" x14ac:dyDescent="0.25">
      <c r="A334" s="136" t="s">
        <v>380</v>
      </c>
      <c r="B334" s="137">
        <v>1221</v>
      </c>
      <c r="C334" s="137">
        <v>273</v>
      </c>
      <c r="D334" s="137">
        <v>2526</v>
      </c>
      <c r="E334" s="137">
        <v>191</v>
      </c>
      <c r="F334" s="137">
        <v>111</v>
      </c>
      <c r="G334" s="137">
        <v>4322</v>
      </c>
    </row>
    <row r="335" spans="1:7" x14ac:dyDescent="0.25">
      <c r="A335" s="136" t="s">
        <v>381</v>
      </c>
      <c r="B335" s="137">
        <v>173</v>
      </c>
      <c r="C335" s="137">
        <v>43</v>
      </c>
      <c r="D335" s="137">
        <v>628</v>
      </c>
      <c r="E335" s="137">
        <v>44</v>
      </c>
      <c r="F335" s="137">
        <v>30</v>
      </c>
      <c r="G335" s="137">
        <v>918</v>
      </c>
    </row>
    <row r="336" spans="1:7" x14ac:dyDescent="0.25">
      <c r="A336" s="136" t="s">
        <v>382</v>
      </c>
      <c r="B336" s="137">
        <v>7</v>
      </c>
      <c r="C336" s="137">
        <v>5</v>
      </c>
      <c r="D336" s="137">
        <v>49</v>
      </c>
      <c r="E336" s="137">
        <v>3</v>
      </c>
      <c r="F336" s="137">
        <v>1</v>
      </c>
      <c r="G336" s="137">
        <v>65</v>
      </c>
    </row>
    <row r="337" spans="1:7" x14ac:dyDescent="0.25">
      <c r="A337" s="136" t="s">
        <v>383</v>
      </c>
      <c r="B337" s="137">
        <v>3349</v>
      </c>
      <c r="C337" s="137">
        <v>1081</v>
      </c>
      <c r="D337" s="137">
        <v>13090</v>
      </c>
      <c r="E337" s="137">
        <v>1682</v>
      </c>
      <c r="F337" s="137">
        <v>777</v>
      </c>
      <c r="G337" s="137">
        <v>19979</v>
      </c>
    </row>
    <row r="338" spans="1:7" x14ac:dyDescent="0.25">
      <c r="A338" s="136" t="s">
        <v>384</v>
      </c>
      <c r="B338" s="137">
        <v>3</v>
      </c>
      <c r="C338" s="137">
        <v>0</v>
      </c>
      <c r="D338" s="137">
        <v>10</v>
      </c>
      <c r="E338" s="137">
        <v>0</v>
      </c>
      <c r="F338" s="137">
        <v>2</v>
      </c>
      <c r="G338" s="137">
        <v>15</v>
      </c>
    </row>
    <row r="339" spans="1:7" x14ac:dyDescent="0.25">
      <c r="A339" s="136" t="s">
        <v>385</v>
      </c>
      <c r="B339" s="137">
        <v>5</v>
      </c>
      <c r="C339" s="137">
        <v>0</v>
      </c>
      <c r="D339" s="137">
        <v>22</v>
      </c>
      <c r="E339" s="137">
        <v>1</v>
      </c>
      <c r="F339" s="137">
        <v>0</v>
      </c>
      <c r="G339" s="137">
        <v>28</v>
      </c>
    </row>
    <row r="340" spans="1:7" x14ac:dyDescent="0.25">
      <c r="A340" s="136" t="s">
        <v>386</v>
      </c>
      <c r="B340" s="137">
        <v>2</v>
      </c>
      <c r="C340" s="137">
        <v>0</v>
      </c>
      <c r="D340" s="137">
        <v>1</v>
      </c>
      <c r="E340" s="137">
        <v>0</v>
      </c>
      <c r="F340" s="137">
        <v>0</v>
      </c>
      <c r="G340" s="137">
        <v>3</v>
      </c>
    </row>
    <row r="341" spans="1:7" x14ac:dyDescent="0.25">
      <c r="A341" s="136" t="s">
        <v>387</v>
      </c>
      <c r="B341" s="137">
        <v>1</v>
      </c>
      <c r="C341" s="137">
        <v>0</v>
      </c>
      <c r="D341" s="137">
        <v>2</v>
      </c>
      <c r="E341" s="137">
        <v>1</v>
      </c>
      <c r="F341" s="137">
        <v>0</v>
      </c>
      <c r="G341" s="137">
        <v>4</v>
      </c>
    </row>
    <row r="342" spans="1:7" x14ac:dyDescent="0.25">
      <c r="A342" s="184" t="s">
        <v>28</v>
      </c>
      <c r="B342" s="185">
        <v>4781</v>
      </c>
      <c r="C342" s="185">
        <v>1409</v>
      </c>
      <c r="D342" s="185">
        <v>16418</v>
      </c>
      <c r="E342" s="185">
        <v>1924</v>
      </c>
      <c r="F342" s="185">
        <v>926</v>
      </c>
      <c r="G342" s="185">
        <v>25458</v>
      </c>
    </row>
    <row r="343" spans="1:7" x14ac:dyDescent="0.25">
      <c r="A343" s="158"/>
      <c r="B343" s="158"/>
      <c r="C343" s="158"/>
      <c r="D343" s="158"/>
      <c r="E343" s="158"/>
      <c r="F343" s="158"/>
      <c r="G343" s="158"/>
    </row>
    <row r="344" spans="1:7" x14ac:dyDescent="0.25">
      <c r="A344" s="158"/>
      <c r="B344" s="158"/>
      <c r="C344" s="158"/>
      <c r="D344" s="158"/>
      <c r="E344" s="158"/>
      <c r="F344" s="158"/>
      <c r="G344" s="158"/>
    </row>
    <row r="345" spans="1:7" x14ac:dyDescent="0.25">
      <c r="A345" s="158"/>
      <c r="B345" s="158"/>
      <c r="C345" s="158"/>
      <c r="D345" s="158"/>
    </row>
    <row r="346" spans="1:7" x14ac:dyDescent="0.25">
      <c r="A346" s="187" t="s">
        <v>522</v>
      </c>
    </row>
    <row r="347" spans="1:7" x14ac:dyDescent="0.25">
      <c r="A347" s="158"/>
      <c r="B347" s="426" t="s">
        <v>492</v>
      </c>
      <c r="C347" s="426"/>
      <c r="D347" s="426"/>
      <c r="E347" s="426"/>
      <c r="F347" s="426"/>
      <c r="G347" s="91"/>
    </row>
    <row r="348" spans="1:7" x14ac:dyDescent="0.25">
      <c r="A348" s="160" t="s">
        <v>537</v>
      </c>
      <c r="B348" s="189" t="s">
        <v>131</v>
      </c>
      <c r="C348" s="189" t="s">
        <v>132</v>
      </c>
      <c r="D348" s="189" t="s">
        <v>133</v>
      </c>
      <c r="E348" s="189" t="s">
        <v>12</v>
      </c>
      <c r="F348" s="189" t="s">
        <v>134</v>
      </c>
      <c r="G348" s="161" t="s">
        <v>28</v>
      </c>
    </row>
    <row r="349" spans="1:7" x14ac:dyDescent="0.25">
      <c r="A349" s="157" t="s">
        <v>389</v>
      </c>
      <c r="B349" s="183">
        <v>189</v>
      </c>
      <c r="C349" s="183">
        <v>58</v>
      </c>
      <c r="D349" s="183">
        <v>613</v>
      </c>
      <c r="E349" s="183">
        <v>48</v>
      </c>
      <c r="F349" s="183">
        <v>16</v>
      </c>
      <c r="G349" s="183">
        <v>924</v>
      </c>
    </row>
    <row r="350" spans="1:7" x14ac:dyDescent="0.25">
      <c r="A350" s="136" t="s">
        <v>390</v>
      </c>
      <c r="B350" s="137">
        <v>1936</v>
      </c>
      <c r="C350" s="137">
        <v>669</v>
      </c>
      <c r="D350" s="137">
        <v>8419</v>
      </c>
      <c r="E350" s="137">
        <v>752</v>
      </c>
      <c r="F350" s="137">
        <v>454</v>
      </c>
      <c r="G350" s="137">
        <v>12230</v>
      </c>
    </row>
    <row r="351" spans="1:7" x14ac:dyDescent="0.25">
      <c r="A351" s="136" t="s">
        <v>391</v>
      </c>
      <c r="B351" s="137">
        <v>514</v>
      </c>
      <c r="C351" s="137">
        <v>151</v>
      </c>
      <c r="D351" s="137">
        <v>1959</v>
      </c>
      <c r="E351" s="137">
        <v>179</v>
      </c>
      <c r="F351" s="137">
        <v>114</v>
      </c>
      <c r="G351" s="137">
        <v>2917</v>
      </c>
    </row>
    <row r="352" spans="1:7" x14ac:dyDescent="0.25">
      <c r="A352" s="136" t="s">
        <v>392</v>
      </c>
      <c r="B352" s="137">
        <v>2435</v>
      </c>
      <c r="C352" s="137">
        <v>962</v>
      </c>
      <c r="D352" s="137">
        <v>8397</v>
      </c>
      <c r="E352" s="137">
        <v>977</v>
      </c>
      <c r="F352" s="137">
        <v>408</v>
      </c>
      <c r="G352" s="137">
        <v>13179</v>
      </c>
    </row>
    <row r="353" spans="1:7" x14ac:dyDescent="0.25">
      <c r="A353" s="136" t="s">
        <v>393</v>
      </c>
      <c r="B353" s="137">
        <v>5204</v>
      </c>
      <c r="C353" s="137">
        <v>1816</v>
      </c>
      <c r="D353" s="137">
        <v>16160</v>
      </c>
      <c r="E353" s="137">
        <v>1691</v>
      </c>
      <c r="F353" s="137">
        <v>944</v>
      </c>
      <c r="G353" s="137">
        <v>25815</v>
      </c>
    </row>
    <row r="354" spans="1:7" x14ac:dyDescent="0.25">
      <c r="A354" s="136" t="s">
        <v>394</v>
      </c>
      <c r="B354" s="137">
        <v>2392</v>
      </c>
      <c r="C354" s="137">
        <v>1254</v>
      </c>
      <c r="D354" s="137">
        <v>7857</v>
      </c>
      <c r="E354" s="137">
        <v>618</v>
      </c>
      <c r="F354" s="137">
        <v>527</v>
      </c>
      <c r="G354" s="137">
        <v>12648</v>
      </c>
    </row>
    <row r="355" spans="1:7" x14ac:dyDescent="0.25">
      <c r="A355" s="136" t="s">
        <v>395</v>
      </c>
      <c r="B355" s="137">
        <v>5416</v>
      </c>
      <c r="C355" s="137">
        <v>1321</v>
      </c>
      <c r="D355" s="137">
        <v>16813</v>
      </c>
      <c r="E355" s="137">
        <v>1627</v>
      </c>
      <c r="F355" s="137">
        <v>807</v>
      </c>
      <c r="G355" s="137">
        <v>25984</v>
      </c>
    </row>
    <row r="356" spans="1:7" x14ac:dyDescent="0.25">
      <c r="A356" s="136" t="s">
        <v>396</v>
      </c>
      <c r="B356" s="137">
        <v>1137</v>
      </c>
      <c r="C356" s="137">
        <v>275</v>
      </c>
      <c r="D356" s="137">
        <v>3328</v>
      </c>
      <c r="E356" s="137">
        <v>265</v>
      </c>
      <c r="F356" s="137">
        <v>165</v>
      </c>
      <c r="G356" s="137">
        <v>5170</v>
      </c>
    </row>
    <row r="357" spans="1:7" x14ac:dyDescent="0.25">
      <c r="A357" s="136" t="s">
        <v>397</v>
      </c>
      <c r="B357" s="137">
        <v>6070</v>
      </c>
      <c r="C357" s="137">
        <v>2006</v>
      </c>
      <c r="D357" s="137">
        <v>17795</v>
      </c>
      <c r="E357" s="137">
        <v>1801</v>
      </c>
      <c r="F357" s="137">
        <v>1062</v>
      </c>
      <c r="G357" s="137">
        <v>28734</v>
      </c>
    </row>
    <row r="358" spans="1:7" x14ac:dyDescent="0.25">
      <c r="A358" s="136" t="s">
        <v>398</v>
      </c>
      <c r="B358" s="137">
        <v>1137</v>
      </c>
      <c r="C358" s="137">
        <v>350</v>
      </c>
      <c r="D358" s="137">
        <v>3235</v>
      </c>
      <c r="E358" s="137">
        <v>267</v>
      </c>
      <c r="F358" s="137">
        <v>185</v>
      </c>
      <c r="G358" s="137">
        <v>5174</v>
      </c>
    </row>
    <row r="359" spans="1:7" x14ac:dyDescent="0.25">
      <c r="A359" s="136" t="s">
        <v>399</v>
      </c>
      <c r="B359" s="137">
        <v>4813</v>
      </c>
      <c r="C359" s="137">
        <v>1330</v>
      </c>
      <c r="D359" s="137">
        <v>15709</v>
      </c>
      <c r="E359" s="137">
        <v>1499</v>
      </c>
      <c r="F359" s="137">
        <v>760</v>
      </c>
      <c r="G359" s="137">
        <v>24111</v>
      </c>
    </row>
    <row r="360" spans="1:7" x14ac:dyDescent="0.25">
      <c r="A360" s="136" t="s">
        <v>400</v>
      </c>
      <c r="B360" s="137">
        <v>2557</v>
      </c>
      <c r="C360" s="137">
        <v>911</v>
      </c>
      <c r="D360" s="137">
        <v>7608</v>
      </c>
      <c r="E360" s="137">
        <v>794</v>
      </c>
      <c r="F360" s="137">
        <v>463</v>
      </c>
      <c r="G360" s="137">
        <v>12333</v>
      </c>
    </row>
    <row r="361" spans="1:7" x14ac:dyDescent="0.25">
      <c r="A361" s="136" t="s">
        <v>401</v>
      </c>
      <c r="B361" s="137">
        <v>2707</v>
      </c>
      <c r="C361" s="137">
        <v>599</v>
      </c>
      <c r="D361" s="137">
        <v>9791</v>
      </c>
      <c r="E361" s="137">
        <v>961</v>
      </c>
      <c r="F361" s="137">
        <v>400</v>
      </c>
      <c r="G361" s="137">
        <v>14458</v>
      </c>
    </row>
    <row r="362" spans="1:7" x14ac:dyDescent="0.25">
      <c r="A362" s="136" t="s">
        <v>402</v>
      </c>
      <c r="B362" s="137">
        <v>832</v>
      </c>
      <c r="C362" s="137">
        <v>285</v>
      </c>
      <c r="D362" s="137">
        <v>3591</v>
      </c>
      <c r="E362" s="137">
        <v>335</v>
      </c>
      <c r="F362" s="137">
        <v>224</v>
      </c>
      <c r="G362" s="137">
        <v>5267</v>
      </c>
    </row>
    <row r="363" spans="1:7" x14ac:dyDescent="0.25">
      <c r="A363" s="136" t="s">
        <v>403</v>
      </c>
      <c r="B363" s="137">
        <v>3490</v>
      </c>
      <c r="C363" s="137">
        <v>736</v>
      </c>
      <c r="D363" s="137">
        <v>10404</v>
      </c>
      <c r="E363" s="137">
        <v>1158</v>
      </c>
      <c r="F363" s="137">
        <v>429</v>
      </c>
      <c r="G363" s="137">
        <v>16217</v>
      </c>
    </row>
    <row r="364" spans="1:7" x14ac:dyDescent="0.25">
      <c r="A364" s="136" t="s">
        <v>404</v>
      </c>
      <c r="B364" s="137">
        <v>11334</v>
      </c>
      <c r="C364" s="137">
        <v>2443</v>
      </c>
      <c r="D364" s="137">
        <v>40492</v>
      </c>
      <c r="E364" s="137">
        <v>4673</v>
      </c>
      <c r="F364" s="137">
        <v>1483</v>
      </c>
      <c r="G364" s="137">
        <v>60425</v>
      </c>
    </row>
    <row r="365" spans="1:7" x14ac:dyDescent="0.25">
      <c r="A365" s="136" t="s">
        <v>405</v>
      </c>
      <c r="B365" s="137">
        <v>4629</v>
      </c>
      <c r="C365" s="137">
        <v>1345</v>
      </c>
      <c r="D365" s="137">
        <v>14007</v>
      </c>
      <c r="E365" s="137">
        <v>1457</v>
      </c>
      <c r="F365" s="137">
        <v>716</v>
      </c>
      <c r="G365" s="137">
        <v>22154</v>
      </c>
    </row>
    <row r="366" spans="1:7" x14ac:dyDescent="0.25">
      <c r="A366" s="136" t="s">
        <v>406</v>
      </c>
      <c r="B366" s="137">
        <v>5967</v>
      </c>
      <c r="C366" s="137">
        <v>2477</v>
      </c>
      <c r="D366" s="137">
        <v>17114</v>
      </c>
      <c r="E366" s="137">
        <v>1677</v>
      </c>
      <c r="F366" s="137">
        <v>1235</v>
      </c>
      <c r="G366" s="137">
        <v>28470</v>
      </c>
    </row>
    <row r="367" spans="1:7" x14ac:dyDescent="0.25">
      <c r="A367" s="136" t="s">
        <v>407</v>
      </c>
      <c r="B367" s="137">
        <v>1784</v>
      </c>
      <c r="C367" s="137">
        <v>376</v>
      </c>
      <c r="D367" s="137">
        <v>7428</v>
      </c>
      <c r="E367" s="137">
        <v>769</v>
      </c>
      <c r="F367" s="137">
        <v>224</v>
      </c>
      <c r="G367" s="137">
        <v>10581</v>
      </c>
    </row>
    <row r="368" spans="1:7" x14ac:dyDescent="0.25">
      <c r="A368" s="136" t="s">
        <v>408</v>
      </c>
      <c r="B368" s="137">
        <v>1802</v>
      </c>
      <c r="C368" s="137">
        <v>853</v>
      </c>
      <c r="D368" s="137">
        <v>5223</v>
      </c>
      <c r="E368" s="137">
        <v>384</v>
      </c>
      <c r="F368" s="137">
        <v>339</v>
      </c>
      <c r="G368" s="137">
        <v>8601</v>
      </c>
    </row>
    <row r="369" spans="1:7" x14ac:dyDescent="0.25">
      <c r="A369" s="136" t="s">
        <v>409</v>
      </c>
      <c r="B369" s="137">
        <v>4188</v>
      </c>
      <c r="C369" s="137">
        <v>819</v>
      </c>
      <c r="D369" s="137">
        <v>18575</v>
      </c>
      <c r="E369" s="137">
        <v>1898</v>
      </c>
      <c r="F369" s="137">
        <v>454</v>
      </c>
      <c r="G369" s="137">
        <v>25934</v>
      </c>
    </row>
    <row r="370" spans="1:7" x14ac:dyDescent="0.25">
      <c r="A370" s="136" t="s">
        <v>410</v>
      </c>
      <c r="B370" s="137">
        <v>1073</v>
      </c>
      <c r="C370" s="137">
        <v>296</v>
      </c>
      <c r="D370" s="137">
        <v>4053</v>
      </c>
      <c r="E370" s="137">
        <v>308</v>
      </c>
      <c r="F370" s="137">
        <v>168</v>
      </c>
      <c r="G370" s="137">
        <v>5898</v>
      </c>
    </row>
    <row r="371" spans="1:7" x14ac:dyDescent="0.25">
      <c r="A371" s="136" t="s">
        <v>411</v>
      </c>
      <c r="B371" s="137">
        <v>4167</v>
      </c>
      <c r="C371" s="137">
        <v>1456</v>
      </c>
      <c r="D371" s="137">
        <v>11736</v>
      </c>
      <c r="E371" s="137">
        <v>1148</v>
      </c>
      <c r="F371" s="137">
        <v>725</v>
      </c>
      <c r="G371" s="137">
        <v>19232</v>
      </c>
    </row>
    <row r="372" spans="1:7" x14ac:dyDescent="0.25">
      <c r="A372" s="136" t="s">
        <v>412</v>
      </c>
      <c r="B372" s="137">
        <v>3916</v>
      </c>
      <c r="C372" s="137">
        <v>1050</v>
      </c>
      <c r="D372" s="137">
        <v>12862</v>
      </c>
      <c r="E372" s="137">
        <v>1216</v>
      </c>
      <c r="F372" s="137">
        <v>590</v>
      </c>
      <c r="G372" s="137">
        <v>19634</v>
      </c>
    </row>
    <row r="373" spans="1:7" x14ac:dyDescent="0.25">
      <c r="A373" s="136" t="s">
        <v>413</v>
      </c>
      <c r="B373" s="137">
        <v>3709</v>
      </c>
      <c r="C373" s="137">
        <v>768</v>
      </c>
      <c r="D373" s="137">
        <v>14322</v>
      </c>
      <c r="E373" s="137">
        <v>1582</v>
      </c>
      <c r="F373" s="137">
        <v>518</v>
      </c>
      <c r="G373" s="137">
        <v>20899</v>
      </c>
    </row>
    <row r="374" spans="1:7" x14ac:dyDescent="0.25">
      <c r="A374" s="136" t="s">
        <v>414</v>
      </c>
      <c r="B374" s="137">
        <v>12649</v>
      </c>
      <c r="C374" s="137">
        <v>3551</v>
      </c>
      <c r="D374" s="137">
        <v>48462</v>
      </c>
      <c r="E374" s="137">
        <v>5887</v>
      </c>
      <c r="F374" s="137">
        <v>2068</v>
      </c>
      <c r="G374" s="137">
        <v>72617</v>
      </c>
    </row>
    <row r="375" spans="1:7" x14ac:dyDescent="0.25">
      <c r="A375" s="136" t="s">
        <v>415</v>
      </c>
      <c r="B375" s="137">
        <v>435</v>
      </c>
      <c r="C375" s="137">
        <v>137</v>
      </c>
      <c r="D375" s="137">
        <v>1357</v>
      </c>
      <c r="E375" s="137">
        <v>84</v>
      </c>
      <c r="F375" s="137">
        <v>82</v>
      </c>
      <c r="G375" s="137">
        <v>2095</v>
      </c>
    </row>
    <row r="376" spans="1:7" x14ac:dyDescent="0.25">
      <c r="A376" s="136" t="s">
        <v>416</v>
      </c>
      <c r="B376" s="137">
        <v>4343</v>
      </c>
      <c r="C376" s="137">
        <v>1214</v>
      </c>
      <c r="D376" s="137">
        <v>13649</v>
      </c>
      <c r="E376" s="137">
        <v>1114</v>
      </c>
      <c r="F376" s="137">
        <v>773</v>
      </c>
      <c r="G376" s="137">
        <v>21093</v>
      </c>
    </row>
    <row r="377" spans="1:7" x14ac:dyDescent="0.25">
      <c r="A377" s="136" t="s">
        <v>417</v>
      </c>
      <c r="B377" s="137">
        <v>1456</v>
      </c>
      <c r="C377" s="137">
        <v>472</v>
      </c>
      <c r="D377" s="137">
        <v>5401</v>
      </c>
      <c r="E377" s="137">
        <v>554</v>
      </c>
      <c r="F377" s="137">
        <v>288</v>
      </c>
      <c r="G377" s="137">
        <v>8171</v>
      </c>
    </row>
    <row r="378" spans="1:7" x14ac:dyDescent="0.25">
      <c r="A378" s="136" t="s">
        <v>418</v>
      </c>
      <c r="B378" s="137">
        <v>1723</v>
      </c>
      <c r="C378" s="137">
        <v>601</v>
      </c>
      <c r="D378" s="137">
        <v>6434</v>
      </c>
      <c r="E378" s="137">
        <v>451</v>
      </c>
      <c r="F378" s="137">
        <v>302</v>
      </c>
      <c r="G378" s="137">
        <v>9511</v>
      </c>
    </row>
    <row r="379" spans="1:7" ht="30" x14ac:dyDescent="0.25">
      <c r="A379" s="136" t="s">
        <v>419</v>
      </c>
      <c r="B379" s="137">
        <v>4510</v>
      </c>
      <c r="C379" s="137">
        <v>1296</v>
      </c>
      <c r="D379" s="137">
        <v>14568</v>
      </c>
      <c r="E379" s="137">
        <v>1326</v>
      </c>
      <c r="F379" s="137">
        <v>681</v>
      </c>
      <c r="G379" s="137">
        <v>22381</v>
      </c>
    </row>
    <row r="380" spans="1:7" x14ac:dyDescent="0.25">
      <c r="A380" s="136" t="s">
        <v>502</v>
      </c>
      <c r="B380" s="137">
        <v>2242</v>
      </c>
      <c r="C380" s="137">
        <v>669</v>
      </c>
      <c r="D380" s="137">
        <v>8872</v>
      </c>
      <c r="E380" s="137">
        <v>928</v>
      </c>
      <c r="F380" s="137">
        <v>451</v>
      </c>
      <c r="G380" s="137">
        <v>13162</v>
      </c>
    </row>
    <row r="381" spans="1:7" x14ac:dyDescent="0.25">
      <c r="A381" s="136" t="s">
        <v>503</v>
      </c>
      <c r="B381" s="137">
        <v>6285</v>
      </c>
      <c r="C381" s="137">
        <v>2003</v>
      </c>
      <c r="D381" s="137">
        <v>22365</v>
      </c>
      <c r="E381" s="137">
        <v>2312</v>
      </c>
      <c r="F381" s="137">
        <v>1142</v>
      </c>
      <c r="G381" s="137">
        <v>34107</v>
      </c>
    </row>
    <row r="382" spans="1:7" x14ac:dyDescent="0.25">
      <c r="A382" s="136" t="s">
        <v>420</v>
      </c>
      <c r="B382" s="137">
        <v>647</v>
      </c>
      <c r="C382" s="137">
        <v>180</v>
      </c>
      <c r="D382" s="137">
        <v>2065</v>
      </c>
      <c r="E382" s="137">
        <v>198</v>
      </c>
      <c r="F382" s="137">
        <v>85</v>
      </c>
      <c r="G382" s="137">
        <v>3175</v>
      </c>
    </row>
    <row r="383" spans="1:7" x14ac:dyDescent="0.25">
      <c r="A383" s="136" t="s">
        <v>421</v>
      </c>
      <c r="B383" s="137">
        <v>1824</v>
      </c>
      <c r="C383" s="137">
        <v>289</v>
      </c>
      <c r="D383" s="137">
        <v>9289</v>
      </c>
      <c r="E383" s="137">
        <v>994</v>
      </c>
      <c r="F383" s="137">
        <v>206</v>
      </c>
      <c r="G383" s="137">
        <v>12602</v>
      </c>
    </row>
    <row r="384" spans="1:7" x14ac:dyDescent="0.25">
      <c r="A384" s="136" t="s">
        <v>422</v>
      </c>
      <c r="B384" s="137">
        <v>5775</v>
      </c>
      <c r="C384" s="137">
        <v>2253</v>
      </c>
      <c r="D384" s="137">
        <v>20130</v>
      </c>
      <c r="E384" s="137">
        <v>2091</v>
      </c>
      <c r="F384" s="137">
        <v>1203</v>
      </c>
      <c r="G384" s="137">
        <v>31452</v>
      </c>
    </row>
    <row r="385" spans="1:7" x14ac:dyDescent="0.25">
      <c r="A385" s="136" t="s">
        <v>423</v>
      </c>
      <c r="B385" s="137">
        <v>12897</v>
      </c>
      <c r="C385" s="137">
        <v>4353</v>
      </c>
      <c r="D385" s="137">
        <v>46205</v>
      </c>
      <c r="E385" s="137">
        <v>5224</v>
      </c>
      <c r="F385" s="137">
        <v>2389</v>
      </c>
      <c r="G385" s="137">
        <v>71068</v>
      </c>
    </row>
    <row r="386" spans="1:7" x14ac:dyDescent="0.25">
      <c r="A386" s="136" t="s">
        <v>424</v>
      </c>
      <c r="B386" s="137">
        <v>3179</v>
      </c>
      <c r="C386" s="137">
        <v>1255</v>
      </c>
      <c r="D386" s="137">
        <v>11641</v>
      </c>
      <c r="E386" s="137">
        <v>1315</v>
      </c>
      <c r="F386" s="137">
        <v>753</v>
      </c>
      <c r="G386" s="137">
        <v>18143</v>
      </c>
    </row>
    <row r="387" spans="1:7" x14ac:dyDescent="0.25">
      <c r="A387" s="136" t="s">
        <v>425</v>
      </c>
      <c r="B387" s="137">
        <v>4252</v>
      </c>
      <c r="C387" s="137">
        <v>1005</v>
      </c>
      <c r="D387" s="137">
        <v>13922</v>
      </c>
      <c r="E387" s="137">
        <v>1312</v>
      </c>
      <c r="F387" s="137">
        <v>539</v>
      </c>
      <c r="G387" s="137">
        <v>21030</v>
      </c>
    </row>
    <row r="388" spans="1:7" x14ac:dyDescent="0.25">
      <c r="A388" s="136" t="s">
        <v>426</v>
      </c>
      <c r="B388" s="137">
        <v>5696</v>
      </c>
      <c r="C388" s="137">
        <v>1530</v>
      </c>
      <c r="D388" s="137">
        <v>18116</v>
      </c>
      <c r="E388" s="137">
        <v>1848</v>
      </c>
      <c r="F388" s="137">
        <v>894</v>
      </c>
      <c r="G388" s="137">
        <v>28084</v>
      </c>
    </row>
    <row r="389" spans="1:7" x14ac:dyDescent="0.25">
      <c r="A389" s="136" t="s">
        <v>427</v>
      </c>
      <c r="B389" s="137">
        <v>4561</v>
      </c>
      <c r="C389" s="137">
        <v>1626</v>
      </c>
      <c r="D389" s="137">
        <v>14932</v>
      </c>
      <c r="E389" s="137">
        <v>1534</v>
      </c>
      <c r="F389" s="137">
        <v>864</v>
      </c>
      <c r="G389" s="137">
        <v>23517</v>
      </c>
    </row>
    <row r="390" spans="1:7" x14ac:dyDescent="0.25">
      <c r="A390" s="136" t="s">
        <v>428</v>
      </c>
      <c r="B390" s="137">
        <v>7975</v>
      </c>
      <c r="C390" s="137">
        <v>2903</v>
      </c>
      <c r="D390" s="137">
        <v>25796</v>
      </c>
      <c r="E390" s="137">
        <v>2458</v>
      </c>
      <c r="F390" s="137">
        <v>1749</v>
      </c>
      <c r="G390" s="137">
        <v>40881</v>
      </c>
    </row>
    <row r="391" spans="1:7" x14ac:dyDescent="0.25">
      <c r="A391" s="136" t="s">
        <v>429</v>
      </c>
      <c r="B391" s="137">
        <v>3850</v>
      </c>
      <c r="C391" s="137">
        <v>1002</v>
      </c>
      <c r="D391" s="137">
        <v>13065</v>
      </c>
      <c r="E391" s="137">
        <v>1313</v>
      </c>
      <c r="F391" s="137">
        <v>579</v>
      </c>
      <c r="G391" s="137">
        <v>19809</v>
      </c>
    </row>
    <row r="392" spans="1:7" ht="30" x14ac:dyDescent="0.25">
      <c r="A392" s="136" t="s">
        <v>430</v>
      </c>
      <c r="B392" s="137">
        <v>538</v>
      </c>
      <c r="C392" s="137">
        <v>153</v>
      </c>
      <c r="D392" s="137">
        <v>1484</v>
      </c>
      <c r="E392" s="137">
        <v>156</v>
      </c>
      <c r="F392" s="137">
        <v>52</v>
      </c>
      <c r="G392" s="137">
        <v>2383</v>
      </c>
    </row>
    <row r="393" spans="1:7" x14ac:dyDescent="0.25">
      <c r="A393" s="136" t="s">
        <v>431</v>
      </c>
      <c r="B393" s="137">
        <v>3394</v>
      </c>
      <c r="C393" s="137">
        <v>645</v>
      </c>
      <c r="D393" s="137">
        <v>11065</v>
      </c>
      <c r="E393" s="137">
        <v>1183</v>
      </c>
      <c r="F393" s="137">
        <v>396</v>
      </c>
      <c r="G393" s="137">
        <v>16683</v>
      </c>
    </row>
    <row r="394" spans="1:7" x14ac:dyDescent="0.25">
      <c r="A394" s="136" t="s">
        <v>432</v>
      </c>
      <c r="B394" s="137">
        <v>503</v>
      </c>
      <c r="C394" s="137">
        <v>121</v>
      </c>
      <c r="D394" s="137">
        <v>916</v>
      </c>
      <c r="E394" s="137">
        <v>56</v>
      </c>
      <c r="F394" s="137">
        <v>57</v>
      </c>
      <c r="G394" s="137">
        <v>1653</v>
      </c>
    </row>
    <row r="395" spans="1:7" x14ac:dyDescent="0.25">
      <c r="A395" s="136" t="s">
        <v>433</v>
      </c>
      <c r="B395" s="137">
        <v>3989</v>
      </c>
      <c r="C395" s="137">
        <v>1109</v>
      </c>
      <c r="D395" s="137">
        <v>10699</v>
      </c>
      <c r="E395" s="137">
        <v>1088</v>
      </c>
      <c r="F395" s="137">
        <v>547</v>
      </c>
      <c r="G395" s="137">
        <v>17432</v>
      </c>
    </row>
    <row r="396" spans="1:7" x14ac:dyDescent="0.25">
      <c r="A396" s="136" t="s">
        <v>434</v>
      </c>
      <c r="B396" s="137">
        <v>16960</v>
      </c>
      <c r="C396" s="137">
        <v>1376</v>
      </c>
      <c r="D396" s="137">
        <v>31494</v>
      </c>
      <c r="E396" s="137">
        <v>2907</v>
      </c>
      <c r="F396" s="137">
        <v>1191</v>
      </c>
      <c r="G396" s="137">
        <v>53928</v>
      </c>
    </row>
    <row r="397" spans="1:7" x14ac:dyDescent="0.25">
      <c r="A397" s="136" t="s">
        <v>435</v>
      </c>
      <c r="B397" s="137">
        <v>1807</v>
      </c>
      <c r="C397" s="137">
        <v>568</v>
      </c>
      <c r="D397" s="137">
        <v>6951</v>
      </c>
      <c r="E397" s="137">
        <v>708</v>
      </c>
      <c r="F397" s="137">
        <v>376</v>
      </c>
      <c r="G397" s="137">
        <v>10410</v>
      </c>
    </row>
    <row r="398" spans="1:7" x14ac:dyDescent="0.25">
      <c r="A398" s="136" t="s">
        <v>436</v>
      </c>
      <c r="B398" s="137">
        <v>534</v>
      </c>
      <c r="C398" s="137">
        <v>159</v>
      </c>
      <c r="D398" s="137">
        <v>1651</v>
      </c>
      <c r="E398" s="137">
        <v>144</v>
      </c>
      <c r="F398" s="137">
        <v>93</v>
      </c>
      <c r="G398" s="137">
        <v>2581</v>
      </c>
    </row>
    <row r="399" spans="1:7" x14ac:dyDescent="0.25">
      <c r="A399" s="136" t="s">
        <v>437</v>
      </c>
      <c r="B399" s="137">
        <v>908</v>
      </c>
      <c r="C399" s="137">
        <v>116</v>
      </c>
      <c r="D399" s="137">
        <v>3571</v>
      </c>
      <c r="E399" s="137">
        <v>301</v>
      </c>
      <c r="F399" s="137">
        <v>81</v>
      </c>
      <c r="G399" s="137">
        <v>4977</v>
      </c>
    </row>
    <row r="400" spans="1:7" x14ac:dyDescent="0.25">
      <c r="A400" s="136" t="s">
        <v>504</v>
      </c>
      <c r="B400" s="137">
        <v>4489</v>
      </c>
      <c r="C400" s="137">
        <v>754</v>
      </c>
      <c r="D400" s="137">
        <v>20266</v>
      </c>
      <c r="E400" s="137">
        <v>2300</v>
      </c>
      <c r="F400" s="137">
        <v>570</v>
      </c>
      <c r="G400" s="137">
        <v>28379</v>
      </c>
    </row>
    <row r="401" spans="1:7" x14ac:dyDescent="0.25">
      <c r="A401" s="184" t="s">
        <v>28</v>
      </c>
      <c r="B401" s="185">
        <v>200819</v>
      </c>
      <c r="C401" s="185">
        <v>55946</v>
      </c>
      <c r="D401" s="185">
        <v>661857</v>
      </c>
      <c r="E401" s="185">
        <v>67870</v>
      </c>
      <c r="F401" s="185">
        <v>31821</v>
      </c>
      <c r="G401" s="185">
        <v>1018313</v>
      </c>
    </row>
    <row r="402" spans="1:7" x14ac:dyDescent="0.25">
      <c r="A402" s="158"/>
      <c r="B402" s="158"/>
      <c r="C402" s="158"/>
      <c r="D402" s="158"/>
      <c r="E402" s="158"/>
      <c r="F402" s="158"/>
      <c r="G402" s="158"/>
    </row>
    <row r="403" spans="1:7" x14ac:dyDescent="0.25">
      <c r="A403" s="158"/>
      <c r="B403" s="158"/>
      <c r="C403" s="158"/>
      <c r="D403" s="158"/>
      <c r="E403" s="158"/>
      <c r="F403" s="158"/>
      <c r="G403" s="158"/>
    </row>
    <row r="404" spans="1:7" x14ac:dyDescent="0.25">
      <c r="A404" s="158"/>
      <c r="B404" s="158"/>
      <c r="C404" s="158"/>
      <c r="D404" s="158"/>
    </row>
    <row r="405" spans="1:7" x14ac:dyDescent="0.25">
      <c r="A405" s="187" t="s">
        <v>523</v>
      </c>
    </row>
    <row r="406" spans="1:7" x14ac:dyDescent="0.25">
      <c r="A406" s="158"/>
      <c r="B406" s="426" t="s">
        <v>492</v>
      </c>
      <c r="C406" s="426"/>
      <c r="D406" s="426"/>
      <c r="E406" s="426"/>
      <c r="F406" s="426"/>
      <c r="G406" s="91"/>
    </row>
    <row r="407" spans="1:7" x14ac:dyDescent="0.25">
      <c r="A407" s="160" t="s">
        <v>537</v>
      </c>
      <c r="B407" s="189" t="s">
        <v>131</v>
      </c>
      <c r="C407" s="189" t="s">
        <v>132</v>
      </c>
      <c r="D407" s="189" t="s">
        <v>133</v>
      </c>
      <c r="E407" s="189" t="s">
        <v>12</v>
      </c>
      <c r="F407" s="189" t="s">
        <v>134</v>
      </c>
      <c r="G407" s="161" t="s">
        <v>28</v>
      </c>
    </row>
    <row r="408" spans="1:7" x14ac:dyDescent="0.25">
      <c r="A408" s="157" t="s">
        <v>439</v>
      </c>
      <c r="B408" s="183">
        <v>226</v>
      </c>
      <c r="C408" s="183">
        <v>107</v>
      </c>
      <c r="D408" s="183">
        <v>602</v>
      </c>
      <c r="E408" s="183">
        <v>52</v>
      </c>
      <c r="F408" s="183">
        <v>53</v>
      </c>
      <c r="G408" s="183">
        <v>1040</v>
      </c>
    </row>
    <row r="409" spans="1:7" x14ac:dyDescent="0.25">
      <c r="A409" s="136" t="s">
        <v>440</v>
      </c>
      <c r="B409" s="137">
        <v>724</v>
      </c>
      <c r="C409" s="137">
        <v>326</v>
      </c>
      <c r="D409" s="137">
        <v>1324</v>
      </c>
      <c r="E409" s="137">
        <v>100</v>
      </c>
      <c r="F409" s="137">
        <v>126</v>
      </c>
      <c r="G409" s="137">
        <v>2600</v>
      </c>
    </row>
    <row r="410" spans="1:7" x14ac:dyDescent="0.25">
      <c r="A410" s="136" t="s">
        <v>441</v>
      </c>
      <c r="B410" s="137">
        <v>1687</v>
      </c>
      <c r="C410" s="137">
        <v>741</v>
      </c>
      <c r="D410" s="137">
        <v>4915</v>
      </c>
      <c r="E410" s="137">
        <v>486</v>
      </c>
      <c r="F410" s="137">
        <v>523</v>
      </c>
      <c r="G410" s="137">
        <v>8352</v>
      </c>
    </row>
    <row r="411" spans="1:7" x14ac:dyDescent="0.25">
      <c r="A411" s="136" t="s">
        <v>442</v>
      </c>
      <c r="B411" s="137">
        <v>579</v>
      </c>
      <c r="C411" s="137">
        <v>267</v>
      </c>
      <c r="D411" s="137">
        <v>973</v>
      </c>
      <c r="E411" s="137">
        <v>60</v>
      </c>
      <c r="F411" s="137">
        <v>114</v>
      </c>
      <c r="G411" s="137">
        <v>1993</v>
      </c>
    </row>
    <row r="412" spans="1:7" x14ac:dyDescent="0.25">
      <c r="A412" s="136" t="s">
        <v>443</v>
      </c>
      <c r="B412" s="137">
        <v>842</v>
      </c>
      <c r="C412" s="137">
        <v>362</v>
      </c>
      <c r="D412" s="137">
        <v>1910</v>
      </c>
      <c r="E412" s="137">
        <v>134</v>
      </c>
      <c r="F412" s="137">
        <v>206</v>
      </c>
      <c r="G412" s="137">
        <v>3454</v>
      </c>
    </row>
    <row r="413" spans="1:7" x14ac:dyDescent="0.25">
      <c r="A413" s="136" t="s">
        <v>444</v>
      </c>
      <c r="B413" s="137">
        <v>891</v>
      </c>
      <c r="C413" s="137">
        <v>422</v>
      </c>
      <c r="D413" s="137">
        <v>2228</v>
      </c>
      <c r="E413" s="137">
        <v>180</v>
      </c>
      <c r="F413" s="137">
        <v>191</v>
      </c>
      <c r="G413" s="137">
        <v>3912</v>
      </c>
    </row>
    <row r="414" spans="1:7" x14ac:dyDescent="0.25">
      <c r="A414" s="136" t="s">
        <v>445</v>
      </c>
      <c r="B414" s="137">
        <v>284</v>
      </c>
      <c r="C414" s="137">
        <v>151</v>
      </c>
      <c r="D414" s="137">
        <v>888</v>
      </c>
      <c r="E414" s="137">
        <v>75</v>
      </c>
      <c r="F414" s="137">
        <v>88</v>
      </c>
      <c r="G414" s="137">
        <v>1486</v>
      </c>
    </row>
    <row r="415" spans="1:7" x14ac:dyDescent="0.25">
      <c r="A415" s="136" t="s">
        <v>446</v>
      </c>
      <c r="B415" s="137">
        <v>1037</v>
      </c>
      <c r="C415" s="137">
        <v>554</v>
      </c>
      <c r="D415" s="137">
        <v>2425</v>
      </c>
      <c r="E415" s="137">
        <v>185</v>
      </c>
      <c r="F415" s="137">
        <v>267</v>
      </c>
      <c r="G415" s="137">
        <v>4468</v>
      </c>
    </row>
    <row r="416" spans="1:7" x14ac:dyDescent="0.25">
      <c r="A416" s="136" t="s">
        <v>447</v>
      </c>
      <c r="B416" s="137">
        <v>1809</v>
      </c>
      <c r="C416" s="137">
        <v>813</v>
      </c>
      <c r="D416" s="137">
        <v>3090</v>
      </c>
      <c r="E416" s="137">
        <v>231</v>
      </c>
      <c r="F416" s="137">
        <v>351</v>
      </c>
      <c r="G416" s="137">
        <v>6294</v>
      </c>
    </row>
    <row r="417" spans="1:7" x14ac:dyDescent="0.25">
      <c r="A417" s="136" t="s">
        <v>448</v>
      </c>
      <c r="B417" s="137">
        <v>1790</v>
      </c>
      <c r="C417" s="137">
        <v>739</v>
      </c>
      <c r="D417" s="137">
        <v>3776</v>
      </c>
      <c r="E417" s="137">
        <v>271</v>
      </c>
      <c r="F417" s="137">
        <v>422</v>
      </c>
      <c r="G417" s="137">
        <v>6998</v>
      </c>
    </row>
    <row r="418" spans="1:7" ht="30" x14ac:dyDescent="0.25">
      <c r="A418" s="136" t="s">
        <v>449</v>
      </c>
      <c r="B418" s="137">
        <v>896</v>
      </c>
      <c r="C418" s="137">
        <v>452</v>
      </c>
      <c r="D418" s="137">
        <v>2025</v>
      </c>
      <c r="E418" s="137">
        <v>166</v>
      </c>
      <c r="F418" s="137">
        <v>265</v>
      </c>
      <c r="G418" s="137">
        <v>3804</v>
      </c>
    </row>
    <row r="419" spans="1:7" x14ac:dyDescent="0.25">
      <c r="A419" s="136" t="s">
        <v>450</v>
      </c>
      <c r="B419" s="137">
        <v>4880</v>
      </c>
      <c r="C419" s="137">
        <v>2381</v>
      </c>
      <c r="D419" s="137">
        <v>16808</v>
      </c>
      <c r="E419" s="137">
        <v>2172</v>
      </c>
      <c r="F419" s="137">
        <v>1537</v>
      </c>
      <c r="G419" s="137">
        <v>27778</v>
      </c>
    </row>
    <row r="420" spans="1:7" x14ac:dyDescent="0.25">
      <c r="A420" s="184" t="s">
        <v>28</v>
      </c>
      <c r="B420" s="185">
        <v>15645</v>
      </c>
      <c r="C420" s="185">
        <v>7315</v>
      </c>
      <c r="D420" s="185">
        <v>40964</v>
      </c>
      <c r="E420" s="185">
        <v>4112</v>
      </c>
      <c r="F420" s="185">
        <v>4143</v>
      </c>
      <c r="G420" s="185">
        <v>72179</v>
      </c>
    </row>
    <row r="421" spans="1:7" x14ac:dyDescent="0.25">
      <c r="A421" s="158"/>
      <c r="B421" s="158"/>
      <c r="C421" s="158"/>
      <c r="D421" s="158"/>
      <c r="E421" s="158"/>
      <c r="F421" s="158"/>
      <c r="G421" s="158"/>
    </row>
    <row r="422" spans="1:7" x14ac:dyDescent="0.25">
      <c r="A422" s="158"/>
      <c r="B422" s="158"/>
      <c r="C422" s="158"/>
      <c r="D422" s="158"/>
      <c r="E422" s="158"/>
      <c r="F422" s="158"/>
      <c r="G422" s="158"/>
    </row>
    <row r="423" spans="1:7" x14ac:dyDescent="0.25">
      <c r="A423" s="158"/>
      <c r="B423" s="158"/>
      <c r="C423" s="158"/>
      <c r="D423" s="158"/>
    </row>
    <row r="424" spans="1:7" x14ac:dyDescent="0.25">
      <c r="A424" s="187" t="s">
        <v>524</v>
      </c>
    </row>
    <row r="425" spans="1:7" x14ac:dyDescent="0.25">
      <c r="A425" s="158"/>
      <c r="B425" s="426" t="s">
        <v>492</v>
      </c>
      <c r="C425" s="426"/>
      <c r="D425" s="426"/>
      <c r="E425" s="426"/>
      <c r="F425" s="426"/>
      <c r="G425" s="91"/>
    </row>
    <row r="426" spans="1:7" x14ac:dyDescent="0.25">
      <c r="A426" s="160" t="s">
        <v>537</v>
      </c>
      <c r="B426" s="189" t="s">
        <v>131</v>
      </c>
      <c r="C426" s="189" t="s">
        <v>132</v>
      </c>
      <c r="D426" s="189" t="s">
        <v>133</v>
      </c>
      <c r="E426" s="189" t="s">
        <v>12</v>
      </c>
      <c r="F426" s="189" t="s">
        <v>134</v>
      </c>
      <c r="G426" s="161" t="s">
        <v>28</v>
      </c>
    </row>
    <row r="427" spans="1:7" x14ac:dyDescent="0.25">
      <c r="A427" s="157" t="s">
        <v>451</v>
      </c>
      <c r="B427" s="183">
        <v>6450</v>
      </c>
      <c r="C427" s="183">
        <v>2252</v>
      </c>
      <c r="D427" s="183">
        <v>21942</v>
      </c>
      <c r="E427" s="183">
        <v>2414</v>
      </c>
      <c r="F427" s="183">
        <v>1227</v>
      </c>
      <c r="G427" s="183">
        <v>34285</v>
      </c>
    </row>
    <row r="428" spans="1:7" x14ac:dyDescent="0.25">
      <c r="A428" s="136" t="s">
        <v>452</v>
      </c>
      <c r="B428" s="137">
        <v>26</v>
      </c>
      <c r="C428" s="137">
        <v>4</v>
      </c>
      <c r="D428" s="137">
        <v>40</v>
      </c>
      <c r="E428" s="137">
        <v>4</v>
      </c>
      <c r="F428" s="137">
        <v>1</v>
      </c>
      <c r="G428" s="137">
        <v>75</v>
      </c>
    </row>
    <row r="429" spans="1:7" x14ac:dyDescent="0.25">
      <c r="A429" s="136" t="s">
        <v>453</v>
      </c>
      <c r="B429" s="137">
        <v>36</v>
      </c>
      <c r="C429" s="137">
        <v>8</v>
      </c>
      <c r="D429" s="137">
        <v>18</v>
      </c>
      <c r="E429" s="137">
        <v>0</v>
      </c>
      <c r="F429" s="137">
        <v>0</v>
      </c>
      <c r="G429" s="137">
        <v>62</v>
      </c>
    </row>
    <row r="430" spans="1:7" x14ac:dyDescent="0.25">
      <c r="A430" s="136" t="s">
        <v>454</v>
      </c>
      <c r="B430" s="137">
        <v>89</v>
      </c>
      <c r="C430" s="137">
        <v>19</v>
      </c>
      <c r="D430" s="137">
        <v>97</v>
      </c>
      <c r="E430" s="137">
        <v>11</v>
      </c>
      <c r="F430" s="137">
        <v>2</v>
      </c>
      <c r="G430" s="137">
        <v>218</v>
      </c>
    </row>
    <row r="431" spans="1:7" x14ac:dyDescent="0.25">
      <c r="A431" s="184" t="s">
        <v>28</v>
      </c>
      <c r="B431" s="185">
        <v>6601</v>
      </c>
      <c r="C431" s="185">
        <v>2283</v>
      </c>
      <c r="D431" s="185">
        <v>22097</v>
      </c>
      <c r="E431" s="185">
        <v>2429</v>
      </c>
      <c r="F431" s="185">
        <v>1230</v>
      </c>
      <c r="G431" s="185">
        <v>34640</v>
      </c>
    </row>
    <row r="432" spans="1:7" x14ac:dyDescent="0.25">
      <c r="A432" s="158"/>
      <c r="B432" s="158"/>
      <c r="C432" s="158"/>
      <c r="D432" s="158"/>
      <c r="E432" s="158"/>
      <c r="F432" s="158"/>
      <c r="G432" s="158"/>
    </row>
    <row r="433" spans="1:7" x14ac:dyDescent="0.25">
      <c r="A433" s="158"/>
      <c r="B433" s="158"/>
      <c r="C433" s="158"/>
      <c r="D433" s="158"/>
      <c r="E433" s="158"/>
      <c r="F433" s="158"/>
      <c r="G433" s="158"/>
    </row>
    <row r="434" spans="1:7" x14ac:dyDescent="0.25">
      <c r="A434" s="158"/>
      <c r="B434" s="158"/>
      <c r="C434" s="158"/>
      <c r="D434" s="158"/>
    </row>
    <row r="435" spans="1:7" x14ac:dyDescent="0.25">
      <c r="A435" s="187" t="s">
        <v>525</v>
      </c>
    </row>
    <row r="436" spans="1:7" x14ac:dyDescent="0.25">
      <c r="A436" s="158"/>
      <c r="B436" s="426" t="s">
        <v>492</v>
      </c>
      <c r="C436" s="426"/>
      <c r="D436" s="426"/>
      <c r="E436" s="426"/>
      <c r="F436" s="426"/>
      <c r="G436" s="91"/>
    </row>
    <row r="437" spans="1:7" x14ac:dyDescent="0.25">
      <c r="A437" s="160" t="s">
        <v>537</v>
      </c>
      <c r="B437" s="189" t="s">
        <v>131</v>
      </c>
      <c r="C437" s="189" t="s">
        <v>132</v>
      </c>
      <c r="D437" s="189" t="s">
        <v>133</v>
      </c>
      <c r="E437" s="189" t="s">
        <v>12</v>
      </c>
      <c r="F437" s="189" t="s">
        <v>134</v>
      </c>
      <c r="G437" s="161" t="s">
        <v>28</v>
      </c>
    </row>
    <row r="438" spans="1:7" x14ac:dyDescent="0.25">
      <c r="A438" s="157" t="s">
        <v>455</v>
      </c>
      <c r="B438" s="183">
        <v>985</v>
      </c>
      <c r="C438" s="183">
        <v>502</v>
      </c>
      <c r="D438" s="183">
        <v>2673</v>
      </c>
      <c r="E438" s="183">
        <v>212</v>
      </c>
      <c r="F438" s="183">
        <v>238</v>
      </c>
      <c r="G438" s="183">
        <v>4610</v>
      </c>
    </row>
    <row r="439" spans="1:7" x14ac:dyDescent="0.25">
      <c r="A439" s="136" t="s">
        <v>456</v>
      </c>
      <c r="B439" s="137">
        <v>6694</v>
      </c>
      <c r="C439" s="137">
        <v>3574</v>
      </c>
      <c r="D439" s="137">
        <v>20869</v>
      </c>
      <c r="E439" s="137">
        <v>2268</v>
      </c>
      <c r="F439" s="137">
        <v>2418</v>
      </c>
      <c r="G439" s="137">
        <v>35823</v>
      </c>
    </row>
    <row r="440" spans="1:7" x14ac:dyDescent="0.25">
      <c r="A440" s="136" t="s">
        <v>457</v>
      </c>
      <c r="B440" s="137">
        <v>807</v>
      </c>
      <c r="C440" s="137">
        <v>440</v>
      </c>
      <c r="D440" s="137">
        <v>2210</v>
      </c>
      <c r="E440" s="137">
        <v>240</v>
      </c>
      <c r="F440" s="137">
        <v>311</v>
      </c>
      <c r="G440" s="137">
        <v>4008</v>
      </c>
    </row>
    <row r="441" spans="1:7" x14ac:dyDescent="0.25">
      <c r="A441" s="136" t="s">
        <v>458</v>
      </c>
      <c r="B441" s="137">
        <v>401</v>
      </c>
      <c r="C441" s="137">
        <v>146</v>
      </c>
      <c r="D441" s="137">
        <v>540</v>
      </c>
      <c r="E441" s="137">
        <v>31</v>
      </c>
      <c r="F441" s="137">
        <v>54</v>
      </c>
      <c r="G441" s="137">
        <v>1172</v>
      </c>
    </row>
    <row r="442" spans="1:7" x14ac:dyDescent="0.25">
      <c r="A442" s="136" t="s">
        <v>459</v>
      </c>
      <c r="B442" s="137">
        <v>876</v>
      </c>
      <c r="C442" s="137">
        <v>426</v>
      </c>
      <c r="D442" s="137">
        <v>2241</v>
      </c>
      <c r="E442" s="137">
        <v>176</v>
      </c>
      <c r="F442" s="137">
        <v>178</v>
      </c>
      <c r="G442" s="137">
        <v>3897</v>
      </c>
    </row>
    <row r="443" spans="1:7" x14ac:dyDescent="0.25">
      <c r="A443" s="136" t="s">
        <v>460</v>
      </c>
      <c r="B443" s="137">
        <v>1042</v>
      </c>
      <c r="C443" s="137">
        <v>680</v>
      </c>
      <c r="D443" s="137">
        <v>2207</v>
      </c>
      <c r="E443" s="137">
        <v>128</v>
      </c>
      <c r="F443" s="137">
        <v>313</v>
      </c>
      <c r="G443" s="137">
        <v>4370</v>
      </c>
    </row>
    <row r="444" spans="1:7" x14ac:dyDescent="0.25">
      <c r="A444" s="136" t="s">
        <v>461</v>
      </c>
      <c r="B444" s="137">
        <v>833</v>
      </c>
      <c r="C444" s="137">
        <v>479</v>
      </c>
      <c r="D444" s="137">
        <v>1153</v>
      </c>
      <c r="E444" s="137">
        <v>57</v>
      </c>
      <c r="F444" s="137">
        <v>181</v>
      </c>
      <c r="G444" s="137">
        <v>2703</v>
      </c>
    </row>
    <row r="445" spans="1:7" x14ac:dyDescent="0.25">
      <c r="A445" s="136" t="s">
        <v>462</v>
      </c>
      <c r="B445" s="137">
        <v>374</v>
      </c>
      <c r="C445" s="137">
        <v>255</v>
      </c>
      <c r="D445" s="137">
        <v>599</v>
      </c>
      <c r="E445" s="137">
        <v>49</v>
      </c>
      <c r="F445" s="137">
        <v>107</v>
      </c>
      <c r="G445" s="137">
        <v>1384</v>
      </c>
    </row>
    <row r="446" spans="1:7" x14ac:dyDescent="0.25">
      <c r="A446" s="136" t="s">
        <v>463</v>
      </c>
      <c r="B446" s="137">
        <v>403</v>
      </c>
      <c r="C446" s="137">
        <v>270</v>
      </c>
      <c r="D446" s="137">
        <v>843</v>
      </c>
      <c r="E446" s="137">
        <v>49</v>
      </c>
      <c r="F446" s="137">
        <v>121</v>
      </c>
      <c r="G446" s="137">
        <v>1686</v>
      </c>
    </row>
    <row r="447" spans="1:7" x14ac:dyDescent="0.25">
      <c r="A447" s="136" t="s">
        <v>464</v>
      </c>
      <c r="B447" s="137">
        <v>613</v>
      </c>
      <c r="C447" s="137">
        <v>319</v>
      </c>
      <c r="D447" s="137">
        <v>1171</v>
      </c>
      <c r="E447" s="137">
        <v>78</v>
      </c>
      <c r="F447" s="137">
        <v>135</v>
      </c>
      <c r="G447" s="137">
        <v>2316</v>
      </c>
    </row>
    <row r="448" spans="1:7" x14ac:dyDescent="0.25">
      <c r="A448" s="136" t="s">
        <v>465</v>
      </c>
      <c r="B448" s="137">
        <v>313</v>
      </c>
      <c r="C448" s="137">
        <v>164</v>
      </c>
      <c r="D448" s="137">
        <v>671</v>
      </c>
      <c r="E448" s="137">
        <v>32</v>
      </c>
      <c r="F448" s="137">
        <v>98</v>
      </c>
      <c r="G448" s="137">
        <v>1278</v>
      </c>
    </row>
    <row r="449" spans="1:7" x14ac:dyDescent="0.25">
      <c r="A449" s="136" t="s">
        <v>466</v>
      </c>
      <c r="B449" s="137">
        <v>1081</v>
      </c>
      <c r="C449" s="137">
        <v>390</v>
      </c>
      <c r="D449" s="137">
        <v>2292</v>
      </c>
      <c r="E449" s="137">
        <v>173</v>
      </c>
      <c r="F449" s="137">
        <v>139</v>
      </c>
      <c r="G449" s="137">
        <v>4075</v>
      </c>
    </row>
    <row r="450" spans="1:7" x14ac:dyDescent="0.25">
      <c r="A450" s="136" t="s">
        <v>467</v>
      </c>
      <c r="B450" s="137">
        <v>567</v>
      </c>
      <c r="C450" s="137">
        <v>308</v>
      </c>
      <c r="D450" s="137">
        <v>1564</v>
      </c>
      <c r="E450" s="137">
        <v>152</v>
      </c>
      <c r="F450" s="137">
        <v>144</v>
      </c>
      <c r="G450" s="137">
        <v>2735</v>
      </c>
    </row>
    <row r="451" spans="1:7" x14ac:dyDescent="0.25">
      <c r="A451" s="136" t="s">
        <v>468</v>
      </c>
      <c r="B451" s="137">
        <v>336</v>
      </c>
      <c r="C451" s="137">
        <v>175</v>
      </c>
      <c r="D451" s="137">
        <v>888</v>
      </c>
      <c r="E451" s="137">
        <v>69</v>
      </c>
      <c r="F451" s="137">
        <v>64</v>
      </c>
      <c r="G451" s="137">
        <v>1532</v>
      </c>
    </row>
    <row r="452" spans="1:7" x14ac:dyDescent="0.25">
      <c r="A452" s="136" t="s">
        <v>469</v>
      </c>
      <c r="B452" s="137">
        <v>2395</v>
      </c>
      <c r="C452" s="137">
        <v>1246</v>
      </c>
      <c r="D452" s="137">
        <v>6747</v>
      </c>
      <c r="E452" s="137">
        <v>469</v>
      </c>
      <c r="F452" s="137">
        <v>805</v>
      </c>
      <c r="G452" s="137">
        <v>11662</v>
      </c>
    </row>
    <row r="453" spans="1:7" x14ac:dyDescent="0.25">
      <c r="A453" s="136" t="s">
        <v>470</v>
      </c>
      <c r="B453" s="137">
        <v>200</v>
      </c>
      <c r="C453" s="137">
        <v>98</v>
      </c>
      <c r="D453" s="137">
        <v>537</v>
      </c>
      <c r="E453" s="137">
        <v>37</v>
      </c>
      <c r="F453" s="137">
        <v>43</v>
      </c>
      <c r="G453" s="137">
        <v>915</v>
      </c>
    </row>
    <row r="454" spans="1:7" x14ac:dyDescent="0.25">
      <c r="A454" s="136" t="s">
        <v>471</v>
      </c>
      <c r="B454" s="137">
        <v>1050</v>
      </c>
      <c r="C454" s="137">
        <v>627</v>
      </c>
      <c r="D454" s="137">
        <v>1608</v>
      </c>
      <c r="E454" s="137">
        <v>119</v>
      </c>
      <c r="F454" s="137">
        <v>281</v>
      </c>
      <c r="G454" s="137">
        <v>3685</v>
      </c>
    </row>
    <row r="455" spans="1:7" x14ac:dyDescent="0.25">
      <c r="A455" s="136" t="s">
        <v>472</v>
      </c>
      <c r="B455" s="137">
        <v>536</v>
      </c>
      <c r="C455" s="137">
        <v>281</v>
      </c>
      <c r="D455" s="137">
        <v>1189</v>
      </c>
      <c r="E455" s="137">
        <v>83</v>
      </c>
      <c r="F455" s="137">
        <v>167</v>
      </c>
      <c r="G455" s="137">
        <v>2256</v>
      </c>
    </row>
    <row r="456" spans="1:7" x14ac:dyDescent="0.25">
      <c r="A456" s="136" t="s">
        <v>473</v>
      </c>
      <c r="B456" s="137">
        <v>326</v>
      </c>
      <c r="C456" s="137">
        <v>167</v>
      </c>
      <c r="D456" s="137">
        <v>670</v>
      </c>
      <c r="E456" s="137">
        <v>38</v>
      </c>
      <c r="F456" s="137">
        <v>70</v>
      </c>
      <c r="G456" s="137">
        <v>1271</v>
      </c>
    </row>
    <row r="457" spans="1:7" x14ac:dyDescent="0.25">
      <c r="A457" s="136" t="s">
        <v>474</v>
      </c>
      <c r="B457" s="137">
        <v>805</v>
      </c>
      <c r="C457" s="137">
        <v>342</v>
      </c>
      <c r="D457" s="137">
        <v>2227</v>
      </c>
      <c r="E457" s="137">
        <v>212</v>
      </c>
      <c r="F457" s="137">
        <v>158</v>
      </c>
      <c r="G457" s="137">
        <v>3744</v>
      </c>
    </row>
    <row r="458" spans="1:7" x14ac:dyDescent="0.25">
      <c r="A458" s="136" t="s">
        <v>475</v>
      </c>
      <c r="B458" s="137">
        <v>758</v>
      </c>
      <c r="C458" s="137">
        <v>389</v>
      </c>
      <c r="D458" s="137">
        <v>1418</v>
      </c>
      <c r="E458" s="137">
        <v>73</v>
      </c>
      <c r="F458" s="137">
        <v>147</v>
      </c>
      <c r="G458" s="137">
        <v>2785</v>
      </c>
    </row>
    <row r="459" spans="1:7" x14ac:dyDescent="0.25">
      <c r="A459" s="184" t="s">
        <v>28</v>
      </c>
      <c r="B459" s="185">
        <v>21395</v>
      </c>
      <c r="C459" s="185">
        <v>11278</v>
      </c>
      <c r="D459" s="185">
        <v>54317</v>
      </c>
      <c r="E459" s="185">
        <v>4745</v>
      </c>
      <c r="F459" s="185">
        <v>6172</v>
      </c>
      <c r="G459" s="185">
        <v>97907</v>
      </c>
    </row>
  </sheetData>
  <mergeCells count="16">
    <mergeCell ref="B347:F347"/>
    <mergeCell ref="B406:F406"/>
    <mergeCell ref="B425:F425"/>
    <mergeCell ref="B436:F436"/>
    <mergeCell ref="B157:F157"/>
    <mergeCell ref="B194:F194"/>
    <mergeCell ref="B234:F234"/>
    <mergeCell ref="B274:F274"/>
    <mergeCell ref="B312:F312"/>
    <mergeCell ref="B329:F329"/>
    <mergeCell ref="B117:F117"/>
    <mergeCell ref="B6:F6"/>
    <mergeCell ref="B20:F20"/>
    <mergeCell ref="B35:F35"/>
    <mergeCell ref="B50:F50"/>
    <mergeCell ref="B72:F72"/>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 workbookViewId="1"/>
  </sheetViews>
  <sheetFormatPr baseColWidth="10" defaultRowHeight="15" x14ac:dyDescent="0.25"/>
  <sheetData>
    <row r="3" spans="1:7" ht="45" x14ac:dyDescent="0.25">
      <c r="A3" s="136" t="s">
        <v>506</v>
      </c>
      <c r="B3" s="136" t="s">
        <v>507</v>
      </c>
      <c r="C3" s="136">
        <v>1</v>
      </c>
      <c r="D3" s="154"/>
      <c r="E3" s="154"/>
      <c r="F3" s="155"/>
    </row>
    <row r="4" spans="1:7" x14ac:dyDescent="0.25">
      <c r="A4" s="136"/>
      <c r="B4" s="136"/>
      <c r="C4" s="136"/>
      <c r="D4" s="136"/>
      <c r="F4" s="143"/>
    </row>
    <row r="5" spans="1:7" ht="30" x14ac:dyDescent="0.25">
      <c r="A5" s="136"/>
      <c r="B5" s="136"/>
      <c r="C5" s="136" t="s">
        <v>505</v>
      </c>
      <c r="D5" s="136"/>
      <c r="F5" s="143"/>
    </row>
    <row r="6" spans="1:7" x14ac:dyDescent="0.25">
      <c r="A6" s="136" t="s">
        <v>130</v>
      </c>
      <c r="B6" s="136" t="s">
        <v>484</v>
      </c>
      <c r="C6" s="136" t="s">
        <v>485</v>
      </c>
      <c r="D6" s="136" t="s">
        <v>486</v>
      </c>
      <c r="E6" s="136" t="s">
        <v>487</v>
      </c>
      <c r="F6" s="136" t="s">
        <v>488</v>
      </c>
      <c r="G6" s="136" t="s">
        <v>28</v>
      </c>
    </row>
    <row r="7" spans="1:7" x14ac:dyDescent="0.25">
      <c r="A7" s="136"/>
      <c r="B7" s="136"/>
      <c r="C7" s="136"/>
      <c r="G7" s="143"/>
    </row>
    <row r="8" spans="1:7" ht="30" x14ac:dyDescent="0.25">
      <c r="A8" s="136" t="s">
        <v>135</v>
      </c>
      <c r="B8" s="136">
        <v>32</v>
      </c>
      <c r="C8" s="146">
        <v>8631</v>
      </c>
      <c r="D8" s="136">
        <v>1</v>
      </c>
      <c r="E8" s="146">
        <v>1938</v>
      </c>
      <c r="F8" s="136">
        <v>329</v>
      </c>
      <c r="G8" s="146">
        <v>10931</v>
      </c>
    </row>
    <row r="9" spans="1:7" x14ac:dyDescent="0.25">
      <c r="A9" s="136" t="s">
        <v>141</v>
      </c>
      <c r="B9" s="136">
        <v>0</v>
      </c>
      <c r="C9" s="136">
        <v>192</v>
      </c>
      <c r="D9">
        <v>0</v>
      </c>
      <c r="E9" s="136">
        <v>38</v>
      </c>
      <c r="F9" s="136">
        <v>4</v>
      </c>
      <c r="G9" s="136">
        <v>234</v>
      </c>
    </row>
    <row r="10" spans="1:7" x14ac:dyDescent="0.25">
      <c r="A10" s="136" t="s">
        <v>136</v>
      </c>
      <c r="B10" s="136">
        <v>2</v>
      </c>
      <c r="C10" s="136">
        <v>137</v>
      </c>
      <c r="D10">
        <v>0</v>
      </c>
      <c r="E10" s="136">
        <v>25</v>
      </c>
      <c r="F10" s="136">
        <v>3</v>
      </c>
      <c r="G10" s="136">
        <v>167</v>
      </c>
    </row>
    <row r="11" spans="1:7" x14ac:dyDescent="0.25">
      <c r="A11" s="136" t="s">
        <v>137</v>
      </c>
      <c r="B11" s="136">
        <v>6</v>
      </c>
      <c r="C11" s="136">
        <v>476</v>
      </c>
      <c r="D11" s="136">
        <v>1</v>
      </c>
      <c r="E11" s="136">
        <v>103</v>
      </c>
      <c r="F11" s="136">
        <v>14</v>
      </c>
      <c r="G11" s="136">
        <v>600</v>
      </c>
    </row>
    <row r="12" spans="1:7" x14ac:dyDescent="0.25">
      <c r="A12" s="136" t="s">
        <v>138</v>
      </c>
      <c r="B12" s="136">
        <v>90</v>
      </c>
      <c r="C12" s="146">
        <v>26648</v>
      </c>
      <c r="D12" s="136">
        <v>11</v>
      </c>
      <c r="E12" s="146">
        <v>6786</v>
      </c>
      <c r="F12" s="136">
        <v>678</v>
      </c>
      <c r="G12" s="146">
        <v>34213</v>
      </c>
    </row>
    <row r="13" spans="1:7" x14ac:dyDescent="0.25">
      <c r="A13" s="136" t="s">
        <v>139</v>
      </c>
      <c r="B13" s="136">
        <v>2</v>
      </c>
      <c r="C13" s="136">
        <v>876</v>
      </c>
      <c r="D13" s="167">
        <v>0</v>
      </c>
      <c r="E13" s="136">
        <v>200</v>
      </c>
      <c r="F13" s="136">
        <v>26</v>
      </c>
      <c r="G13" s="146">
        <v>1104</v>
      </c>
    </row>
    <row r="14" spans="1:7" ht="30" x14ac:dyDescent="0.25">
      <c r="A14" s="136" t="s">
        <v>140</v>
      </c>
      <c r="B14" s="136">
        <v>9</v>
      </c>
      <c r="C14" s="146">
        <v>1589</v>
      </c>
      <c r="D14" s="167">
        <v>0</v>
      </c>
      <c r="E14" s="136">
        <v>403</v>
      </c>
      <c r="F14" s="136">
        <v>50</v>
      </c>
      <c r="G14" s="146">
        <v>2051</v>
      </c>
    </row>
    <row r="15" spans="1:7" x14ac:dyDescent="0.25">
      <c r="A15" s="136" t="s">
        <v>28</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142</v>
      </c>
      <c r="B21" s="154"/>
      <c r="C21" s="154"/>
      <c r="D21" s="154"/>
      <c r="E21" s="154"/>
      <c r="F21" s="155"/>
    </row>
    <row r="22" spans="1:8" x14ac:dyDescent="0.25">
      <c r="A22" s="136"/>
      <c r="B22" s="136"/>
      <c r="C22" s="136"/>
      <c r="F22" s="143"/>
    </row>
    <row r="23" spans="1:8" ht="30" x14ac:dyDescent="0.25">
      <c r="A23" s="136"/>
      <c r="B23" s="136" t="s">
        <v>505</v>
      </c>
      <c r="C23" s="136"/>
      <c r="F23" s="143"/>
    </row>
    <row r="24" spans="1:8" x14ac:dyDescent="0.25">
      <c r="A24" s="136" t="s">
        <v>130</v>
      </c>
      <c r="B24" s="136" t="s">
        <v>484</v>
      </c>
      <c r="C24" s="136" t="s">
        <v>485</v>
      </c>
      <c r="D24" s="136" t="s">
        <v>486</v>
      </c>
      <c r="E24" s="136" t="s">
        <v>487</v>
      </c>
      <c r="F24" s="136" t="s">
        <v>488</v>
      </c>
      <c r="G24" s="136" t="s">
        <v>28</v>
      </c>
    </row>
    <row r="25" spans="1:8" x14ac:dyDescent="0.25">
      <c r="A25" s="136"/>
      <c r="B25" s="136"/>
      <c r="C25" s="136"/>
      <c r="G25" s="143"/>
    </row>
    <row r="26" spans="1:8" ht="30" x14ac:dyDescent="0.25">
      <c r="A26" s="136" t="s">
        <v>143</v>
      </c>
      <c r="B26" s="136">
        <v>137</v>
      </c>
      <c r="C26" s="146">
        <v>41859</v>
      </c>
      <c r="D26" s="136">
        <v>18</v>
      </c>
      <c r="E26" s="146">
        <v>10946</v>
      </c>
      <c r="F26" s="146">
        <v>1282</v>
      </c>
      <c r="G26" s="146">
        <v>54242</v>
      </c>
    </row>
    <row r="27" spans="1:8" x14ac:dyDescent="0.25">
      <c r="A27" s="136" t="s">
        <v>144</v>
      </c>
      <c r="B27" s="136">
        <v>30</v>
      </c>
      <c r="C27" s="146">
        <v>14670</v>
      </c>
      <c r="D27" s="136">
        <v>8</v>
      </c>
      <c r="E27" s="146">
        <v>3983</v>
      </c>
      <c r="F27" s="136">
        <v>498</v>
      </c>
      <c r="G27" s="146">
        <v>19189</v>
      </c>
    </row>
    <row r="28" spans="1:8" ht="30" x14ac:dyDescent="0.25">
      <c r="A28" s="136" t="s">
        <v>145</v>
      </c>
      <c r="B28">
        <v>0</v>
      </c>
      <c r="C28" s="136">
        <v>414</v>
      </c>
      <c r="D28">
        <v>0</v>
      </c>
      <c r="E28" s="136">
        <v>130</v>
      </c>
      <c r="F28" s="136">
        <v>12</v>
      </c>
      <c r="G28" s="136">
        <v>556</v>
      </c>
    </row>
    <row r="29" spans="1:8" ht="30" x14ac:dyDescent="0.25">
      <c r="A29" s="136" t="s">
        <v>146</v>
      </c>
      <c r="B29" s="136">
        <v>3</v>
      </c>
      <c r="C29" s="146">
        <v>1165</v>
      </c>
      <c r="D29" s="136">
        <v>1</v>
      </c>
      <c r="E29" s="136">
        <v>377</v>
      </c>
      <c r="F29" s="136">
        <v>59</v>
      </c>
      <c r="G29" s="146">
        <v>1605</v>
      </c>
    </row>
    <row r="30" spans="1:8" x14ac:dyDescent="0.25">
      <c r="A30" s="136" t="s">
        <v>147</v>
      </c>
      <c r="B30" s="136">
        <v>0</v>
      </c>
      <c r="C30" s="136">
        <v>37</v>
      </c>
      <c r="D30" s="168">
        <v>0</v>
      </c>
      <c r="E30" s="136">
        <v>5</v>
      </c>
      <c r="F30" s="136">
        <v>1</v>
      </c>
      <c r="G30" s="136">
        <v>43</v>
      </c>
      <c r="H30" s="143"/>
    </row>
    <row r="31" spans="1:8" ht="45" x14ac:dyDescent="0.25">
      <c r="A31" s="136" t="s">
        <v>148</v>
      </c>
      <c r="B31" s="136">
        <v>1</v>
      </c>
      <c r="C31" s="136">
        <v>680</v>
      </c>
      <c r="D31" s="168">
        <v>0</v>
      </c>
      <c r="E31" s="136">
        <v>145</v>
      </c>
      <c r="F31" s="136">
        <v>25</v>
      </c>
      <c r="G31" s="136">
        <v>851</v>
      </c>
    </row>
    <row r="32" spans="1:8" ht="30" x14ac:dyDescent="0.25">
      <c r="A32" s="136" t="s">
        <v>149</v>
      </c>
      <c r="B32" s="167">
        <v>0</v>
      </c>
      <c r="C32" s="136">
        <v>98</v>
      </c>
      <c r="D32" s="168">
        <v>0</v>
      </c>
      <c r="E32" s="136">
        <v>29</v>
      </c>
      <c r="F32" s="136">
        <v>2</v>
      </c>
      <c r="G32" s="136">
        <v>129</v>
      </c>
    </row>
    <row r="33" spans="1:8" x14ac:dyDescent="0.25">
      <c r="A33" s="136" t="s">
        <v>150</v>
      </c>
      <c r="B33" s="136">
        <v>4</v>
      </c>
      <c r="C33" s="146">
        <v>1885</v>
      </c>
      <c r="D33" s="168">
        <v>0</v>
      </c>
      <c r="E33" s="136">
        <v>570</v>
      </c>
      <c r="F33" s="136">
        <v>63</v>
      </c>
      <c r="G33" s="146">
        <v>2522</v>
      </c>
    </row>
    <row r="34" spans="1:8" x14ac:dyDescent="0.25">
      <c r="A34" s="136" t="s">
        <v>151</v>
      </c>
      <c r="B34" s="136">
        <v>11</v>
      </c>
      <c r="C34" s="146">
        <v>4223</v>
      </c>
      <c r="D34" s="136">
        <v>7</v>
      </c>
      <c r="E34" s="146">
        <v>1046</v>
      </c>
      <c r="F34" s="136">
        <v>126</v>
      </c>
      <c r="G34" s="146">
        <v>5413</v>
      </c>
    </row>
    <row r="35" spans="1:8" x14ac:dyDescent="0.25">
      <c r="A35" s="136"/>
      <c r="G35" s="143"/>
    </row>
    <row r="36" spans="1:8" x14ac:dyDescent="0.25">
      <c r="A36" s="136" t="s">
        <v>28</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506</v>
      </c>
      <c r="B42" s="136" t="s">
        <v>507</v>
      </c>
      <c r="C42" s="136">
        <v>3</v>
      </c>
      <c r="D42" s="154"/>
      <c r="E42" s="154"/>
      <c r="F42" s="154"/>
      <c r="G42" s="155"/>
    </row>
    <row r="43" spans="1:8" x14ac:dyDescent="0.25">
      <c r="A43" s="136"/>
      <c r="B43" s="136"/>
      <c r="C43" s="136"/>
      <c r="D43" s="136"/>
      <c r="G43" s="143"/>
    </row>
    <row r="44" spans="1:8" ht="30" x14ac:dyDescent="0.25">
      <c r="A44" s="136"/>
      <c r="B44" s="136"/>
      <c r="C44" s="136" t="s">
        <v>505</v>
      </c>
      <c r="D44" s="136"/>
      <c r="G44" s="143"/>
    </row>
    <row r="45" spans="1:8" x14ac:dyDescent="0.25">
      <c r="A45" s="136" t="s">
        <v>130</v>
      </c>
      <c r="B45" s="136"/>
      <c r="C45" s="136" t="s">
        <v>484</v>
      </c>
      <c r="D45" s="136" t="s">
        <v>485</v>
      </c>
      <c r="E45" s="136" t="s">
        <v>486</v>
      </c>
      <c r="F45" s="136" t="s">
        <v>487</v>
      </c>
      <c r="G45" s="136" t="s">
        <v>488</v>
      </c>
      <c r="H45" s="136" t="s">
        <v>28</v>
      </c>
    </row>
    <row r="46" spans="1:8" x14ac:dyDescent="0.25">
      <c r="A46" s="136"/>
      <c r="B46" s="136"/>
      <c r="C46" s="136"/>
      <c r="D46" s="136"/>
      <c r="H46" s="143"/>
    </row>
    <row r="47" spans="1:8" ht="30" x14ac:dyDescent="0.25">
      <c r="A47" s="136" t="s">
        <v>152</v>
      </c>
      <c r="B47" s="136"/>
      <c r="C47" s="136">
        <v>1</v>
      </c>
      <c r="D47" s="136">
        <v>962</v>
      </c>
      <c r="E47" s="136">
        <v>0</v>
      </c>
      <c r="F47" s="136">
        <v>159</v>
      </c>
      <c r="G47" s="136">
        <v>31</v>
      </c>
      <c r="H47" s="146">
        <v>1153</v>
      </c>
    </row>
    <row r="48" spans="1:8" x14ac:dyDescent="0.25">
      <c r="A48" s="136" t="s">
        <v>153</v>
      </c>
      <c r="B48" s="136"/>
      <c r="C48" s="136">
        <v>9</v>
      </c>
      <c r="D48" s="146">
        <v>2524</v>
      </c>
      <c r="E48" s="136">
        <v>1</v>
      </c>
      <c r="F48" s="136">
        <v>499</v>
      </c>
      <c r="G48" s="136">
        <v>92</v>
      </c>
      <c r="H48" s="146">
        <v>3125</v>
      </c>
    </row>
    <row r="49" spans="1:8" x14ac:dyDescent="0.25">
      <c r="A49" s="136" t="s">
        <v>495</v>
      </c>
      <c r="B49" s="136"/>
      <c r="C49" s="136">
        <v>5</v>
      </c>
      <c r="D49" s="146">
        <v>2246</v>
      </c>
      <c r="E49" s="136">
        <v>3</v>
      </c>
      <c r="F49" s="136">
        <v>497</v>
      </c>
      <c r="G49" s="136">
        <v>44</v>
      </c>
      <c r="H49" s="146">
        <v>2795</v>
      </c>
    </row>
    <row r="50" spans="1:8" x14ac:dyDescent="0.25">
      <c r="A50" s="136" t="s">
        <v>154</v>
      </c>
      <c r="B50" s="136"/>
      <c r="C50" s="136">
        <v>67</v>
      </c>
      <c r="D50" s="146">
        <v>20329</v>
      </c>
      <c r="E50" s="136">
        <v>7</v>
      </c>
      <c r="F50" s="146">
        <v>4285</v>
      </c>
      <c r="G50" s="136">
        <v>511</v>
      </c>
      <c r="H50" s="146">
        <v>25199</v>
      </c>
    </row>
    <row r="51" spans="1:8" ht="30" x14ac:dyDescent="0.25">
      <c r="A51" s="136" t="s">
        <v>155</v>
      </c>
      <c r="B51" s="136"/>
      <c r="C51" s="136">
        <v>6</v>
      </c>
      <c r="D51" s="146">
        <v>1399</v>
      </c>
      <c r="E51" s="136">
        <v>1</v>
      </c>
      <c r="F51" s="136">
        <v>380</v>
      </c>
      <c r="G51" s="136">
        <v>25</v>
      </c>
      <c r="H51" s="146">
        <v>1811</v>
      </c>
    </row>
    <row r="52" spans="1:8" x14ac:dyDescent="0.25">
      <c r="A52" s="136" t="s">
        <v>156</v>
      </c>
      <c r="B52" s="136"/>
      <c r="C52" s="136">
        <v>4</v>
      </c>
      <c r="D52" s="146">
        <v>1169</v>
      </c>
      <c r="E52" s="167">
        <v>0</v>
      </c>
      <c r="F52" s="136">
        <v>197</v>
      </c>
      <c r="G52" s="136">
        <v>13</v>
      </c>
      <c r="H52" s="146">
        <v>1383</v>
      </c>
    </row>
    <row r="53" spans="1:8" x14ac:dyDescent="0.25">
      <c r="A53" s="136" t="s">
        <v>157</v>
      </c>
      <c r="B53" s="136"/>
      <c r="C53" s="136">
        <v>2</v>
      </c>
      <c r="D53" s="146">
        <v>1687</v>
      </c>
      <c r="E53" s="136">
        <v>1</v>
      </c>
      <c r="F53" s="136">
        <v>361</v>
      </c>
      <c r="G53" s="136">
        <v>43</v>
      </c>
      <c r="H53" s="146">
        <v>2094</v>
      </c>
    </row>
    <row r="54" spans="1:8" ht="30" x14ac:dyDescent="0.25">
      <c r="A54" s="136" t="s">
        <v>158</v>
      </c>
      <c r="B54" s="136"/>
      <c r="C54" s="136">
        <v>4</v>
      </c>
      <c r="D54" s="146">
        <v>1565</v>
      </c>
      <c r="E54" s="136">
        <v>1</v>
      </c>
      <c r="F54" s="136">
        <v>299</v>
      </c>
      <c r="G54" s="136">
        <v>40</v>
      </c>
      <c r="H54" s="146">
        <v>1909</v>
      </c>
    </row>
    <row r="55" spans="1:8" x14ac:dyDescent="0.25">
      <c r="A55" s="136" t="s">
        <v>159</v>
      </c>
      <c r="B55" s="136"/>
      <c r="C55" s="136">
        <v>34</v>
      </c>
      <c r="D55" s="146">
        <v>9905</v>
      </c>
      <c r="E55" s="136">
        <v>3</v>
      </c>
      <c r="F55" s="146">
        <v>1871</v>
      </c>
      <c r="G55" s="136">
        <v>198</v>
      </c>
      <c r="H55" s="146">
        <v>12011</v>
      </c>
    </row>
    <row r="56" spans="1:8" x14ac:dyDescent="0.25">
      <c r="A56" s="136"/>
      <c r="H56" s="143"/>
    </row>
    <row r="57" spans="1:8" x14ac:dyDescent="0.25">
      <c r="A57" s="136" t="s">
        <v>28</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506</v>
      </c>
      <c r="B63" s="136" t="s">
        <v>507</v>
      </c>
      <c r="C63" s="136">
        <v>4</v>
      </c>
      <c r="D63" s="154"/>
      <c r="E63" s="154"/>
      <c r="F63" s="155"/>
    </row>
    <row r="64" spans="1:8" x14ac:dyDescent="0.25">
      <c r="A64" s="136"/>
      <c r="B64" s="136"/>
      <c r="C64" s="136"/>
      <c r="D64" s="136"/>
      <c r="F64" s="143"/>
    </row>
    <row r="65" spans="1:7" ht="30" x14ac:dyDescent="0.25">
      <c r="A65" s="136"/>
      <c r="B65" s="136"/>
      <c r="C65" s="136" t="s">
        <v>505</v>
      </c>
      <c r="D65" s="136"/>
      <c r="F65" s="143"/>
    </row>
    <row r="66" spans="1:7" x14ac:dyDescent="0.25">
      <c r="A66" s="136" t="s">
        <v>130</v>
      </c>
      <c r="B66" s="136" t="s">
        <v>484</v>
      </c>
      <c r="C66" s="136" t="s">
        <v>485</v>
      </c>
      <c r="D66" s="136" t="s">
        <v>486</v>
      </c>
      <c r="E66" s="136" t="s">
        <v>487</v>
      </c>
      <c r="F66" s="136" t="s">
        <v>488</v>
      </c>
      <c r="G66" s="136" t="s">
        <v>28</v>
      </c>
    </row>
    <row r="67" spans="1:7" x14ac:dyDescent="0.25">
      <c r="A67" s="136"/>
      <c r="B67" s="136"/>
      <c r="C67" s="136"/>
      <c r="G67" s="143"/>
    </row>
    <row r="68" spans="1:7" ht="30" x14ac:dyDescent="0.25">
      <c r="A68" s="136" t="s">
        <v>160</v>
      </c>
      <c r="B68" s="136">
        <v>13</v>
      </c>
      <c r="C68" s="146">
        <v>2131</v>
      </c>
      <c r="D68" s="136">
        <v>1</v>
      </c>
      <c r="E68" s="136">
        <v>347</v>
      </c>
      <c r="F68" s="136">
        <v>52</v>
      </c>
      <c r="G68" s="146">
        <v>2544</v>
      </c>
    </row>
    <row r="69" spans="1:7" x14ac:dyDescent="0.25">
      <c r="A69" s="136" t="s">
        <v>161</v>
      </c>
      <c r="B69" s="136">
        <v>2</v>
      </c>
      <c r="C69" s="146">
        <v>1814</v>
      </c>
      <c r="D69">
        <v>0</v>
      </c>
      <c r="E69" s="136">
        <v>241</v>
      </c>
      <c r="F69" s="136">
        <v>31</v>
      </c>
      <c r="G69" s="146">
        <v>2088</v>
      </c>
    </row>
    <row r="70" spans="1:7" ht="30" x14ac:dyDescent="0.25">
      <c r="A70" s="136" t="s">
        <v>162</v>
      </c>
      <c r="B70" s="136">
        <v>3</v>
      </c>
      <c r="C70" s="146">
        <v>3132</v>
      </c>
      <c r="D70" s="136">
        <v>4</v>
      </c>
      <c r="E70" s="136">
        <v>459</v>
      </c>
      <c r="F70" s="136">
        <v>47</v>
      </c>
      <c r="G70" s="146">
        <v>3645</v>
      </c>
    </row>
    <row r="71" spans="1:7" x14ac:dyDescent="0.25">
      <c r="A71" s="136" t="s">
        <v>163</v>
      </c>
      <c r="B71" s="136">
        <v>86</v>
      </c>
      <c r="C71" s="146">
        <v>35562</v>
      </c>
      <c r="D71" s="136">
        <v>30</v>
      </c>
      <c r="E71" s="146">
        <v>7197</v>
      </c>
      <c r="F71" s="136">
        <v>906</v>
      </c>
      <c r="G71" s="146">
        <v>43781</v>
      </c>
    </row>
    <row r="72" spans="1:7" x14ac:dyDescent="0.25">
      <c r="A72" s="136" t="s">
        <v>164</v>
      </c>
      <c r="B72" s="136">
        <v>15</v>
      </c>
      <c r="C72" s="146">
        <v>6324</v>
      </c>
      <c r="D72" s="136">
        <v>3</v>
      </c>
      <c r="E72" s="146">
        <v>1147</v>
      </c>
      <c r="F72" s="136">
        <v>126</v>
      </c>
      <c r="G72" s="146">
        <v>7615</v>
      </c>
    </row>
    <row r="73" spans="1:7" x14ac:dyDescent="0.25">
      <c r="A73" s="136" t="s">
        <v>165</v>
      </c>
      <c r="B73" s="136">
        <v>3</v>
      </c>
      <c r="C73" s="136">
        <v>731</v>
      </c>
      <c r="D73" s="136">
        <v>1</v>
      </c>
      <c r="E73" s="136">
        <v>102</v>
      </c>
      <c r="F73" s="136">
        <v>20</v>
      </c>
      <c r="G73" s="136">
        <v>857</v>
      </c>
    </row>
    <row r="74" spans="1:7" x14ac:dyDescent="0.25">
      <c r="A74" s="136" t="s">
        <v>166</v>
      </c>
      <c r="B74" s="136">
        <v>89</v>
      </c>
      <c r="C74" s="146">
        <v>32734</v>
      </c>
      <c r="D74" s="136">
        <v>44</v>
      </c>
      <c r="E74" s="146">
        <v>7692</v>
      </c>
      <c r="F74" s="136">
        <v>869</v>
      </c>
      <c r="G74" s="146">
        <v>41428</v>
      </c>
    </row>
    <row r="75" spans="1:7" x14ac:dyDescent="0.25">
      <c r="A75" s="136" t="s">
        <v>167</v>
      </c>
      <c r="B75" s="136">
        <v>3</v>
      </c>
      <c r="C75" s="146">
        <v>3849</v>
      </c>
      <c r="D75" s="136">
        <v>3</v>
      </c>
      <c r="E75" s="136">
        <v>606</v>
      </c>
      <c r="F75" s="136">
        <v>88</v>
      </c>
      <c r="G75" s="146">
        <v>4549</v>
      </c>
    </row>
    <row r="76" spans="1:7" ht="30" x14ac:dyDescent="0.25">
      <c r="A76" s="136" t="s">
        <v>168</v>
      </c>
      <c r="B76" s="136">
        <v>11</v>
      </c>
      <c r="C76" s="146">
        <v>5111</v>
      </c>
      <c r="D76" s="136">
        <v>5</v>
      </c>
      <c r="E76" s="136">
        <v>715</v>
      </c>
      <c r="F76" s="136">
        <v>107</v>
      </c>
      <c r="G76" s="146">
        <v>5949</v>
      </c>
    </row>
    <row r="77" spans="1:7" x14ac:dyDescent="0.25">
      <c r="A77" s="136" t="s">
        <v>169</v>
      </c>
      <c r="B77" s="136">
        <v>39</v>
      </c>
      <c r="C77" s="146">
        <v>19496</v>
      </c>
      <c r="D77" s="136">
        <v>8</v>
      </c>
      <c r="E77" s="146">
        <v>3011</v>
      </c>
      <c r="F77" s="136">
        <v>420</v>
      </c>
      <c r="G77" s="146">
        <v>22974</v>
      </c>
    </row>
    <row r="78" spans="1:7" x14ac:dyDescent="0.25">
      <c r="A78" s="136" t="s">
        <v>170</v>
      </c>
      <c r="B78" s="136">
        <v>2</v>
      </c>
      <c r="C78" s="136">
        <v>837</v>
      </c>
      <c r="D78" s="136">
        <v>1</v>
      </c>
      <c r="E78" s="136">
        <v>126</v>
      </c>
      <c r="F78" s="136">
        <v>24</v>
      </c>
      <c r="G78" s="136">
        <v>990</v>
      </c>
    </row>
    <row r="79" spans="1:7" x14ac:dyDescent="0.25">
      <c r="A79" s="136" t="s">
        <v>171</v>
      </c>
      <c r="B79" s="136">
        <v>7</v>
      </c>
      <c r="C79" s="146">
        <v>2024</v>
      </c>
      <c r="D79" s="136">
        <v>1</v>
      </c>
      <c r="E79" s="136">
        <v>473</v>
      </c>
      <c r="F79" s="136">
        <v>56</v>
      </c>
      <c r="G79" s="146">
        <v>2561</v>
      </c>
    </row>
    <row r="80" spans="1:7" ht="30" x14ac:dyDescent="0.25">
      <c r="A80" s="136" t="s">
        <v>172</v>
      </c>
      <c r="B80" s="136"/>
      <c r="C80" s="136">
        <v>927</v>
      </c>
      <c r="D80" s="167">
        <v>0</v>
      </c>
      <c r="E80" s="136">
        <v>84</v>
      </c>
      <c r="F80" s="136">
        <v>10</v>
      </c>
      <c r="G80" s="146">
        <v>1021</v>
      </c>
    </row>
    <row r="81" spans="1:8" ht="30" x14ac:dyDescent="0.25">
      <c r="A81" s="136" t="s">
        <v>173</v>
      </c>
      <c r="B81" s="136">
        <v>10</v>
      </c>
      <c r="C81" s="146">
        <v>5212</v>
      </c>
      <c r="D81" s="136">
        <v>7</v>
      </c>
      <c r="E81" s="136">
        <v>858</v>
      </c>
      <c r="F81" s="136">
        <v>98</v>
      </c>
      <c r="G81" s="146">
        <v>6185</v>
      </c>
    </row>
    <row r="82" spans="1:8" x14ac:dyDescent="0.25">
      <c r="A82" s="136" t="s">
        <v>496</v>
      </c>
      <c r="B82" s="136">
        <v>16</v>
      </c>
      <c r="C82" s="146">
        <v>4735</v>
      </c>
      <c r="D82" s="136">
        <v>13</v>
      </c>
      <c r="E82" s="136">
        <v>764</v>
      </c>
      <c r="F82" s="136">
        <v>120</v>
      </c>
      <c r="G82" s="146">
        <v>5648</v>
      </c>
    </row>
    <row r="83" spans="1:8" x14ac:dyDescent="0.25">
      <c r="A83" s="136" t="s">
        <v>28</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506</v>
      </c>
      <c r="B91" s="136" t="s">
        <v>507</v>
      </c>
      <c r="C91" s="136">
        <v>5</v>
      </c>
      <c r="D91" s="154"/>
      <c r="E91" s="154"/>
      <c r="F91" s="154"/>
      <c r="G91" s="155"/>
    </row>
    <row r="92" spans="1:8" x14ac:dyDescent="0.25">
      <c r="A92" s="136"/>
      <c r="B92" s="136"/>
      <c r="C92" s="136"/>
      <c r="D92" s="136"/>
      <c r="G92" s="143"/>
    </row>
    <row r="93" spans="1:8" ht="30" x14ac:dyDescent="0.25">
      <c r="A93" s="136"/>
      <c r="B93" s="136"/>
      <c r="C93" s="136" t="s">
        <v>505</v>
      </c>
      <c r="D93" s="136"/>
      <c r="G93" s="143"/>
    </row>
    <row r="94" spans="1:8" x14ac:dyDescent="0.25">
      <c r="A94" s="136" t="s">
        <v>130</v>
      </c>
      <c r="B94" s="136"/>
      <c r="C94" s="136" t="s">
        <v>484</v>
      </c>
      <c r="D94" s="136" t="s">
        <v>485</v>
      </c>
      <c r="E94" s="136" t="s">
        <v>486</v>
      </c>
      <c r="F94" s="136" t="s">
        <v>487</v>
      </c>
      <c r="G94" s="136" t="s">
        <v>488</v>
      </c>
      <c r="H94" s="136" t="s">
        <v>28</v>
      </c>
    </row>
    <row r="95" spans="1:8" x14ac:dyDescent="0.25">
      <c r="A95" s="136"/>
      <c r="B95" s="136"/>
      <c r="C95" s="136"/>
      <c r="D95" s="136"/>
      <c r="H95" s="143"/>
    </row>
    <row r="96" spans="1:8" ht="30" x14ac:dyDescent="0.25">
      <c r="A96" s="136" t="s">
        <v>174</v>
      </c>
      <c r="B96" s="136"/>
      <c r="C96" s="136">
        <v>8</v>
      </c>
      <c r="D96" s="146">
        <v>2930</v>
      </c>
      <c r="E96" s="136">
        <v>1</v>
      </c>
      <c r="F96" s="136">
        <v>718</v>
      </c>
      <c r="G96" s="136">
        <v>100</v>
      </c>
      <c r="H96" s="146">
        <v>3757</v>
      </c>
    </row>
    <row r="97" spans="1:8" x14ac:dyDescent="0.25">
      <c r="A97" s="136" t="s">
        <v>175</v>
      </c>
      <c r="B97" s="136"/>
      <c r="C97" s="136">
        <v>13</v>
      </c>
      <c r="D97" s="146">
        <v>3901</v>
      </c>
      <c r="E97" s="136">
        <v>1</v>
      </c>
      <c r="F97" s="136">
        <v>979</v>
      </c>
      <c r="G97" s="136">
        <v>85</v>
      </c>
      <c r="H97" s="146">
        <v>4979</v>
      </c>
    </row>
    <row r="98" spans="1:8" ht="30" x14ac:dyDescent="0.25">
      <c r="A98" s="136" t="s">
        <v>176</v>
      </c>
      <c r="B98" s="136"/>
      <c r="C98" s="136">
        <v>5</v>
      </c>
      <c r="D98" s="146">
        <v>2004</v>
      </c>
      <c r="E98" s="136">
        <v>2</v>
      </c>
      <c r="F98" s="136">
        <v>378</v>
      </c>
      <c r="G98" s="136">
        <v>42</v>
      </c>
      <c r="H98" s="146">
        <v>2431</v>
      </c>
    </row>
    <row r="99" spans="1:8" ht="30" x14ac:dyDescent="0.25">
      <c r="A99" s="136" t="s">
        <v>177</v>
      </c>
      <c r="B99" s="136"/>
      <c r="C99" s="136">
        <v>13</v>
      </c>
      <c r="D99" s="146">
        <v>5034</v>
      </c>
      <c r="E99" s="136">
        <v>1</v>
      </c>
      <c r="F99" s="136">
        <v>862</v>
      </c>
      <c r="G99" s="136">
        <v>124</v>
      </c>
      <c r="H99" s="146">
        <v>6034</v>
      </c>
    </row>
    <row r="100" spans="1:8" ht="30" x14ac:dyDescent="0.25">
      <c r="A100" s="136" t="s">
        <v>178</v>
      </c>
      <c r="B100" s="136"/>
      <c r="C100" s="136">
        <v>13</v>
      </c>
      <c r="D100" s="146">
        <v>4521</v>
      </c>
      <c r="E100" s="136">
        <v>5</v>
      </c>
      <c r="F100" s="136">
        <v>897</v>
      </c>
      <c r="G100" s="136">
        <v>92</v>
      </c>
      <c r="H100" s="146">
        <v>5528</v>
      </c>
    </row>
    <row r="101" spans="1:8" x14ac:dyDescent="0.25">
      <c r="A101" s="136" t="s">
        <v>179</v>
      </c>
      <c r="B101" s="136"/>
      <c r="C101" s="136">
        <v>3</v>
      </c>
      <c r="D101" s="146">
        <v>2676</v>
      </c>
      <c r="E101" s="136">
        <v>1</v>
      </c>
      <c r="F101" s="136">
        <v>468</v>
      </c>
      <c r="G101" s="136">
        <v>49</v>
      </c>
      <c r="H101" s="146">
        <v>3197</v>
      </c>
    </row>
    <row r="102" spans="1:8" x14ac:dyDescent="0.25">
      <c r="A102" s="136" t="s">
        <v>180</v>
      </c>
      <c r="B102" s="136"/>
      <c r="C102" s="136">
        <v>17</v>
      </c>
      <c r="D102" s="146">
        <v>5887</v>
      </c>
      <c r="E102" s="136">
        <v>2</v>
      </c>
      <c r="F102" s="146">
        <v>1489</v>
      </c>
      <c r="G102" s="136">
        <v>172</v>
      </c>
      <c r="H102" s="146">
        <v>7567</v>
      </c>
    </row>
    <row r="103" spans="1:8" x14ac:dyDescent="0.25">
      <c r="A103" s="136" t="s">
        <v>181</v>
      </c>
      <c r="B103" s="136"/>
      <c r="C103" s="136">
        <v>6</v>
      </c>
      <c r="D103" s="146">
        <v>3878</v>
      </c>
      <c r="E103" s="136">
        <v>1</v>
      </c>
      <c r="F103" s="136">
        <v>920</v>
      </c>
      <c r="G103" s="136">
        <v>99</v>
      </c>
      <c r="H103" s="146">
        <v>4904</v>
      </c>
    </row>
    <row r="104" spans="1:8" x14ac:dyDescent="0.25">
      <c r="A104" s="136" t="s">
        <v>182</v>
      </c>
      <c r="B104" s="136"/>
      <c r="C104" s="136">
        <v>4</v>
      </c>
      <c r="D104" s="146">
        <v>3390</v>
      </c>
      <c r="E104" s="136">
        <v>4</v>
      </c>
      <c r="F104" s="136">
        <v>696</v>
      </c>
      <c r="G104" s="136">
        <v>92</v>
      </c>
      <c r="H104" s="146">
        <v>4186</v>
      </c>
    </row>
    <row r="105" spans="1:8" x14ac:dyDescent="0.25">
      <c r="A105" s="136" t="s">
        <v>183</v>
      </c>
      <c r="B105" s="136"/>
      <c r="C105" s="136">
        <v>6</v>
      </c>
      <c r="D105" s="146">
        <v>3345</v>
      </c>
      <c r="E105" s="136">
        <v>2</v>
      </c>
      <c r="F105" s="136">
        <v>650</v>
      </c>
      <c r="G105" s="136">
        <v>70</v>
      </c>
      <c r="H105" s="146">
        <v>4073</v>
      </c>
    </row>
    <row r="106" spans="1:8" ht="30" x14ac:dyDescent="0.25">
      <c r="A106" s="136" t="s">
        <v>184</v>
      </c>
      <c r="B106" s="136"/>
      <c r="C106" s="136">
        <v>4</v>
      </c>
      <c r="D106" s="136">
        <v>668</v>
      </c>
      <c r="E106" s="167">
        <v>0</v>
      </c>
      <c r="F106" s="136">
        <v>107</v>
      </c>
      <c r="G106" s="136">
        <v>21</v>
      </c>
      <c r="H106" s="136">
        <v>800</v>
      </c>
    </row>
    <row r="107" spans="1:8" ht="45" x14ac:dyDescent="0.25">
      <c r="A107" s="136" t="s">
        <v>185</v>
      </c>
      <c r="B107" s="136"/>
      <c r="C107" s="167">
        <v>0</v>
      </c>
      <c r="D107" s="136">
        <v>141</v>
      </c>
      <c r="E107" s="167">
        <v>0</v>
      </c>
      <c r="F107" s="136">
        <v>18</v>
      </c>
      <c r="G107" s="136">
        <v>1</v>
      </c>
      <c r="H107" s="136">
        <v>160</v>
      </c>
    </row>
    <row r="108" spans="1:8" x14ac:dyDescent="0.25">
      <c r="A108" s="136" t="s">
        <v>186</v>
      </c>
      <c r="B108" s="136"/>
      <c r="C108" s="136">
        <v>22</v>
      </c>
      <c r="D108" s="146">
        <v>10654</v>
      </c>
      <c r="E108" s="136">
        <v>6</v>
      </c>
      <c r="F108" s="146">
        <v>1904</v>
      </c>
      <c r="G108" s="136">
        <v>204</v>
      </c>
      <c r="H108" s="146">
        <v>12790</v>
      </c>
    </row>
    <row r="109" spans="1:8" x14ac:dyDescent="0.25">
      <c r="A109" s="136" t="s">
        <v>187</v>
      </c>
      <c r="B109" s="136"/>
      <c r="C109" s="136">
        <v>10</v>
      </c>
      <c r="D109" s="146">
        <v>2659</v>
      </c>
      <c r="E109" s="136">
        <v>1</v>
      </c>
      <c r="F109" s="136">
        <v>513</v>
      </c>
      <c r="G109" s="136">
        <v>64</v>
      </c>
      <c r="H109" s="146">
        <v>3247</v>
      </c>
    </row>
    <row r="110" spans="1:8" x14ac:dyDescent="0.25">
      <c r="A110" s="136" t="s">
        <v>188</v>
      </c>
      <c r="B110" s="136"/>
      <c r="C110" s="136">
        <v>25</v>
      </c>
      <c r="D110" s="146">
        <v>7222</v>
      </c>
      <c r="E110" s="136">
        <v>5</v>
      </c>
      <c r="F110" s="146">
        <v>1401</v>
      </c>
      <c r="G110" s="136">
        <v>150</v>
      </c>
      <c r="H110" s="146">
        <v>8803</v>
      </c>
    </row>
    <row r="111" spans="1:8" x14ac:dyDescent="0.25">
      <c r="A111" s="136" t="s">
        <v>189</v>
      </c>
      <c r="B111" s="136"/>
      <c r="C111" s="136">
        <v>29</v>
      </c>
      <c r="D111" s="146">
        <v>8916</v>
      </c>
      <c r="E111" s="136">
        <v>4</v>
      </c>
      <c r="F111" s="146">
        <v>1518</v>
      </c>
      <c r="G111" s="136">
        <v>205</v>
      </c>
      <c r="H111" s="146">
        <v>10672</v>
      </c>
    </row>
    <row r="112" spans="1:8" x14ac:dyDescent="0.25">
      <c r="A112" s="136" t="s">
        <v>190</v>
      </c>
      <c r="B112" s="136"/>
      <c r="C112" s="136">
        <v>13</v>
      </c>
      <c r="D112" s="146">
        <v>4744</v>
      </c>
      <c r="E112" s="136">
        <v>3</v>
      </c>
      <c r="F112" s="136">
        <v>832</v>
      </c>
      <c r="G112" s="136">
        <v>95</v>
      </c>
      <c r="H112" s="146">
        <v>5687</v>
      </c>
    </row>
    <row r="113" spans="1:9" x14ac:dyDescent="0.25">
      <c r="A113" s="136" t="s">
        <v>191</v>
      </c>
      <c r="B113" s="136"/>
      <c r="C113" s="136">
        <v>35</v>
      </c>
      <c r="D113" s="146">
        <v>11557</v>
      </c>
      <c r="E113" s="136">
        <v>11</v>
      </c>
      <c r="F113" s="146">
        <v>2786</v>
      </c>
      <c r="G113" s="136">
        <v>217</v>
      </c>
      <c r="H113" s="146">
        <v>14606</v>
      </c>
    </row>
    <row r="114" spans="1:9" x14ac:dyDescent="0.25">
      <c r="A114" s="136" t="s">
        <v>192</v>
      </c>
      <c r="B114" s="136"/>
      <c r="C114" s="136">
        <v>17</v>
      </c>
      <c r="D114" s="146">
        <v>4300</v>
      </c>
      <c r="E114" s="136">
        <v>1</v>
      </c>
      <c r="F114" s="146">
        <v>1016</v>
      </c>
      <c r="G114" s="136">
        <v>110</v>
      </c>
      <c r="H114" s="146">
        <v>5444</v>
      </c>
    </row>
    <row r="115" spans="1:9" x14ac:dyDescent="0.25">
      <c r="A115" s="136" t="s">
        <v>193</v>
      </c>
      <c r="B115" s="136"/>
      <c r="C115" s="136">
        <v>6</v>
      </c>
      <c r="D115" s="146">
        <v>3399</v>
      </c>
      <c r="E115" s="136">
        <v>1</v>
      </c>
      <c r="F115" s="136">
        <v>626</v>
      </c>
      <c r="G115" s="136">
        <v>97</v>
      </c>
      <c r="H115" s="146">
        <v>4129</v>
      </c>
    </row>
    <row r="116" spans="1:9" ht="30" x14ac:dyDescent="0.25">
      <c r="A116" s="136" t="s">
        <v>194</v>
      </c>
      <c r="B116" s="136"/>
      <c r="C116" s="167">
        <v>0</v>
      </c>
      <c r="D116" s="146">
        <v>1253</v>
      </c>
      <c r="E116" s="136">
        <v>1</v>
      </c>
      <c r="F116" s="169">
        <v>269</v>
      </c>
      <c r="G116" s="136">
        <v>27</v>
      </c>
      <c r="H116" s="146">
        <v>1550</v>
      </c>
    </row>
    <row r="117" spans="1:9" x14ac:dyDescent="0.25">
      <c r="A117" s="136" t="s">
        <v>195</v>
      </c>
      <c r="B117" s="136"/>
      <c r="C117" s="136">
        <v>0</v>
      </c>
      <c r="D117" s="146">
        <v>1068</v>
      </c>
      <c r="E117" s="167">
        <v>0</v>
      </c>
      <c r="F117" s="136">
        <v>194</v>
      </c>
      <c r="G117" s="136">
        <v>37</v>
      </c>
      <c r="H117" s="146">
        <v>1299</v>
      </c>
      <c r="I117" s="143"/>
    </row>
    <row r="118" spans="1:9" x14ac:dyDescent="0.25">
      <c r="A118" s="136" t="s">
        <v>196</v>
      </c>
      <c r="B118" s="136"/>
      <c r="C118" s="136">
        <v>4</v>
      </c>
      <c r="D118" s="146">
        <v>1890</v>
      </c>
      <c r="E118" s="167">
        <v>0</v>
      </c>
      <c r="F118" s="136">
        <v>422</v>
      </c>
      <c r="G118" s="136">
        <v>43</v>
      </c>
      <c r="H118" s="146">
        <v>2359</v>
      </c>
    </row>
    <row r="119" spans="1:9" ht="30" x14ac:dyDescent="0.25">
      <c r="A119" s="136" t="s">
        <v>197</v>
      </c>
      <c r="B119" s="136"/>
      <c r="C119" s="136">
        <v>13</v>
      </c>
      <c r="D119" s="146">
        <v>3568</v>
      </c>
      <c r="E119" s="167">
        <v>0</v>
      </c>
      <c r="F119" s="136">
        <v>837</v>
      </c>
      <c r="G119" s="136">
        <v>91</v>
      </c>
      <c r="H119" s="146">
        <v>4509</v>
      </c>
    </row>
    <row r="120" spans="1:9" x14ac:dyDescent="0.25">
      <c r="A120" s="136" t="s">
        <v>198</v>
      </c>
      <c r="B120" s="136"/>
      <c r="C120" s="136">
        <v>5</v>
      </c>
      <c r="D120" s="146">
        <v>3328</v>
      </c>
      <c r="E120" s="136">
        <v>2</v>
      </c>
      <c r="F120" s="136">
        <v>613</v>
      </c>
      <c r="G120" s="136">
        <v>83</v>
      </c>
      <c r="H120" s="146">
        <v>4031</v>
      </c>
    </row>
    <row r="121" spans="1:9" x14ac:dyDescent="0.25">
      <c r="A121" s="136" t="s">
        <v>199</v>
      </c>
      <c r="B121" s="136"/>
      <c r="C121" s="136">
        <v>54</v>
      </c>
      <c r="D121" s="146">
        <v>17131</v>
      </c>
      <c r="E121" s="136">
        <v>8</v>
      </c>
      <c r="F121" s="146">
        <v>3182</v>
      </c>
      <c r="G121" s="136">
        <v>342</v>
      </c>
      <c r="H121" s="146">
        <v>20717</v>
      </c>
    </row>
    <row r="122" spans="1:9" x14ac:dyDescent="0.25">
      <c r="A122" s="136" t="s">
        <v>200</v>
      </c>
      <c r="B122" s="136"/>
      <c r="C122" s="136">
        <v>73</v>
      </c>
      <c r="D122" s="146">
        <v>27789</v>
      </c>
      <c r="E122" s="136">
        <v>41</v>
      </c>
      <c r="F122" s="146">
        <v>5264</v>
      </c>
      <c r="G122" s="136">
        <v>574</v>
      </c>
      <c r="H122" s="146">
        <v>33741</v>
      </c>
    </row>
    <row r="123" spans="1:9" x14ac:dyDescent="0.25">
      <c r="A123" s="136" t="s">
        <v>201</v>
      </c>
      <c r="B123" s="136"/>
      <c r="C123" s="136">
        <v>14</v>
      </c>
      <c r="D123" s="146">
        <v>5665</v>
      </c>
      <c r="E123" s="136">
        <v>3</v>
      </c>
      <c r="F123" s="146">
        <v>1043</v>
      </c>
      <c r="G123" s="136">
        <v>146</v>
      </c>
      <c r="H123" s="146">
        <v>6871</v>
      </c>
    </row>
    <row r="124" spans="1:9" ht="30" x14ac:dyDescent="0.25">
      <c r="A124" s="136" t="s">
        <v>202</v>
      </c>
      <c r="B124" s="136"/>
      <c r="C124" s="136">
        <v>5</v>
      </c>
      <c r="D124" s="146">
        <v>1463</v>
      </c>
      <c r="E124" s="136">
        <v>2</v>
      </c>
      <c r="F124" s="136">
        <v>224</v>
      </c>
      <c r="G124" s="136">
        <v>24</v>
      </c>
      <c r="H124" s="146">
        <v>1718</v>
      </c>
    </row>
    <row r="125" spans="1:9" ht="30" x14ac:dyDescent="0.25">
      <c r="A125" s="136" t="s">
        <v>203</v>
      </c>
      <c r="B125" s="136"/>
      <c r="C125" s="136">
        <v>64</v>
      </c>
      <c r="D125" s="146">
        <v>18084</v>
      </c>
      <c r="E125" s="136">
        <v>9</v>
      </c>
      <c r="F125" s="146">
        <v>4161</v>
      </c>
      <c r="G125" s="136">
        <v>425</v>
      </c>
      <c r="H125" s="146">
        <v>22743</v>
      </c>
    </row>
    <row r="126" spans="1:9" ht="30" x14ac:dyDescent="0.25">
      <c r="A126" s="136" t="s">
        <v>204</v>
      </c>
      <c r="B126" s="136"/>
      <c r="C126" s="136">
        <v>6</v>
      </c>
      <c r="D126" s="146">
        <v>2897</v>
      </c>
      <c r="E126" s="136">
        <v>3</v>
      </c>
      <c r="F126" s="136">
        <v>721</v>
      </c>
      <c r="G126" s="136">
        <v>58</v>
      </c>
      <c r="H126" s="146">
        <v>3685</v>
      </c>
    </row>
    <row r="127" spans="1:9" x14ac:dyDescent="0.25">
      <c r="A127" s="136" t="s">
        <v>205</v>
      </c>
      <c r="B127" s="136"/>
      <c r="C127" s="136">
        <v>44</v>
      </c>
      <c r="D127" s="146">
        <v>13418</v>
      </c>
      <c r="E127" s="136">
        <v>9</v>
      </c>
      <c r="F127" s="146">
        <v>2758</v>
      </c>
      <c r="G127" s="136">
        <v>266</v>
      </c>
      <c r="H127" s="146">
        <v>16495</v>
      </c>
    </row>
    <row r="128" spans="1:9" ht="30" x14ac:dyDescent="0.25">
      <c r="A128" s="136" t="s">
        <v>206</v>
      </c>
      <c r="B128" s="136"/>
      <c r="C128" s="136">
        <v>10</v>
      </c>
      <c r="D128" s="146">
        <v>2603</v>
      </c>
      <c r="E128" s="136">
        <v>1</v>
      </c>
      <c r="F128" s="136">
        <v>504</v>
      </c>
      <c r="G128" s="136">
        <v>44</v>
      </c>
      <c r="H128" s="146">
        <v>3162</v>
      </c>
    </row>
    <row r="129" spans="1:8" ht="30" x14ac:dyDescent="0.25">
      <c r="A129" s="136" t="s">
        <v>207</v>
      </c>
      <c r="B129" s="136"/>
      <c r="C129" s="136">
        <v>5</v>
      </c>
      <c r="D129" s="146">
        <v>1695</v>
      </c>
      <c r="E129" s="167">
        <v>0</v>
      </c>
      <c r="F129" s="136">
        <v>540</v>
      </c>
      <c r="G129" s="136">
        <v>56</v>
      </c>
      <c r="H129" s="146">
        <v>2296</v>
      </c>
    </row>
    <row r="130" spans="1:8" ht="30" x14ac:dyDescent="0.25">
      <c r="A130" s="136" t="s">
        <v>208</v>
      </c>
      <c r="B130" s="136"/>
      <c r="C130" s="136">
        <v>176</v>
      </c>
      <c r="D130" s="146">
        <v>57195</v>
      </c>
      <c r="E130" s="136">
        <v>44</v>
      </c>
      <c r="F130" s="146">
        <v>10444</v>
      </c>
      <c r="G130" s="146">
        <v>1233</v>
      </c>
      <c r="H130" s="146">
        <v>69092</v>
      </c>
    </row>
    <row r="131" spans="1:8" ht="30" x14ac:dyDescent="0.25">
      <c r="A131" s="136" t="s">
        <v>209</v>
      </c>
      <c r="B131" s="136"/>
      <c r="C131" s="136">
        <v>45</v>
      </c>
      <c r="D131" s="146">
        <v>19458</v>
      </c>
      <c r="E131" s="136">
        <v>20</v>
      </c>
      <c r="F131" s="146">
        <v>4016</v>
      </c>
      <c r="G131" s="136">
        <v>531</v>
      </c>
      <c r="H131" s="146">
        <v>24070</v>
      </c>
    </row>
    <row r="132" spans="1:8" ht="30" x14ac:dyDescent="0.25">
      <c r="A132" s="136" t="s">
        <v>497</v>
      </c>
      <c r="B132" s="136"/>
      <c r="C132" s="136">
        <v>132</v>
      </c>
      <c r="D132" s="146">
        <v>56510</v>
      </c>
      <c r="E132" s="136">
        <v>42</v>
      </c>
      <c r="F132" s="146">
        <v>12188</v>
      </c>
      <c r="G132" s="146">
        <v>1307</v>
      </c>
      <c r="H132" s="146">
        <v>70179</v>
      </c>
    </row>
    <row r="133" spans="1:8" x14ac:dyDescent="0.25">
      <c r="A133" s="136" t="s">
        <v>210</v>
      </c>
      <c r="B133" s="136"/>
      <c r="C133" s="136">
        <v>7</v>
      </c>
      <c r="D133" s="146">
        <v>1284</v>
      </c>
      <c r="E133" s="167">
        <v>0</v>
      </c>
      <c r="F133" s="136">
        <v>248</v>
      </c>
      <c r="G133" s="136">
        <v>27</v>
      </c>
      <c r="H133" s="146">
        <v>1566</v>
      </c>
    </row>
    <row r="134" spans="1:8" x14ac:dyDescent="0.25">
      <c r="A134" s="136"/>
      <c r="H134" s="143"/>
    </row>
    <row r="135" spans="1:8" x14ac:dyDescent="0.25">
      <c r="A135" s="136" t="s">
        <v>28</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506</v>
      </c>
      <c r="B141" s="136" t="s">
        <v>507</v>
      </c>
      <c r="C141" s="136">
        <v>6</v>
      </c>
      <c r="D141" s="154"/>
      <c r="E141" s="154"/>
      <c r="F141" s="154"/>
      <c r="G141" s="155"/>
    </row>
    <row r="142" spans="1:8" x14ac:dyDescent="0.25">
      <c r="A142" s="136"/>
      <c r="B142" s="136"/>
      <c r="C142" s="136"/>
      <c r="D142" s="136"/>
      <c r="G142" s="143"/>
    </row>
    <row r="143" spans="1:8" ht="30" x14ac:dyDescent="0.25">
      <c r="A143" s="136"/>
      <c r="B143" s="136"/>
      <c r="C143" s="136" t="s">
        <v>505</v>
      </c>
      <c r="D143" s="136"/>
      <c r="G143" s="143"/>
    </row>
    <row r="144" spans="1:8" x14ac:dyDescent="0.25">
      <c r="A144" s="136" t="s">
        <v>130</v>
      </c>
      <c r="B144" s="136"/>
      <c r="C144" s="136" t="s">
        <v>484</v>
      </c>
      <c r="D144" s="136" t="s">
        <v>485</v>
      </c>
      <c r="E144" s="136" t="s">
        <v>486</v>
      </c>
      <c r="F144" s="136" t="s">
        <v>487</v>
      </c>
      <c r="G144" s="136" t="s">
        <v>488</v>
      </c>
      <c r="H144" s="136" t="s">
        <v>28</v>
      </c>
    </row>
    <row r="145" spans="1:8" x14ac:dyDescent="0.25">
      <c r="A145" s="136"/>
      <c r="B145" s="136"/>
      <c r="C145" s="136"/>
      <c r="D145" s="136"/>
      <c r="H145" s="143"/>
    </row>
    <row r="146" spans="1:8" x14ac:dyDescent="0.25">
      <c r="A146" s="136" t="s">
        <v>211</v>
      </c>
      <c r="B146" s="136"/>
      <c r="C146" s="136">
        <v>10</v>
      </c>
      <c r="D146" s="146">
        <v>3236</v>
      </c>
      <c r="E146" s="136">
        <v>2</v>
      </c>
      <c r="F146" s="136">
        <v>704</v>
      </c>
      <c r="G146" s="136">
        <v>83</v>
      </c>
      <c r="H146" s="146">
        <v>4035</v>
      </c>
    </row>
    <row r="147" spans="1:8" ht="30" x14ac:dyDescent="0.25">
      <c r="A147" s="136" t="s">
        <v>212</v>
      </c>
      <c r="B147" s="136"/>
      <c r="C147" s="136">
        <v>18</v>
      </c>
      <c r="D147" s="146">
        <v>6369</v>
      </c>
      <c r="E147" s="136">
        <v>2</v>
      </c>
      <c r="F147" s="146">
        <v>1452</v>
      </c>
      <c r="G147" s="136">
        <v>146</v>
      </c>
      <c r="H147" s="146">
        <v>7987</v>
      </c>
    </row>
    <row r="148" spans="1:8" x14ac:dyDescent="0.25">
      <c r="A148" s="136" t="s">
        <v>213</v>
      </c>
      <c r="B148" s="136"/>
      <c r="C148" s="136">
        <v>5</v>
      </c>
      <c r="D148" s="146">
        <v>2111</v>
      </c>
      <c r="E148">
        <v>0</v>
      </c>
      <c r="F148" s="136">
        <v>379</v>
      </c>
      <c r="G148" s="136">
        <v>50</v>
      </c>
      <c r="H148" s="146">
        <v>2545</v>
      </c>
    </row>
    <row r="149" spans="1:8" x14ac:dyDescent="0.25">
      <c r="A149" s="136" t="s">
        <v>214</v>
      </c>
      <c r="B149" s="136"/>
      <c r="C149" s="136">
        <v>6</v>
      </c>
      <c r="D149" s="146">
        <v>1465</v>
      </c>
      <c r="E149" s="168">
        <v>0</v>
      </c>
      <c r="F149" s="136">
        <v>276</v>
      </c>
      <c r="G149" s="136">
        <v>26</v>
      </c>
      <c r="H149" s="146">
        <v>1773</v>
      </c>
    </row>
    <row r="150" spans="1:8" x14ac:dyDescent="0.25">
      <c r="A150" s="136" t="s">
        <v>215</v>
      </c>
      <c r="B150" s="136"/>
      <c r="C150" s="136">
        <v>2</v>
      </c>
      <c r="D150" s="146">
        <v>3576</v>
      </c>
      <c r="E150" s="136">
        <v>1</v>
      </c>
      <c r="F150" s="136">
        <v>601</v>
      </c>
      <c r="G150" s="136">
        <v>69</v>
      </c>
      <c r="H150" s="146">
        <v>4249</v>
      </c>
    </row>
    <row r="151" spans="1:8" x14ac:dyDescent="0.25">
      <c r="A151" s="136" t="s">
        <v>498</v>
      </c>
      <c r="B151" s="136"/>
      <c r="C151" s="136">
        <v>7</v>
      </c>
      <c r="D151" s="146">
        <v>3428</v>
      </c>
      <c r="E151" s="136">
        <v>3</v>
      </c>
      <c r="F151" s="136">
        <v>661</v>
      </c>
      <c r="G151" s="136">
        <v>66</v>
      </c>
      <c r="H151" s="146">
        <v>4165</v>
      </c>
    </row>
    <row r="152" spans="1:8" x14ac:dyDescent="0.25">
      <c r="A152" s="136" t="s">
        <v>216</v>
      </c>
      <c r="B152" s="136"/>
      <c r="C152" s="136">
        <v>11</v>
      </c>
      <c r="D152" s="146">
        <v>4835</v>
      </c>
      <c r="E152" s="136">
        <v>1</v>
      </c>
      <c r="F152" s="136">
        <v>871</v>
      </c>
      <c r="G152" s="136">
        <v>88</v>
      </c>
      <c r="H152" s="146">
        <v>5806</v>
      </c>
    </row>
    <row r="153" spans="1:8" ht="30" x14ac:dyDescent="0.25">
      <c r="A153" s="136" t="s">
        <v>217</v>
      </c>
      <c r="B153" s="136"/>
      <c r="C153" s="136">
        <v>1</v>
      </c>
      <c r="D153" s="136">
        <v>771</v>
      </c>
      <c r="E153" s="167">
        <v>0</v>
      </c>
      <c r="F153" s="136">
        <v>142</v>
      </c>
      <c r="G153" s="136">
        <v>13</v>
      </c>
      <c r="H153" s="136">
        <v>927</v>
      </c>
    </row>
    <row r="154" spans="1:8" ht="30" x14ac:dyDescent="0.25">
      <c r="A154" s="136" t="s">
        <v>218</v>
      </c>
      <c r="B154" s="136"/>
      <c r="C154" s="136">
        <v>8</v>
      </c>
      <c r="D154" s="146">
        <v>4613</v>
      </c>
      <c r="E154" s="136">
        <v>1</v>
      </c>
      <c r="F154" s="136">
        <v>817</v>
      </c>
      <c r="G154" s="136">
        <v>117</v>
      </c>
      <c r="H154" s="146">
        <v>5556</v>
      </c>
    </row>
    <row r="155" spans="1:8" x14ac:dyDescent="0.25">
      <c r="A155" s="136" t="s">
        <v>219</v>
      </c>
      <c r="B155" s="136"/>
      <c r="C155" s="136">
        <v>4</v>
      </c>
      <c r="D155" s="146">
        <v>1243</v>
      </c>
      <c r="E155" s="167">
        <v>0</v>
      </c>
      <c r="F155" s="136">
        <v>258</v>
      </c>
      <c r="G155" s="136">
        <v>33</v>
      </c>
      <c r="H155" s="146">
        <v>1538</v>
      </c>
    </row>
    <row r="156" spans="1:8" x14ac:dyDescent="0.25">
      <c r="A156" s="136" t="s">
        <v>220</v>
      </c>
      <c r="B156" s="136"/>
      <c r="C156" s="136">
        <v>5</v>
      </c>
      <c r="D156" s="146">
        <v>1604</v>
      </c>
      <c r="E156" s="167">
        <v>0</v>
      </c>
      <c r="F156" s="136">
        <v>297</v>
      </c>
      <c r="G156" s="136">
        <v>41</v>
      </c>
      <c r="H156" s="146">
        <v>1947</v>
      </c>
    </row>
    <row r="157" spans="1:8" x14ac:dyDescent="0.25">
      <c r="A157" s="136" t="s">
        <v>221</v>
      </c>
      <c r="B157" s="136"/>
      <c r="C157" s="136">
        <v>12</v>
      </c>
      <c r="D157" s="146">
        <v>5219</v>
      </c>
      <c r="E157" s="136">
        <v>2</v>
      </c>
      <c r="F157" s="146">
        <v>1268</v>
      </c>
      <c r="G157" s="136">
        <v>141</v>
      </c>
      <c r="H157" s="146">
        <v>6642</v>
      </c>
    </row>
    <row r="158" spans="1:8" x14ac:dyDescent="0.25">
      <c r="A158" s="136" t="s">
        <v>222</v>
      </c>
      <c r="B158" s="136"/>
      <c r="C158" s="136">
        <v>10</v>
      </c>
      <c r="D158" s="146">
        <v>2637</v>
      </c>
      <c r="E158" s="136">
        <v>1</v>
      </c>
      <c r="F158" s="136">
        <v>471</v>
      </c>
      <c r="G158" s="136">
        <v>44</v>
      </c>
      <c r="H158" s="146">
        <v>3163</v>
      </c>
    </row>
    <row r="159" spans="1:8" ht="30" x14ac:dyDescent="0.25">
      <c r="A159" s="136" t="s">
        <v>223</v>
      </c>
      <c r="B159" s="136"/>
      <c r="C159" s="136">
        <v>3</v>
      </c>
      <c r="D159" s="146">
        <v>1624</v>
      </c>
      <c r="E159" s="136">
        <v>1</v>
      </c>
      <c r="F159" s="136">
        <v>260</v>
      </c>
      <c r="G159" s="136">
        <v>42</v>
      </c>
      <c r="H159" s="146">
        <v>1930</v>
      </c>
    </row>
    <row r="160" spans="1:8" x14ac:dyDescent="0.25">
      <c r="A160" s="136" t="s">
        <v>224</v>
      </c>
      <c r="B160" s="136"/>
      <c r="C160" s="136">
        <v>21</v>
      </c>
      <c r="D160" s="146">
        <v>4253</v>
      </c>
      <c r="E160" s="167">
        <v>0</v>
      </c>
      <c r="F160" s="136">
        <v>961</v>
      </c>
      <c r="G160" s="136">
        <v>102</v>
      </c>
      <c r="H160" s="146">
        <v>5337</v>
      </c>
    </row>
    <row r="161" spans="1:8" x14ac:dyDescent="0.25">
      <c r="A161" s="136" t="s">
        <v>225</v>
      </c>
      <c r="B161" s="136"/>
      <c r="C161" s="136">
        <v>11</v>
      </c>
      <c r="D161" s="146">
        <v>3154</v>
      </c>
      <c r="E161" s="167">
        <v>0</v>
      </c>
      <c r="F161" s="136">
        <v>585</v>
      </c>
      <c r="G161" s="136">
        <v>61</v>
      </c>
      <c r="H161" s="146">
        <v>3811</v>
      </c>
    </row>
    <row r="162" spans="1:8" x14ac:dyDescent="0.25">
      <c r="A162" s="136" t="s">
        <v>226</v>
      </c>
      <c r="B162" s="136"/>
      <c r="C162" s="136">
        <v>4</v>
      </c>
      <c r="D162" s="146">
        <v>1444</v>
      </c>
      <c r="E162" s="136">
        <v>1</v>
      </c>
      <c r="F162" s="136">
        <v>294</v>
      </c>
      <c r="G162" s="136">
        <v>41</v>
      </c>
      <c r="H162" s="146">
        <v>1784</v>
      </c>
    </row>
    <row r="163" spans="1:8" x14ac:dyDescent="0.25">
      <c r="A163" s="136" t="s">
        <v>227</v>
      </c>
      <c r="B163" s="136"/>
      <c r="C163" s="136">
        <v>3</v>
      </c>
      <c r="D163" s="146">
        <v>2042</v>
      </c>
      <c r="E163" s="136">
        <v>3</v>
      </c>
      <c r="F163" s="136">
        <v>443</v>
      </c>
      <c r="G163" s="136">
        <v>43</v>
      </c>
      <c r="H163" s="146">
        <v>2534</v>
      </c>
    </row>
    <row r="164" spans="1:8" x14ac:dyDescent="0.25">
      <c r="A164" s="136" t="s">
        <v>228</v>
      </c>
      <c r="B164" s="136"/>
      <c r="C164" s="136">
        <v>8</v>
      </c>
      <c r="D164" s="146">
        <v>2364</v>
      </c>
      <c r="E164" s="167">
        <v>0</v>
      </c>
      <c r="F164" s="136">
        <v>538</v>
      </c>
      <c r="G164" s="136">
        <v>42</v>
      </c>
      <c r="H164" s="146">
        <v>2952</v>
      </c>
    </row>
    <row r="165" spans="1:8" ht="30" x14ac:dyDescent="0.25">
      <c r="A165" s="136" t="s">
        <v>229</v>
      </c>
      <c r="B165" s="136"/>
      <c r="C165" s="136">
        <v>5</v>
      </c>
      <c r="D165" s="146">
        <v>1463</v>
      </c>
      <c r="E165" s="167">
        <v>0</v>
      </c>
      <c r="F165" s="136">
        <v>234</v>
      </c>
      <c r="G165" s="136">
        <v>33</v>
      </c>
      <c r="H165" s="146">
        <v>1735</v>
      </c>
    </row>
    <row r="166" spans="1:8" x14ac:dyDescent="0.25">
      <c r="A166" s="136" t="s">
        <v>230</v>
      </c>
      <c r="B166" s="136"/>
      <c r="C166" s="136">
        <v>4</v>
      </c>
      <c r="D166" s="146">
        <v>2223</v>
      </c>
      <c r="E166" s="136">
        <v>1</v>
      </c>
      <c r="F166" s="136">
        <v>473</v>
      </c>
      <c r="G166" s="136">
        <v>43</v>
      </c>
      <c r="H166" s="146">
        <v>2744</v>
      </c>
    </row>
    <row r="167" spans="1:8" x14ac:dyDescent="0.25">
      <c r="A167" s="136" t="s">
        <v>231</v>
      </c>
      <c r="B167" s="136"/>
      <c r="C167" s="136">
        <v>6</v>
      </c>
      <c r="D167" s="146">
        <v>2894</v>
      </c>
      <c r="E167" s="136">
        <v>2</v>
      </c>
      <c r="F167" s="136">
        <v>414</v>
      </c>
      <c r="G167" s="136">
        <v>47</v>
      </c>
      <c r="H167" s="146">
        <v>3363</v>
      </c>
    </row>
    <row r="168" spans="1:8" ht="30" x14ac:dyDescent="0.25">
      <c r="A168" s="136" t="s">
        <v>232</v>
      </c>
      <c r="B168" s="136"/>
      <c r="C168" s="136">
        <v>8</v>
      </c>
      <c r="D168" s="146">
        <v>3969</v>
      </c>
      <c r="E168" s="136">
        <v>3</v>
      </c>
      <c r="F168" s="136">
        <v>747</v>
      </c>
      <c r="G168" s="136">
        <v>66</v>
      </c>
      <c r="H168" s="146">
        <v>4793</v>
      </c>
    </row>
    <row r="169" spans="1:8" x14ac:dyDescent="0.25">
      <c r="A169" s="136" t="s">
        <v>233</v>
      </c>
      <c r="B169" s="136"/>
      <c r="C169" s="136">
        <v>9</v>
      </c>
      <c r="D169" s="146">
        <v>3233</v>
      </c>
      <c r="E169" s="136">
        <v>1</v>
      </c>
      <c r="F169" s="136">
        <v>612</v>
      </c>
      <c r="G169" s="136">
        <v>97</v>
      </c>
      <c r="H169" s="146">
        <v>3952</v>
      </c>
    </row>
    <row r="170" spans="1:8" x14ac:dyDescent="0.25">
      <c r="A170" s="136" t="s">
        <v>234</v>
      </c>
      <c r="B170" s="136"/>
      <c r="C170" s="136">
        <v>5</v>
      </c>
      <c r="D170" s="146">
        <v>1619</v>
      </c>
      <c r="E170" s="167">
        <v>0</v>
      </c>
      <c r="F170" s="136">
        <v>324</v>
      </c>
      <c r="G170" s="136">
        <v>30</v>
      </c>
      <c r="H170" s="146">
        <v>1978</v>
      </c>
    </row>
    <row r="171" spans="1:8" ht="30" x14ac:dyDescent="0.25">
      <c r="A171" s="136" t="s">
        <v>235</v>
      </c>
      <c r="B171" s="136"/>
      <c r="C171" s="136">
        <v>2</v>
      </c>
      <c r="D171" s="136">
        <v>909</v>
      </c>
      <c r="E171" s="136">
        <v>1</v>
      </c>
      <c r="F171" s="136">
        <v>193</v>
      </c>
      <c r="G171" s="136">
        <v>17</v>
      </c>
      <c r="H171" s="146">
        <v>1122</v>
      </c>
    </row>
    <row r="172" spans="1:8" ht="30" x14ac:dyDescent="0.25">
      <c r="A172" s="136" t="s">
        <v>236</v>
      </c>
      <c r="B172" s="136"/>
      <c r="C172" s="136">
        <v>8</v>
      </c>
      <c r="D172" s="146">
        <v>2491</v>
      </c>
      <c r="E172" s="136">
        <v>1</v>
      </c>
      <c r="F172" s="136">
        <v>455</v>
      </c>
      <c r="G172" s="136">
        <v>63</v>
      </c>
      <c r="H172" s="146">
        <v>3018</v>
      </c>
    </row>
    <row r="173" spans="1:8" x14ac:dyDescent="0.25">
      <c r="A173" s="136" t="s">
        <v>237</v>
      </c>
      <c r="B173" s="136"/>
      <c r="C173" s="136">
        <v>117</v>
      </c>
      <c r="D173" s="146">
        <v>38092</v>
      </c>
      <c r="E173" s="136">
        <v>35</v>
      </c>
      <c r="F173" s="146">
        <v>8952</v>
      </c>
      <c r="G173" s="136">
        <v>957</v>
      </c>
      <c r="H173" s="146">
        <v>48153</v>
      </c>
    </row>
    <row r="174" spans="1:8" x14ac:dyDescent="0.25">
      <c r="A174" s="136" t="s">
        <v>238</v>
      </c>
      <c r="B174" s="136"/>
      <c r="C174" s="136">
        <v>21</v>
      </c>
      <c r="D174" s="146">
        <v>10380</v>
      </c>
      <c r="E174" s="136">
        <v>9</v>
      </c>
      <c r="F174" s="146">
        <v>2209</v>
      </c>
      <c r="G174" s="136">
        <v>211</v>
      </c>
      <c r="H174" s="146">
        <v>12830</v>
      </c>
    </row>
    <row r="175" spans="1:8" x14ac:dyDescent="0.25">
      <c r="A175" s="136" t="s">
        <v>239</v>
      </c>
      <c r="B175" s="136"/>
      <c r="C175" s="136">
        <v>8</v>
      </c>
      <c r="D175" s="146">
        <v>3845</v>
      </c>
      <c r="E175" s="136">
        <v>2</v>
      </c>
      <c r="F175" s="136">
        <v>841</v>
      </c>
      <c r="G175" s="136">
        <v>90</v>
      </c>
      <c r="H175" s="146">
        <v>4786</v>
      </c>
    </row>
    <row r="176" spans="1:8" ht="30" x14ac:dyDescent="0.25">
      <c r="A176" s="136" t="s">
        <v>240</v>
      </c>
      <c r="B176" s="136"/>
      <c r="C176" s="136">
        <v>30</v>
      </c>
      <c r="D176" s="146">
        <v>12944</v>
      </c>
      <c r="E176" s="136">
        <v>1</v>
      </c>
      <c r="F176" s="146">
        <v>2516</v>
      </c>
      <c r="G176" s="136">
        <v>277</v>
      </c>
      <c r="H176" s="146">
        <v>15768</v>
      </c>
    </row>
    <row r="177" spans="1:8" ht="30" x14ac:dyDescent="0.25">
      <c r="A177" s="136" t="s">
        <v>241</v>
      </c>
      <c r="B177" s="136"/>
      <c r="C177" s="136">
        <v>21</v>
      </c>
      <c r="D177" s="146">
        <v>9778</v>
      </c>
      <c r="E177" s="136">
        <v>2</v>
      </c>
      <c r="F177" s="146">
        <v>1826</v>
      </c>
      <c r="G177" s="136">
        <v>230</v>
      </c>
      <c r="H177" s="146">
        <v>11857</v>
      </c>
    </row>
    <row r="178" spans="1:8" ht="30" x14ac:dyDescent="0.25">
      <c r="A178" s="136" t="s">
        <v>242</v>
      </c>
      <c r="B178" s="136"/>
      <c r="C178" s="136">
        <v>11</v>
      </c>
      <c r="D178" s="146">
        <v>7565</v>
      </c>
      <c r="E178" s="136">
        <v>5</v>
      </c>
      <c r="F178" s="146">
        <v>1496</v>
      </c>
      <c r="G178" s="136">
        <v>160</v>
      </c>
      <c r="H178" s="146">
        <v>9237</v>
      </c>
    </row>
    <row r="179" spans="1:8" x14ac:dyDescent="0.25">
      <c r="A179" s="136"/>
      <c r="H179" s="143"/>
    </row>
    <row r="180" spans="1:8" x14ac:dyDescent="0.25">
      <c r="A180" s="136" t="s">
        <v>28</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506</v>
      </c>
      <c r="B185" s="136" t="s">
        <v>507</v>
      </c>
      <c r="C185" s="136">
        <v>7</v>
      </c>
      <c r="D185" s="154"/>
      <c r="E185" s="154"/>
      <c r="F185" s="155"/>
    </row>
    <row r="186" spans="1:8" x14ac:dyDescent="0.25">
      <c r="A186" s="136"/>
      <c r="B186" s="136"/>
      <c r="C186" s="136"/>
      <c r="D186" s="136"/>
      <c r="F186" s="143"/>
    </row>
    <row r="187" spans="1:8" ht="30" x14ac:dyDescent="0.25">
      <c r="A187" s="136"/>
      <c r="B187" s="136"/>
      <c r="C187" s="136" t="s">
        <v>505</v>
      </c>
      <c r="D187" s="136"/>
      <c r="F187" s="143"/>
    </row>
    <row r="188" spans="1:8" x14ac:dyDescent="0.25">
      <c r="A188" s="136" t="s">
        <v>130</v>
      </c>
      <c r="B188" s="136" t="s">
        <v>484</v>
      </c>
      <c r="C188" s="136" t="s">
        <v>485</v>
      </c>
      <c r="D188" s="136" t="s">
        <v>486</v>
      </c>
      <c r="E188" s="136" t="s">
        <v>487</v>
      </c>
      <c r="F188" s="136" t="s">
        <v>488</v>
      </c>
      <c r="G188" s="136" t="s">
        <v>28</v>
      </c>
    </row>
    <row r="189" spans="1:8" x14ac:dyDescent="0.25">
      <c r="A189" s="136"/>
      <c r="B189" s="136"/>
      <c r="C189" s="136"/>
      <c r="D189" s="136"/>
      <c r="E189" s="158"/>
      <c r="G189" s="143"/>
    </row>
    <row r="190" spans="1:8" ht="30" x14ac:dyDescent="0.25">
      <c r="A190" s="136" t="s">
        <v>243</v>
      </c>
      <c r="B190" s="136">
        <v>27</v>
      </c>
      <c r="C190" s="146">
        <v>9982</v>
      </c>
      <c r="D190" s="136">
        <v>12</v>
      </c>
      <c r="E190" s="146">
        <v>1856</v>
      </c>
      <c r="F190" s="136">
        <v>174</v>
      </c>
      <c r="G190" s="146">
        <v>12051</v>
      </c>
    </row>
    <row r="191" spans="1:8" x14ac:dyDescent="0.25">
      <c r="A191" s="136" t="s">
        <v>244</v>
      </c>
      <c r="B191" s="136">
        <v>5</v>
      </c>
      <c r="C191" s="146">
        <v>1892</v>
      </c>
      <c r="D191">
        <v>0</v>
      </c>
      <c r="E191" s="136">
        <v>397</v>
      </c>
      <c r="F191" s="136">
        <v>50</v>
      </c>
      <c r="G191" s="146">
        <v>2344</v>
      </c>
    </row>
    <row r="192" spans="1:8" x14ac:dyDescent="0.25">
      <c r="A192" s="136" t="s">
        <v>245</v>
      </c>
      <c r="B192" s="136">
        <v>8</v>
      </c>
      <c r="C192" s="146">
        <v>3773</v>
      </c>
      <c r="D192" s="136">
        <v>1</v>
      </c>
      <c r="E192" s="136">
        <v>786</v>
      </c>
      <c r="F192" s="136">
        <v>83</v>
      </c>
      <c r="G192" s="146">
        <v>4651</v>
      </c>
    </row>
    <row r="193" spans="1:7" ht="30" x14ac:dyDescent="0.25">
      <c r="A193" s="136" t="s">
        <v>246</v>
      </c>
      <c r="B193" s="136">
        <v>33</v>
      </c>
      <c r="C193" s="146">
        <v>8007</v>
      </c>
      <c r="D193" s="136">
        <v>3</v>
      </c>
      <c r="E193" s="146">
        <v>1747</v>
      </c>
      <c r="F193" s="136">
        <v>172</v>
      </c>
      <c r="G193" s="146">
        <v>9962</v>
      </c>
    </row>
    <row r="194" spans="1:7" x14ac:dyDescent="0.25">
      <c r="A194" s="136" t="s">
        <v>247</v>
      </c>
      <c r="B194" s="136">
        <v>8</v>
      </c>
      <c r="C194" s="146">
        <v>2551</v>
      </c>
      <c r="D194" s="167">
        <v>0</v>
      </c>
      <c r="E194" s="136">
        <v>610</v>
      </c>
      <c r="F194" s="136">
        <v>32</v>
      </c>
      <c r="G194" s="146">
        <v>3201</v>
      </c>
    </row>
    <row r="195" spans="1:7" x14ac:dyDescent="0.25">
      <c r="A195" s="136" t="s">
        <v>248</v>
      </c>
      <c r="B195" s="136">
        <v>47</v>
      </c>
      <c r="C195" s="146">
        <v>25031</v>
      </c>
      <c r="D195" s="136">
        <v>16</v>
      </c>
      <c r="E195" s="146">
        <v>3837</v>
      </c>
      <c r="F195" s="136">
        <v>537</v>
      </c>
      <c r="G195" s="146">
        <v>29468</v>
      </c>
    </row>
    <row r="196" spans="1:7" ht="30" x14ac:dyDescent="0.25">
      <c r="A196" s="136" t="s">
        <v>249</v>
      </c>
      <c r="B196" s="136">
        <v>2</v>
      </c>
      <c r="C196" s="136">
        <v>706</v>
      </c>
      <c r="D196" s="167">
        <v>0</v>
      </c>
      <c r="E196" s="136">
        <v>180</v>
      </c>
      <c r="F196" s="136">
        <v>11</v>
      </c>
      <c r="G196" s="136">
        <v>899</v>
      </c>
    </row>
    <row r="197" spans="1:7" x14ac:dyDescent="0.25">
      <c r="A197" s="136" t="s">
        <v>499</v>
      </c>
      <c r="B197" s="136">
        <v>5</v>
      </c>
      <c r="C197" s="146">
        <v>2353</v>
      </c>
      <c r="D197" s="167">
        <v>0</v>
      </c>
      <c r="E197" s="136">
        <v>435</v>
      </c>
      <c r="F197" s="136">
        <v>28</v>
      </c>
      <c r="G197" s="146">
        <v>2821</v>
      </c>
    </row>
    <row r="198" spans="1:7" x14ac:dyDescent="0.25">
      <c r="A198" s="136" t="s">
        <v>250</v>
      </c>
      <c r="B198" s="136">
        <v>3</v>
      </c>
      <c r="C198" s="146">
        <v>1378</v>
      </c>
      <c r="D198" s="136">
        <v>1</v>
      </c>
      <c r="E198" s="136">
        <v>199</v>
      </c>
      <c r="F198" s="136">
        <v>26</v>
      </c>
      <c r="G198" s="146">
        <v>1607</v>
      </c>
    </row>
    <row r="199" spans="1:7" x14ac:dyDescent="0.25">
      <c r="A199" s="136" t="s">
        <v>251</v>
      </c>
      <c r="B199" s="136">
        <v>46</v>
      </c>
      <c r="C199" s="146">
        <v>17260</v>
      </c>
      <c r="D199" s="136">
        <v>10</v>
      </c>
      <c r="E199" s="146">
        <v>3215</v>
      </c>
      <c r="F199" s="136">
        <v>325</v>
      </c>
      <c r="G199" s="146">
        <v>20856</v>
      </c>
    </row>
    <row r="200" spans="1:7" x14ac:dyDescent="0.25">
      <c r="A200" s="136" t="s">
        <v>252</v>
      </c>
      <c r="B200" s="136">
        <v>9</v>
      </c>
      <c r="C200" s="146">
        <v>5818</v>
      </c>
      <c r="D200" s="167">
        <v>0</v>
      </c>
      <c r="E200" s="146">
        <v>1235</v>
      </c>
      <c r="F200" s="136">
        <v>146</v>
      </c>
      <c r="G200" s="146">
        <v>7208</v>
      </c>
    </row>
    <row r="201" spans="1:7" x14ac:dyDescent="0.25">
      <c r="A201" s="136" t="s">
        <v>253</v>
      </c>
      <c r="B201" s="136">
        <v>6</v>
      </c>
      <c r="C201" s="146">
        <v>5115</v>
      </c>
      <c r="D201" s="136">
        <v>2</v>
      </c>
      <c r="E201" s="146">
        <v>1016</v>
      </c>
      <c r="F201" s="136">
        <v>159</v>
      </c>
      <c r="G201" s="146">
        <v>6298</v>
      </c>
    </row>
    <row r="202" spans="1:7" x14ac:dyDescent="0.25">
      <c r="A202" s="136" t="s">
        <v>254</v>
      </c>
      <c r="B202" s="136">
        <v>18</v>
      </c>
      <c r="C202" s="146">
        <v>7962</v>
      </c>
      <c r="D202" s="136">
        <v>7</v>
      </c>
      <c r="E202" s="146">
        <v>1147</v>
      </c>
      <c r="F202" s="136">
        <v>157</v>
      </c>
      <c r="G202" s="146">
        <v>9291</v>
      </c>
    </row>
    <row r="203" spans="1:7" x14ac:dyDescent="0.25">
      <c r="A203" s="136" t="s">
        <v>255</v>
      </c>
      <c r="B203" s="136">
        <v>29</v>
      </c>
      <c r="C203" s="146">
        <v>8694</v>
      </c>
      <c r="D203" s="136">
        <v>8</v>
      </c>
      <c r="E203" s="146">
        <v>1726</v>
      </c>
      <c r="F203" s="136">
        <v>175</v>
      </c>
      <c r="G203" s="146">
        <v>10632</v>
      </c>
    </row>
    <row r="204" spans="1:7" x14ac:dyDescent="0.25">
      <c r="A204" s="136" t="s">
        <v>256</v>
      </c>
      <c r="B204" s="136">
        <v>0</v>
      </c>
      <c r="C204" s="146">
        <v>1678</v>
      </c>
      <c r="D204" s="167">
        <v>0</v>
      </c>
      <c r="E204" s="136">
        <v>292</v>
      </c>
      <c r="F204" s="136">
        <v>38</v>
      </c>
      <c r="G204" s="146">
        <v>2008</v>
      </c>
    </row>
    <row r="205" spans="1:7" x14ac:dyDescent="0.25">
      <c r="A205" s="136" t="s">
        <v>257</v>
      </c>
      <c r="B205" s="136">
        <v>7</v>
      </c>
      <c r="C205" s="146">
        <v>1433</v>
      </c>
      <c r="D205" s="167">
        <v>0</v>
      </c>
      <c r="E205" s="136">
        <v>320</v>
      </c>
      <c r="F205" s="136">
        <v>35</v>
      </c>
      <c r="G205" s="146">
        <v>1795</v>
      </c>
    </row>
    <row r="206" spans="1:7" x14ac:dyDescent="0.25">
      <c r="A206" s="136" t="s">
        <v>258</v>
      </c>
      <c r="B206" s="136">
        <v>4</v>
      </c>
      <c r="C206" s="146">
        <v>1631</v>
      </c>
      <c r="D206" s="167">
        <v>0</v>
      </c>
      <c r="E206" s="136">
        <v>224</v>
      </c>
      <c r="F206" s="136">
        <v>34</v>
      </c>
      <c r="G206" s="146">
        <v>1893</v>
      </c>
    </row>
    <row r="207" spans="1:7" x14ac:dyDescent="0.25">
      <c r="A207" s="136" t="s">
        <v>259</v>
      </c>
      <c r="B207" s="136">
        <v>2</v>
      </c>
      <c r="C207" s="146">
        <v>1880</v>
      </c>
      <c r="D207" s="167">
        <v>0</v>
      </c>
      <c r="E207" s="136">
        <v>248</v>
      </c>
      <c r="F207" s="136">
        <v>31</v>
      </c>
      <c r="G207" s="146">
        <v>2161</v>
      </c>
    </row>
    <row r="208" spans="1:7" x14ac:dyDescent="0.25">
      <c r="A208" s="136" t="s">
        <v>260</v>
      </c>
      <c r="B208" s="136">
        <v>7</v>
      </c>
      <c r="C208" s="146">
        <v>4002</v>
      </c>
      <c r="D208" s="136">
        <v>2</v>
      </c>
      <c r="E208" s="136">
        <v>872</v>
      </c>
      <c r="F208" s="136">
        <v>73</v>
      </c>
      <c r="G208" s="146">
        <v>4956</v>
      </c>
    </row>
    <row r="209" spans="1:7" x14ac:dyDescent="0.25">
      <c r="A209" s="136" t="s">
        <v>261</v>
      </c>
      <c r="B209" s="136">
        <v>2</v>
      </c>
      <c r="C209" s="146">
        <v>2570</v>
      </c>
      <c r="D209" s="167">
        <v>0</v>
      </c>
      <c r="E209" s="136">
        <v>522</v>
      </c>
      <c r="F209" s="136">
        <v>55</v>
      </c>
      <c r="G209" s="146">
        <v>3149</v>
      </c>
    </row>
    <row r="210" spans="1:7" x14ac:dyDescent="0.25">
      <c r="A210" s="136" t="s">
        <v>262</v>
      </c>
      <c r="B210" s="136">
        <v>2</v>
      </c>
      <c r="C210" s="146">
        <v>2439</v>
      </c>
      <c r="D210" s="167">
        <v>0</v>
      </c>
      <c r="E210" s="136">
        <v>350</v>
      </c>
      <c r="F210" s="136">
        <v>56</v>
      </c>
      <c r="G210" s="146">
        <v>2847</v>
      </c>
    </row>
    <row r="211" spans="1:7" ht="30" x14ac:dyDescent="0.25">
      <c r="A211" s="136" t="s">
        <v>263</v>
      </c>
      <c r="B211" s="136">
        <v>8</v>
      </c>
      <c r="C211" s="146">
        <v>3367</v>
      </c>
      <c r="D211" s="136">
        <v>3</v>
      </c>
      <c r="E211" s="136">
        <v>458</v>
      </c>
      <c r="F211" s="136">
        <v>71</v>
      </c>
      <c r="G211" s="146">
        <v>3907</v>
      </c>
    </row>
    <row r="212" spans="1:7" ht="30" x14ac:dyDescent="0.25">
      <c r="A212" s="136" t="s">
        <v>264</v>
      </c>
      <c r="B212" s="136">
        <v>19</v>
      </c>
      <c r="C212" s="146">
        <v>7507</v>
      </c>
      <c r="D212" s="136">
        <v>2</v>
      </c>
      <c r="E212" s="146">
        <v>1281</v>
      </c>
      <c r="F212" s="136">
        <v>139</v>
      </c>
      <c r="G212" s="146">
        <v>8948</v>
      </c>
    </row>
    <row r="213" spans="1:7" x14ac:dyDescent="0.25">
      <c r="A213" s="136" t="s">
        <v>265</v>
      </c>
      <c r="B213" s="136">
        <v>32</v>
      </c>
      <c r="C213" s="146">
        <v>8613</v>
      </c>
      <c r="D213" s="136">
        <v>2</v>
      </c>
      <c r="E213" s="146">
        <v>1325</v>
      </c>
      <c r="F213" s="136">
        <v>147</v>
      </c>
      <c r="G213" s="146">
        <v>10119</v>
      </c>
    </row>
    <row r="214" spans="1:7" ht="30" x14ac:dyDescent="0.25">
      <c r="A214" s="136" t="s">
        <v>266</v>
      </c>
      <c r="B214" s="136">
        <v>2</v>
      </c>
      <c r="C214" s="146">
        <v>1608</v>
      </c>
      <c r="E214" s="136">
        <v>390</v>
      </c>
      <c r="F214" s="136">
        <v>30</v>
      </c>
      <c r="G214" s="146">
        <v>2030</v>
      </c>
    </row>
    <row r="215" spans="1:7" x14ac:dyDescent="0.25">
      <c r="A215" s="136" t="s">
        <v>267</v>
      </c>
      <c r="B215" s="136">
        <v>105</v>
      </c>
      <c r="C215" s="146">
        <v>39306</v>
      </c>
      <c r="D215" s="136">
        <v>26</v>
      </c>
      <c r="E215" s="146">
        <v>7612</v>
      </c>
      <c r="F215" s="136">
        <v>865</v>
      </c>
      <c r="G215" s="146">
        <v>47914</v>
      </c>
    </row>
    <row r="216" spans="1:7" x14ac:dyDescent="0.25">
      <c r="A216" s="136" t="s">
        <v>268</v>
      </c>
      <c r="B216" s="136">
        <v>14</v>
      </c>
      <c r="C216" s="146">
        <v>5362</v>
      </c>
      <c r="D216" s="136">
        <v>3</v>
      </c>
      <c r="E216" s="136">
        <v>834</v>
      </c>
      <c r="F216" s="136">
        <v>136</v>
      </c>
      <c r="G216" s="146">
        <v>6349</v>
      </c>
    </row>
    <row r="217" spans="1:7" ht="30" x14ac:dyDescent="0.25">
      <c r="A217" s="136" t="s">
        <v>269</v>
      </c>
      <c r="B217" s="136">
        <v>1</v>
      </c>
      <c r="C217" s="136">
        <v>864</v>
      </c>
      <c r="D217" s="136">
        <v>1</v>
      </c>
      <c r="E217" s="136">
        <v>135</v>
      </c>
      <c r="F217" s="136">
        <v>24</v>
      </c>
      <c r="G217" s="146">
        <v>1025</v>
      </c>
    </row>
    <row r="218" spans="1:7" ht="30" x14ac:dyDescent="0.25">
      <c r="A218" s="136" t="s">
        <v>270</v>
      </c>
      <c r="B218" s="136">
        <v>8</v>
      </c>
      <c r="C218" s="146">
        <v>3230</v>
      </c>
      <c r="D218" s="136">
        <v>1</v>
      </c>
      <c r="E218" s="136">
        <v>631</v>
      </c>
      <c r="F218" s="136">
        <v>64</v>
      </c>
      <c r="G218" s="146">
        <v>3934</v>
      </c>
    </row>
    <row r="219" spans="1:7" ht="30" x14ac:dyDescent="0.25">
      <c r="A219" s="136" t="s">
        <v>271</v>
      </c>
      <c r="B219" s="136">
        <v>5</v>
      </c>
      <c r="C219" s="146">
        <v>3240</v>
      </c>
      <c r="D219" s="136">
        <v>1</v>
      </c>
      <c r="E219" s="136">
        <v>558</v>
      </c>
      <c r="F219" s="136">
        <v>77</v>
      </c>
      <c r="G219" s="146">
        <v>3881</v>
      </c>
    </row>
    <row r="220" spans="1:7" x14ac:dyDescent="0.25">
      <c r="A220" s="136" t="s">
        <v>28</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272</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505</v>
      </c>
      <c r="D228" s="136"/>
      <c r="G228" s="143"/>
    </row>
    <row r="229" spans="1:8" x14ac:dyDescent="0.25">
      <c r="A229" s="136" t="s">
        <v>130</v>
      </c>
      <c r="B229" s="136" t="s">
        <v>484</v>
      </c>
      <c r="C229" s="136" t="s">
        <v>485</v>
      </c>
      <c r="D229" s="136" t="s">
        <v>486</v>
      </c>
      <c r="E229" s="136" t="s">
        <v>487</v>
      </c>
      <c r="F229" s="136" t="s">
        <v>488</v>
      </c>
      <c r="G229" s="136" t="s">
        <v>28</v>
      </c>
      <c r="H229" s="143"/>
    </row>
    <row r="230" spans="1:8" x14ac:dyDescent="0.25">
      <c r="A230" s="136"/>
      <c r="B230" s="136"/>
      <c r="C230" s="136"/>
      <c r="H230" s="143"/>
    </row>
    <row r="231" spans="1:8" ht="30" x14ac:dyDescent="0.25">
      <c r="A231" s="136" t="s">
        <v>273</v>
      </c>
      <c r="B231" s="136">
        <v>4</v>
      </c>
      <c r="C231" s="136">
        <v>815</v>
      </c>
      <c r="D231" s="136">
        <v>0</v>
      </c>
      <c r="E231" s="136">
        <v>128</v>
      </c>
      <c r="F231" s="136">
        <v>23</v>
      </c>
      <c r="G231" s="136">
        <v>970</v>
      </c>
      <c r="H231" s="143"/>
    </row>
    <row r="232" spans="1:8" x14ac:dyDescent="0.25">
      <c r="A232" s="136" t="s">
        <v>274</v>
      </c>
      <c r="B232" s="136">
        <v>4</v>
      </c>
      <c r="C232" s="136">
        <v>863</v>
      </c>
      <c r="D232" s="136">
        <v>0</v>
      </c>
      <c r="E232" s="136">
        <v>151</v>
      </c>
      <c r="F232" s="136">
        <v>9</v>
      </c>
      <c r="G232" s="146">
        <v>1027</v>
      </c>
      <c r="H232" s="143"/>
    </row>
    <row r="233" spans="1:8" x14ac:dyDescent="0.25">
      <c r="A233" s="136" t="s">
        <v>275</v>
      </c>
      <c r="B233" s="136">
        <v>16</v>
      </c>
      <c r="C233" s="146">
        <v>5959</v>
      </c>
      <c r="D233" s="136">
        <v>3</v>
      </c>
      <c r="E233" s="146">
        <v>1709</v>
      </c>
      <c r="F233" s="136">
        <v>121</v>
      </c>
      <c r="G233" s="146">
        <v>7808</v>
      </c>
      <c r="H233" s="143"/>
    </row>
    <row r="234" spans="1:8" x14ac:dyDescent="0.25">
      <c r="A234" s="136" t="s">
        <v>276</v>
      </c>
      <c r="B234" s="136">
        <v>18</v>
      </c>
      <c r="C234" s="146">
        <v>5555</v>
      </c>
      <c r="D234" s="136">
        <v>3</v>
      </c>
      <c r="E234" s="146">
        <v>1081</v>
      </c>
      <c r="F234" s="136">
        <v>116</v>
      </c>
      <c r="G234" s="146">
        <v>6773</v>
      </c>
      <c r="H234" s="143"/>
    </row>
    <row r="235" spans="1:8" x14ac:dyDescent="0.25">
      <c r="A235" s="136" t="s">
        <v>500</v>
      </c>
      <c r="B235" s="136">
        <v>11</v>
      </c>
      <c r="C235" s="146">
        <v>6031</v>
      </c>
      <c r="D235" s="168">
        <v>0</v>
      </c>
      <c r="E235" s="146">
        <v>1432</v>
      </c>
      <c r="F235" s="136">
        <v>117</v>
      </c>
      <c r="G235" s="146">
        <v>7591</v>
      </c>
      <c r="H235" s="143"/>
    </row>
    <row r="236" spans="1:8" ht="30" x14ac:dyDescent="0.25">
      <c r="A236" s="136" t="s">
        <v>277</v>
      </c>
      <c r="B236" s="136">
        <v>44</v>
      </c>
      <c r="C236" s="146">
        <v>13344</v>
      </c>
      <c r="D236" s="136">
        <v>12</v>
      </c>
      <c r="E236" s="146">
        <v>2946</v>
      </c>
      <c r="F236" s="136">
        <v>274</v>
      </c>
      <c r="G236" s="146">
        <v>16620</v>
      </c>
      <c r="H236" s="143"/>
    </row>
    <row r="237" spans="1:8" ht="30" x14ac:dyDescent="0.25">
      <c r="A237" s="136" t="s">
        <v>278</v>
      </c>
      <c r="B237" s="136">
        <v>113</v>
      </c>
      <c r="C237" s="146">
        <v>35778</v>
      </c>
      <c r="D237" s="136">
        <v>37</v>
      </c>
      <c r="E237" s="146">
        <v>8576</v>
      </c>
      <c r="F237" s="136">
        <v>804</v>
      </c>
      <c r="G237" s="146">
        <v>45308</v>
      </c>
      <c r="H237" s="143"/>
    </row>
    <row r="238" spans="1:8" x14ac:dyDescent="0.25">
      <c r="A238" s="136" t="s">
        <v>279</v>
      </c>
      <c r="B238" s="136">
        <v>3</v>
      </c>
      <c r="C238" s="146">
        <v>1171</v>
      </c>
      <c r="D238" s="136">
        <v>1</v>
      </c>
      <c r="E238" s="136">
        <v>424</v>
      </c>
      <c r="F238" s="136">
        <v>50</v>
      </c>
      <c r="G238" s="146">
        <v>1649</v>
      </c>
      <c r="H238" s="143"/>
    </row>
    <row r="239" spans="1:8" x14ac:dyDescent="0.25">
      <c r="A239" s="136" t="s">
        <v>280</v>
      </c>
      <c r="B239" s="136">
        <v>45</v>
      </c>
      <c r="C239" s="146">
        <v>18189</v>
      </c>
      <c r="D239" s="136">
        <v>11</v>
      </c>
      <c r="E239" s="146">
        <v>4342</v>
      </c>
      <c r="F239" s="136">
        <v>373</v>
      </c>
      <c r="G239" s="146">
        <v>22960</v>
      </c>
      <c r="H239" s="143"/>
    </row>
    <row r="240" spans="1:8" ht="30" x14ac:dyDescent="0.25">
      <c r="A240" s="136" t="s">
        <v>281</v>
      </c>
      <c r="B240" s="136">
        <v>22</v>
      </c>
      <c r="C240" s="146">
        <v>5903</v>
      </c>
      <c r="D240" s="136">
        <v>2</v>
      </c>
      <c r="E240" s="146">
        <v>1890</v>
      </c>
      <c r="F240" s="136">
        <v>107</v>
      </c>
      <c r="G240" s="146">
        <v>7924</v>
      </c>
      <c r="H240" s="143"/>
    </row>
    <row r="241" spans="1:9" x14ac:dyDescent="0.25">
      <c r="A241" s="136" t="s">
        <v>282</v>
      </c>
      <c r="B241" s="136">
        <v>2</v>
      </c>
      <c r="C241" s="146">
        <v>2299</v>
      </c>
      <c r="D241" s="146">
        <v>0</v>
      </c>
      <c r="E241" s="136">
        <v>393</v>
      </c>
      <c r="F241" s="136">
        <v>45</v>
      </c>
      <c r="G241" s="146">
        <v>2739</v>
      </c>
      <c r="I241" s="143"/>
    </row>
    <row r="242" spans="1:9" x14ac:dyDescent="0.25">
      <c r="A242" s="136" t="s">
        <v>283</v>
      </c>
      <c r="B242" s="136">
        <v>44</v>
      </c>
      <c r="C242" s="146">
        <v>15216</v>
      </c>
      <c r="D242" s="136">
        <v>11</v>
      </c>
      <c r="E242" s="146">
        <v>3105</v>
      </c>
      <c r="F242" s="136">
        <v>292</v>
      </c>
      <c r="G242" s="146">
        <v>18668</v>
      </c>
      <c r="H242" s="143"/>
    </row>
    <row r="243" spans="1:9" x14ac:dyDescent="0.25">
      <c r="A243" s="136" t="s">
        <v>284</v>
      </c>
      <c r="B243" s="136">
        <v>10</v>
      </c>
      <c r="C243" s="146">
        <v>3863</v>
      </c>
      <c r="D243" s="136">
        <v>3</v>
      </c>
      <c r="E243" s="136">
        <v>829</v>
      </c>
      <c r="F243" s="136">
        <v>90</v>
      </c>
      <c r="G243" s="146">
        <v>4795</v>
      </c>
      <c r="H243" s="143"/>
    </row>
    <row r="244" spans="1:9" x14ac:dyDescent="0.25">
      <c r="A244" s="136" t="s">
        <v>285</v>
      </c>
      <c r="B244" s="136">
        <v>16</v>
      </c>
      <c r="C244" s="146">
        <v>5049</v>
      </c>
      <c r="D244" s="136">
        <v>1</v>
      </c>
      <c r="E244" s="146">
        <v>1158</v>
      </c>
      <c r="F244" s="136">
        <v>108</v>
      </c>
      <c r="G244" s="146">
        <v>6332</v>
      </c>
      <c r="H244" s="143"/>
    </row>
    <row r="245" spans="1:9" x14ac:dyDescent="0.25">
      <c r="A245" s="136" t="s">
        <v>286</v>
      </c>
      <c r="B245" s="136">
        <v>11</v>
      </c>
      <c r="C245" s="146">
        <v>4313</v>
      </c>
      <c r="D245" s="136">
        <v>1</v>
      </c>
      <c r="E245" s="145">
        <v>1292</v>
      </c>
      <c r="F245" s="136">
        <v>115</v>
      </c>
      <c r="G245" s="146">
        <v>5732</v>
      </c>
      <c r="H245" s="143"/>
    </row>
    <row r="246" spans="1:9" ht="30" x14ac:dyDescent="0.25">
      <c r="A246" s="136" t="s">
        <v>287</v>
      </c>
      <c r="B246" s="136">
        <v>10</v>
      </c>
      <c r="C246" s="146">
        <v>3287</v>
      </c>
      <c r="D246" s="136">
        <v>1</v>
      </c>
      <c r="E246">
        <v>768</v>
      </c>
      <c r="F246" s="136">
        <v>71</v>
      </c>
      <c r="G246" s="146">
        <v>4137</v>
      </c>
      <c r="H246" s="143"/>
    </row>
    <row r="247" spans="1:9" ht="30" x14ac:dyDescent="0.25">
      <c r="A247" s="136" t="s">
        <v>288</v>
      </c>
      <c r="B247" s="136">
        <v>78</v>
      </c>
      <c r="C247" s="146">
        <v>33883</v>
      </c>
      <c r="D247" s="136">
        <v>13</v>
      </c>
      <c r="E247" s="145">
        <v>6500</v>
      </c>
      <c r="F247" s="136">
        <v>708</v>
      </c>
      <c r="G247" s="146">
        <v>41182</v>
      </c>
      <c r="H247" s="143"/>
    </row>
    <row r="248" spans="1:9" x14ac:dyDescent="0.25">
      <c r="A248" s="136" t="s">
        <v>289</v>
      </c>
      <c r="B248" s="136">
        <v>22</v>
      </c>
      <c r="C248" s="146">
        <v>9398</v>
      </c>
      <c r="D248" s="136">
        <v>3</v>
      </c>
      <c r="E248" s="145">
        <v>2441</v>
      </c>
      <c r="F248" s="136">
        <v>172</v>
      </c>
      <c r="G248" s="146">
        <v>12036</v>
      </c>
      <c r="H248" s="143"/>
    </row>
    <row r="249" spans="1:9" x14ac:dyDescent="0.25">
      <c r="A249" s="136" t="s">
        <v>290</v>
      </c>
      <c r="B249" s="136">
        <v>20</v>
      </c>
      <c r="C249" s="146">
        <v>6090</v>
      </c>
      <c r="D249" s="136">
        <v>6</v>
      </c>
      <c r="E249" s="145">
        <v>1218</v>
      </c>
      <c r="F249" s="136">
        <v>125</v>
      </c>
      <c r="G249" s="146">
        <v>7459</v>
      </c>
      <c r="H249" s="143"/>
    </row>
    <row r="250" spans="1:9" ht="30" x14ac:dyDescent="0.25">
      <c r="A250" s="136" t="s">
        <v>291</v>
      </c>
      <c r="B250" s="136">
        <v>10</v>
      </c>
      <c r="C250" s="146">
        <v>5056</v>
      </c>
      <c r="D250" s="136">
        <v>4</v>
      </c>
      <c r="E250" s="145">
        <v>1117</v>
      </c>
      <c r="F250" s="136">
        <v>110</v>
      </c>
      <c r="G250" s="146">
        <v>6297</v>
      </c>
      <c r="H250" s="143"/>
    </row>
    <row r="251" spans="1:9" x14ac:dyDescent="0.25">
      <c r="A251" s="136" t="s">
        <v>292</v>
      </c>
      <c r="B251" s="136">
        <v>8</v>
      </c>
      <c r="C251" s="146">
        <v>1921</v>
      </c>
      <c r="E251" s="136">
        <v>324</v>
      </c>
      <c r="F251" s="136">
        <v>47</v>
      </c>
      <c r="G251" s="146">
        <v>2300</v>
      </c>
      <c r="H251" s="143"/>
    </row>
    <row r="252" spans="1:9" x14ac:dyDescent="0.25">
      <c r="A252" s="136" t="s">
        <v>293</v>
      </c>
      <c r="B252" s="136">
        <v>22</v>
      </c>
      <c r="C252" s="146">
        <v>8390</v>
      </c>
      <c r="D252" s="136">
        <v>2</v>
      </c>
      <c r="E252" s="145">
        <v>1974</v>
      </c>
      <c r="F252" s="136">
        <v>155</v>
      </c>
      <c r="G252" s="146">
        <v>10543</v>
      </c>
      <c r="H252" s="143"/>
    </row>
    <row r="253" spans="1:9" x14ac:dyDescent="0.25">
      <c r="A253" s="136" t="s">
        <v>294</v>
      </c>
      <c r="B253" s="136">
        <v>2</v>
      </c>
      <c r="C253" s="136">
        <v>975</v>
      </c>
      <c r="D253" s="136">
        <v>1</v>
      </c>
      <c r="E253">
        <v>124</v>
      </c>
      <c r="F253" s="136">
        <v>20</v>
      </c>
      <c r="G253" s="146">
        <v>1122</v>
      </c>
      <c r="H253" s="143"/>
    </row>
    <row r="254" spans="1:9" x14ac:dyDescent="0.25">
      <c r="A254" s="136" t="s">
        <v>295</v>
      </c>
      <c r="B254" s="136">
        <v>4</v>
      </c>
      <c r="C254" s="146">
        <v>2024</v>
      </c>
      <c r="E254" s="136">
        <v>351</v>
      </c>
      <c r="F254" s="136">
        <v>35</v>
      </c>
      <c r="G254" s="146">
        <v>2414</v>
      </c>
      <c r="H254" s="143"/>
    </row>
    <row r="255" spans="1:9" ht="30" x14ac:dyDescent="0.25">
      <c r="A255" s="136" t="s">
        <v>296</v>
      </c>
      <c r="B255" s="136">
        <v>38</v>
      </c>
      <c r="C255" s="146">
        <v>14176</v>
      </c>
      <c r="D255" s="136">
        <v>7</v>
      </c>
      <c r="E255" s="145">
        <v>3543</v>
      </c>
      <c r="F255" s="136">
        <v>373</v>
      </c>
      <c r="G255" s="146">
        <v>18137</v>
      </c>
    </row>
    <row r="256" spans="1:9" ht="30" x14ac:dyDescent="0.25">
      <c r="A256" s="136" t="s">
        <v>297</v>
      </c>
      <c r="B256" s="136">
        <v>6</v>
      </c>
      <c r="C256" s="136">
        <v>791</v>
      </c>
      <c r="E256" s="136">
        <v>155</v>
      </c>
      <c r="F256" s="136">
        <v>19</v>
      </c>
      <c r="G256" s="136">
        <v>971</v>
      </c>
      <c r="H256" s="143"/>
    </row>
    <row r="257" spans="1:8" ht="30" x14ac:dyDescent="0.25">
      <c r="A257" s="136" t="s">
        <v>298</v>
      </c>
      <c r="B257" s="136">
        <v>11</v>
      </c>
      <c r="C257" s="146">
        <v>2684</v>
      </c>
      <c r="D257" s="136">
        <v>3</v>
      </c>
      <c r="E257">
        <v>487</v>
      </c>
      <c r="F257" s="136">
        <v>50</v>
      </c>
      <c r="G257" s="146">
        <v>3235</v>
      </c>
      <c r="H257" s="143"/>
    </row>
    <row r="258" spans="1:8" ht="30" x14ac:dyDescent="0.25">
      <c r="A258" s="136" t="s">
        <v>299</v>
      </c>
      <c r="B258" s="136">
        <v>9</v>
      </c>
      <c r="C258" s="146">
        <v>2616</v>
      </c>
      <c r="D258" s="136">
        <v>1</v>
      </c>
      <c r="E258">
        <v>663</v>
      </c>
      <c r="F258" s="136">
        <v>63</v>
      </c>
      <c r="G258" s="146">
        <v>3352</v>
      </c>
      <c r="H258" s="143"/>
    </row>
    <row r="259" spans="1:8" ht="30" x14ac:dyDescent="0.25">
      <c r="A259" s="136" t="s">
        <v>300</v>
      </c>
      <c r="B259" s="136">
        <v>82</v>
      </c>
      <c r="C259" s="146">
        <v>25316</v>
      </c>
      <c r="D259" s="136">
        <v>39</v>
      </c>
      <c r="E259" s="145">
        <v>6847</v>
      </c>
      <c r="F259" s="136">
        <v>597</v>
      </c>
      <c r="G259" s="146">
        <v>32881</v>
      </c>
      <c r="H259" s="143"/>
    </row>
    <row r="260" spans="1:8" x14ac:dyDescent="0.25">
      <c r="A260" s="136" t="s">
        <v>301</v>
      </c>
      <c r="B260" s="136">
        <v>2</v>
      </c>
      <c r="C260" s="146">
        <v>1390</v>
      </c>
      <c r="E260" s="136">
        <v>364</v>
      </c>
      <c r="F260" s="136">
        <v>41</v>
      </c>
      <c r="G260" s="146">
        <v>1797</v>
      </c>
      <c r="H260" s="143"/>
    </row>
    <row r="261" spans="1:8" x14ac:dyDescent="0.25">
      <c r="A261" s="136" t="s">
        <v>302</v>
      </c>
      <c r="B261" s="136">
        <v>34</v>
      </c>
      <c r="C261" s="146">
        <v>11181</v>
      </c>
      <c r="D261" s="136">
        <v>4</v>
      </c>
      <c r="E261" s="145">
        <v>2262</v>
      </c>
      <c r="F261" s="136">
        <v>210</v>
      </c>
      <c r="G261" s="146">
        <v>13691</v>
      </c>
      <c r="H261" s="143"/>
    </row>
    <row r="262" spans="1:8" x14ac:dyDescent="0.25">
      <c r="A262" s="136" t="s">
        <v>303</v>
      </c>
      <c r="B262" s="136">
        <v>12</v>
      </c>
      <c r="C262" s="146">
        <v>3050</v>
      </c>
      <c r="D262" s="136">
        <v>3</v>
      </c>
      <c r="E262">
        <v>531</v>
      </c>
      <c r="F262" s="136">
        <v>61</v>
      </c>
      <c r="G262" s="146">
        <v>3657</v>
      </c>
      <c r="H262" s="143"/>
    </row>
    <row r="263" spans="1:8" x14ac:dyDescent="0.25">
      <c r="A263" s="136" t="s">
        <v>304</v>
      </c>
      <c r="B263" s="136">
        <v>19</v>
      </c>
      <c r="C263" s="146">
        <v>5296</v>
      </c>
      <c r="E263" s="146">
        <v>1243</v>
      </c>
      <c r="F263" s="136">
        <v>108</v>
      </c>
      <c r="G263" s="146">
        <v>6666</v>
      </c>
      <c r="H263" s="143"/>
    </row>
    <row r="264" spans="1:8" x14ac:dyDescent="0.25">
      <c r="A264" s="136"/>
      <c r="H264" s="143"/>
    </row>
    <row r="265" spans="1:8" x14ac:dyDescent="0.25">
      <c r="A265" s="136" t="s">
        <v>28</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506</v>
      </c>
      <c r="B267" s="136" t="s">
        <v>507</v>
      </c>
      <c r="C267" s="136">
        <v>9</v>
      </c>
      <c r="D267" s="154"/>
      <c r="E267" s="154"/>
      <c r="F267" s="155"/>
    </row>
    <row r="268" spans="1:8" x14ac:dyDescent="0.25">
      <c r="A268" s="136"/>
      <c r="B268" s="136"/>
      <c r="C268" s="136"/>
      <c r="D268" s="136"/>
      <c r="F268" s="143"/>
    </row>
    <row r="269" spans="1:8" ht="30" x14ac:dyDescent="0.25">
      <c r="A269" s="136"/>
      <c r="B269" s="136"/>
      <c r="C269" s="136" t="s">
        <v>505</v>
      </c>
      <c r="D269" s="136"/>
      <c r="F269" s="143"/>
    </row>
    <row r="270" spans="1:8" x14ac:dyDescent="0.25">
      <c r="A270" s="136" t="s">
        <v>130</v>
      </c>
      <c r="B270" s="136" t="s">
        <v>484</v>
      </c>
      <c r="C270" s="136" t="s">
        <v>485</v>
      </c>
      <c r="D270" s="136" t="s">
        <v>486</v>
      </c>
      <c r="E270" t="s">
        <v>487</v>
      </c>
      <c r="F270" s="136" t="s">
        <v>488</v>
      </c>
      <c r="G270" s="136" t="s">
        <v>28</v>
      </c>
    </row>
    <row r="271" spans="1:8" x14ac:dyDescent="0.25">
      <c r="A271" s="136"/>
      <c r="B271" s="136"/>
      <c r="C271" s="136"/>
      <c r="D271" s="136"/>
      <c r="G271" s="143"/>
    </row>
    <row r="272" spans="1:8" x14ac:dyDescent="0.25">
      <c r="A272" s="136" t="s">
        <v>305</v>
      </c>
      <c r="B272" s="136">
        <v>25</v>
      </c>
      <c r="C272" s="146">
        <v>9666</v>
      </c>
      <c r="D272" s="136">
        <v>4</v>
      </c>
      <c r="E272" s="145">
        <v>2211</v>
      </c>
      <c r="F272" s="136">
        <v>190</v>
      </c>
      <c r="G272" s="146">
        <v>12096</v>
      </c>
    </row>
    <row r="273" spans="1:7" x14ac:dyDescent="0.25">
      <c r="A273" s="136" t="s">
        <v>306</v>
      </c>
      <c r="B273" s="136">
        <v>15</v>
      </c>
      <c r="C273" s="146">
        <v>4939</v>
      </c>
      <c r="E273" s="146">
        <v>1139</v>
      </c>
      <c r="F273" s="136">
        <v>109</v>
      </c>
      <c r="G273" s="146">
        <v>6202</v>
      </c>
    </row>
    <row r="274" spans="1:7" x14ac:dyDescent="0.25">
      <c r="A274" s="136" t="s">
        <v>307</v>
      </c>
      <c r="B274" s="136">
        <v>7</v>
      </c>
      <c r="C274" s="146">
        <v>1900</v>
      </c>
      <c r="E274" s="136">
        <v>377</v>
      </c>
      <c r="F274" s="136">
        <v>59</v>
      </c>
      <c r="G274" s="146">
        <v>2343</v>
      </c>
    </row>
    <row r="275" spans="1:7" x14ac:dyDescent="0.25">
      <c r="A275" s="136" t="s">
        <v>308</v>
      </c>
      <c r="B275" s="136">
        <v>12</v>
      </c>
      <c r="C275" s="146">
        <v>4094</v>
      </c>
      <c r="D275" s="136">
        <v>2</v>
      </c>
      <c r="E275">
        <v>789</v>
      </c>
      <c r="F275" s="136">
        <v>87</v>
      </c>
      <c r="G275" s="146">
        <v>4984</v>
      </c>
    </row>
    <row r="276" spans="1:7" x14ac:dyDescent="0.25">
      <c r="A276" s="136" t="s">
        <v>309</v>
      </c>
      <c r="B276" s="136">
        <v>10</v>
      </c>
      <c r="C276" s="146">
        <v>4058</v>
      </c>
      <c r="D276" s="136">
        <v>3</v>
      </c>
      <c r="E276">
        <v>798</v>
      </c>
      <c r="F276" s="136">
        <v>113</v>
      </c>
      <c r="G276" s="146">
        <v>4982</v>
      </c>
    </row>
    <row r="277" spans="1:7" ht="30" x14ac:dyDescent="0.25">
      <c r="A277" s="136" t="s">
        <v>310</v>
      </c>
      <c r="B277" s="136">
        <v>13</v>
      </c>
      <c r="C277" s="146">
        <v>3953</v>
      </c>
      <c r="D277" s="136">
        <v>1</v>
      </c>
      <c r="E277">
        <v>718</v>
      </c>
      <c r="F277" s="136">
        <v>98</v>
      </c>
      <c r="G277" s="146">
        <v>4783</v>
      </c>
    </row>
    <row r="278" spans="1:7" ht="30" x14ac:dyDescent="0.25">
      <c r="A278" s="136" t="s">
        <v>311</v>
      </c>
      <c r="B278" s="136">
        <v>3</v>
      </c>
      <c r="C278" s="146">
        <v>1348</v>
      </c>
      <c r="E278" s="136">
        <v>238</v>
      </c>
      <c r="F278" s="136">
        <v>33</v>
      </c>
      <c r="G278" s="146">
        <v>1622</v>
      </c>
    </row>
    <row r="279" spans="1:7" x14ac:dyDescent="0.25">
      <c r="A279" s="136" t="s">
        <v>312</v>
      </c>
      <c r="B279" s="136">
        <v>3</v>
      </c>
      <c r="C279" s="146">
        <v>1309</v>
      </c>
      <c r="D279" s="136">
        <v>1</v>
      </c>
      <c r="E279">
        <v>281</v>
      </c>
      <c r="F279" s="136">
        <v>25</v>
      </c>
      <c r="G279" s="146">
        <v>1619</v>
      </c>
    </row>
    <row r="280" spans="1:7" x14ac:dyDescent="0.25">
      <c r="A280" s="136" t="s">
        <v>313</v>
      </c>
      <c r="B280" s="136">
        <v>13</v>
      </c>
      <c r="C280" s="146">
        <v>4463</v>
      </c>
      <c r="D280" s="136">
        <v>1</v>
      </c>
      <c r="E280">
        <v>770</v>
      </c>
      <c r="F280" s="136">
        <v>93</v>
      </c>
      <c r="G280" s="146">
        <v>5340</v>
      </c>
    </row>
    <row r="281" spans="1:7" ht="30" x14ac:dyDescent="0.25">
      <c r="A281" s="136" t="s">
        <v>314</v>
      </c>
      <c r="B281" s="136">
        <v>8</v>
      </c>
      <c r="C281" s="146">
        <v>2191</v>
      </c>
      <c r="D281" s="136">
        <v>1</v>
      </c>
      <c r="E281">
        <v>524</v>
      </c>
      <c r="F281" s="136">
        <v>58</v>
      </c>
      <c r="G281" s="146">
        <v>2782</v>
      </c>
    </row>
    <row r="282" spans="1:7" x14ac:dyDescent="0.25">
      <c r="A282" s="136" t="s">
        <v>315</v>
      </c>
      <c r="B282" s="136">
        <v>8</v>
      </c>
      <c r="C282" s="146">
        <v>3449</v>
      </c>
      <c r="E282" s="136">
        <v>736</v>
      </c>
      <c r="F282" s="136">
        <v>78</v>
      </c>
      <c r="G282" s="146">
        <v>4271</v>
      </c>
    </row>
    <row r="283" spans="1:7" x14ac:dyDescent="0.25">
      <c r="A283" s="136" t="s">
        <v>316</v>
      </c>
      <c r="B283" s="136">
        <v>11</v>
      </c>
      <c r="C283" s="146">
        <v>5963</v>
      </c>
      <c r="D283" s="136">
        <v>2</v>
      </c>
      <c r="E283" s="145">
        <v>1283</v>
      </c>
      <c r="F283" s="136">
        <v>153</v>
      </c>
      <c r="G283" s="146">
        <v>7412</v>
      </c>
    </row>
    <row r="284" spans="1:7" x14ac:dyDescent="0.25">
      <c r="A284" s="136" t="s">
        <v>317</v>
      </c>
      <c r="B284" s="136">
        <v>12</v>
      </c>
      <c r="C284" s="146">
        <v>4568</v>
      </c>
      <c r="D284" s="136">
        <v>3</v>
      </c>
      <c r="E284">
        <v>802</v>
      </c>
      <c r="F284" s="136">
        <v>132</v>
      </c>
      <c r="G284" s="146">
        <v>5517</v>
      </c>
    </row>
    <row r="285" spans="1:7" ht="30" x14ac:dyDescent="0.25">
      <c r="A285" s="136" t="s">
        <v>318</v>
      </c>
      <c r="B285" s="136">
        <v>8</v>
      </c>
      <c r="C285" s="146">
        <v>1647</v>
      </c>
      <c r="E285" s="136">
        <v>347</v>
      </c>
      <c r="F285" s="136">
        <v>55</v>
      </c>
      <c r="G285" s="146">
        <v>2057</v>
      </c>
    </row>
    <row r="286" spans="1:7" x14ac:dyDescent="0.25">
      <c r="A286" s="136" t="s">
        <v>319</v>
      </c>
      <c r="B286" s="136">
        <v>7</v>
      </c>
      <c r="C286" s="146">
        <v>1420</v>
      </c>
      <c r="E286" s="136">
        <v>341</v>
      </c>
      <c r="F286" s="136">
        <v>37</v>
      </c>
      <c r="G286" s="146">
        <v>1805</v>
      </c>
    </row>
    <row r="287" spans="1:7" x14ac:dyDescent="0.25">
      <c r="A287" s="136" t="s">
        <v>320</v>
      </c>
      <c r="B287" s="136">
        <v>3</v>
      </c>
      <c r="C287" s="146">
        <v>1547</v>
      </c>
      <c r="E287" s="136">
        <v>327</v>
      </c>
      <c r="F287" s="136">
        <v>40</v>
      </c>
      <c r="G287" s="146">
        <v>1917</v>
      </c>
    </row>
    <row r="288" spans="1:7" x14ac:dyDescent="0.25">
      <c r="A288" s="136" t="s">
        <v>321</v>
      </c>
      <c r="B288" s="136">
        <v>7</v>
      </c>
      <c r="C288" s="146">
        <v>1419</v>
      </c>
      <c r="E288" s="136">
        <v>252</v>
      </c>
      <c r="F288" s="136">
        <v>52</v>
      </c>
      <c r="G288" s="146">
        <v>1730</v>
      </c>
    </row>
    <row r="289" spans="1:7" ht="30" x14ac:dyDescent="0.25">
      <c r="A289" s="136" t="s">
        <v>322</v>
      </c>
      <c r="B289" s="136">
        <v>13</v>
      </c>
      <c r="C289" s="146">
        <v>6025</v>
      </c>
      <c r="D289" s="136">
        <v>3</v>
      </c>
      <c r="E289" s="145">
        <v>1140</v>
      </c>
      <c r="F289" s="136">
        <v>162</v>
      </c>
      <c r="G289" s="146">
        <v>7343</v>
      </c>
    </row>
    <row r="290" spans="1:7" ht="30" x14ac:dyDescent="0.25">
      <c r="A290" s="136" t="s">
        <v>323</v>
      </c>
      <c r="B290" s="136">
        <v>29</v>
      </c>
      <c r="C290" s="146">
        <v>9961</v>
      </c>
      <c r="D290" s="136">
        <v>2</v>
      </c>
      <c r="E290" s="145">
        <v>2042</v>
      </c>
      <c r="F290" s="136">
        <v>292</v>
      </c>
      <c r="G290" s="146">
        <v>12326</v>
      </c>
    </row>
    <row r="291" spans="1:7" ht="30" x14ac:dyDescent="0.25">
      <c r="A291" s="136" t="s">
        <v>324</v>
      </c>
      <c r="B291" s="136">
        <v>1</v>
      </c>
      <c r="C291" s="146">
        <v>1085</v>
      </c>
      <c r="E291" s="136">
        <v>210</v>
      </c>
      <c r="F291" s="136">
        <v>28</v>
      </c>
      <c r="G291" s="146">
        <v>1324</v>
      </c>
    </row>
    <row r="292" spans="1:7" ht="30" x14ac:dyDescent="0.25">
      <c r="A292" s="136" t="s">
        <v>325</v>
      </c>
      <c r="B292" s="136">
        <v>14</v>
      </c>
      <c r="C292" s="146">
        <v>4874</v>
      </c>
      <c r="D292" s="136">
        <v>2</v>
      </c>
      <c r="E292" s="145">
        <v>1116</v>
      </c>
      <c r="F292" s="136">
        <v>128</v>
      </c>
      <c r="G292" s="146">
        <v>6134</v>
      </c>
    </row>
    <row r="293" spans="1:7" x14ac:dyDescent="0.25">
      <c r="A293" s="136" t="s">
        <v>326</v>
      </c>
      <c r="B293" s="136">
        <v>9</v>
      </c>
      <c r="C293" s="146">
        <v>3663</v>
      </c>
      <c r="D293" s="136">
        <v>2</v>
      </c>
      <c r="E293">
        <v>783</v>
      </c>
      <c r="F293" s="136">
        <v>117</v>
      </c>
      <c r="G293" s="146">
        <v>4574</v>
      </c>
    </row>
    <row r="294" spans="1:7" x14ac:dyDescent="0.25">
      <c r="A294" s="136" t="s">
        <v>327</v>
      </c>
      <c r="B294" s="136"/>
      <c r="C294" s="146">
        <v>2403</v>
      </c>
      <c r="E294" s="136">
        <v>632</v>
      </c>
      <c r="F294" s="136">
        <v>70</v>
      </c>
      <c r="G294" s="146">
        <v>3105</v>
      </c>
    </row>
    <row r="295" spans="1:7" x14ac:dyDescent="0.25">
      <c r="A295" s="136" t="s">
        <v>328</v>
      </c>
      <c r="B295" s="136">
        <v>3</v>
      </c>
      <c r="C295" s="146">
        <v>1857</v>
      </c>
      <c r="D295" s="136">
        <v>1</v>
      </c>
      <c r="E295">
        <v>467</v>
      </c>
      <c r="F295" s="136">
        <v>69</v>
      </c>
      <c r="G295" s="146">
        <v>2397</v>
      </c>
    </row>
    <row r="296" spans="1:7" x14ac:dyDescent="0.25">
      <c r="A296" s="136" t="s">
        <v>329</v>
      </c>
      <c r="B296" s="136">
        <v>10</v>
      </c>
      <c r="C296" s="146">
        <v>2325</v>
      </c>
      <c r="E296" s="136">
        <v>503</v>
      </c>
      <c r="F296" s="136">
        <v>55</v>
      </c>
      <c r="G296" s="146">
        <v>2893</v>
      </c>
    </row>
    <row r="297" spans="1:7" x14ac:dyDescent="0.25">
      <c r="A297" s="136" t="s">
        <v>330</v>
      </c>
      <c r="B297" s="136">
        <v>141</v>
      </c>
      <c r="C297" s="146">
        <v>42674</v>
      </c>
      <c r="D297" s="136">
        <v>17</v>
      </c>
      <c r="E297" s="145">
        <v>9506</v>
      </c>
      <c r="F297" s="136">
        <v>940</v>
      </c>
      <c r="G297" s="146">
        <v>53278</v>
      </c>
    </row>
    <row r="298" spans="1:7" ht="30" x14ac:dyDescent="0.25">
      <c r="A298" s="136" t="s">
        <v>331</v>
      </c>
      <c r="B298" s="136">
        <v>10</v>
      </c>
      <c r="C298" s="146">
        <v>2865</v>
      </c>
      <c r="D298" s="136">
        <v>1</v>
      </c>
      <c r="E298">
        <v>557</v>
      </c>
      <c r="F298" s="136">
        <v>59</v>
      </c>
      <c r="G298" s="146">
        <v>3492</v>
      </c>
    </row>
    <row r="299" spans="1:7" x14ac:dyDescent="0.25">
      <c r="A299" s="136" t="s">
        <v>332</v>
      </c>
      <c r="B299" s="136">
        <v>6</v>
      </c>
      <c r="C299" s="146">
        <v>1911</v>
      </c>
      <c r="E299" s="136">
        <v>467</v>
      </c>
      <c r="F299" s="136">
        <v>51</v>
      </c>
      <c r="G299" s="146">
        <v>2435</v>
      </c>
    </row>
    <row r="300" spans="1:7" x14ac:dyDescent="0.25">
      <c r="A300" s="136" t="s">
        <v>333</v>
      </c>
      <c r="B300" s="136">
        <v>13</v>
      </c>
      <c r="C300" s="146">
        <v>4227</v>
      </c>
      <c r="D300" s="136">
        <v>2</v>
      </c>
      <c r="E300" s="145">
        <v>1039</v>
      </c>
      <c r="F300" s="136">
        <v>81</v>
      </c>
      <c r="G300" s="146">
        <v>5362</v>
      </c>
    </row>
    <row r="301" spans="1:7" x14ac:dyDescent="0.25">
      <c r="A301" s="136" t="s">
        <v>334</v>
      </c>
      <c r="B301" s="136">
        <v>27</v>
      </c>
      <c r="C301" s="146">
        <v>7246</v>
      </c>
      <c r="D301" s="136">
        <v>6</v>
      </c>
      <c r="E301" s="145">
        <v>1584</v>
      </c>
      <c r="F301" s="136">
        <v>165</v>
      </c>
      <c r="G301" s="146">
        <v>9028</v>
      </c>
    </row>
    <row r="302" spans="1:7" x14ac:dyDescent="0.25">
      <c r="A302" s="136" t="s">
        <v>335</v>
      </c>
      <c r="B302" s="136">
        <v>12</v>
      </c>
      <c r="C302" s="146">
        <v>4318</v>
      </c>
      <c r="D302" s="136">
        <v>1</v>
      </c>
      <c r="E302">
        <v>899</v>
      </c>
      <c r="F302" s="136">
        <v>115</v>
      </c>
      <c r="G302" s="146">
        <v>5345</v>
      </c>
    </row>
    <row r="303" spans="1:7" x14ac:dyDescent="0.25">
      <c r="A303" s="136" t="s">
        <v>336</v>
      </c>
      <c r="B303" s="136">
        <v>18</v>
      </c>
      <c r="C303" s="146">
        <v>10264</v>
      </c>
      <c r="D303" s="136">
        <v>4</v>
      </c>
      <c r="E303" s="145">
        <v>1970</v>
      </c>
      <c r="F303" s="136">
        <v>286</v>
      </c>
      <c r="G303" s="146">
        <v>12542</v>
      </c>
    </row>
    <row r="304" spans="1:7" x14ac:dyDescent="0.25">
      <c r="A304" s="136" t="s">
        <v>28</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337</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505</v>
      </c>
      <c r="D311" s="136"/>
      <c r="G311" s="143"/>
    </row>
    <row r="312" spans="1:7" x14ac:dyDescent="0.25">
      <c r="A312" s="136" t="s">
        <v>130</v>
      </c>
      <c r="B312" s="136" t="s">
        <v>484</v>
      </c>
      <c r="C312" s="136" t="s">
        <v>485</v>
      </c>
      <c r="D312" s="136" t="s">
        <v>486</v>
      </c>
      <c r="E312" t="s">
        <v>487</v>
      </c>
      <c r="F312" s="136" t="s">
        <v>28</v>
      </c>
      <c r="G312" s="143"/>
    </row>
    <row r="313" spans="1:7" x14ac:dyDescent="0.25">
      <c r="A313" s="136"/>
      <c r="B313" s="136"/>
      <c r="C313" s="136"/>
      <c r="G313" s="143"/>
    </row>
    <row r="314" spans="1:7" x14ac:dyDescent="0.25">
      <c r="A314" s="136" t="s">
        <v>338</v>
      </c>
      <c r="B314" s="136">
        <v>15</v>
      </c>
      <c r="C314" s="146">
        <v>7617</v>
      </c>
      <c r="D314" s="136">
        <v>7</v>
      </c>
      <c r="E314" s="145">
        <v>1476</v>
      </c>
      <c r="F314" s="146">
        <v>9277</v>
      </c>
      <c r="G314" s="143"/>
    </row>
    <row r="315" spans="1:7" x14ac:dyDescent="0.25">
      <c r="A315" s="136" t="s">
        <v>339</v>
      </c>
      <c r="B315" s="136">
        <v>17</v>
      </c>
      <c r="C315" s="146">
        <v>5174</v>
      </c>
      <c r="D315" s="136">
        <v>2</v>
      </c>
      <c r="E315">
        <v>959</v>
      </c>
      <c r="F315" s="146">
        <v>6285</v>
      </c>
      <c r="G315" s="143"/>
    </row>
    <row r="316" spans="1:7" x14ac:dyDescent="0.25">
      <c r="A316" s="136" t="s">
        <v>340</v>
      </c>
      <c r="B316" s="136">
        <v>16</v>
      </c>
      <c r="C316" s="146">
        <v>7188</v>
      </c>
      <c r="D316" s="136">
        <v>8</v>
      </c>
      <c r="E316" s="145">
        <v>1675</v>
      </c>
      <c r="F316" s="146">
        <v>9051</v>
      </c>
      <c r="G316" s="143"/>
    </row>
    <row r="317" spans="1:7" x14ac:dyDescent="0.25">
      <c r="A317" s="136" t="s">
        <v>341</v>
      </c>
      <c r="B317" s="136">
        <v>1</v>
      </c>
      <c r="C317" s="136">
        <v>540</v>
      </c>
      <c r="E317" s="136">
        <v>90</v>
      </c>
      <c r="F317" s="136">
        <v>647</v>
      </c>
      <c r="G317" s="143"/>
    </row>
    <row r="318" spans="1:7" x14ac:dyDescent="0.25">
      <c r="A318" s="136" t="s">
        <v>342</v>
      </c>
      <c r="B318" s="136">
        <v>9</v>
      </c>
      <c r="C318" s="146">
        <v>2331</v>
      </c>
      <c r="D318" s="136">
        <v>1</v>
      </c>
      <c r="E318">
        <v>386</v>
      </c>
      <c r="F318" s="146">
        <v>2768</v>
      </c>
      <c r="G318" s="143"/>
    </row>
    <row r="319" spans="1:7" x14ac:dyDescent="0.25">
      <c r="A319" s="136" t="s">
        <v>343</v>
      </c>
      <c r="B319" s="136">
        <v>2</v>
      </c>
      <c r="C319" s="136">
        <v>711</v>
      </c>
      <c r="D319" s="136">
        <v>1</v>
      </c>
      <c r="E319">
        <v>116</v>
      </c>
      <c r="F319" s="136">
        <v>846</v>
      </c>
      <c r="G319" s="143"/>
    </row>
    <row r="320" spans="1:7" ht="30" x14ac:dyDescent="0.25">
      <c r="A320" s="136" t="s">
        <v>344</v>
      </c>
      <c r="B320" s="136">
        <v>1</v>
      </c>
      <c r="C320" s="136">
        <v>675</v>
      </c>
      <c r="E320" s="136">
        <v>110</v>
      </c>
      <c r="F320" s="136">
        <v>802</v>
      </c>
      <c r="G320" s="143"/>
    </row>
    <row r="321" spans="1:7" x14ac:dyDescent="0.25">
      <c r="A321" s="136" t="s">
        <v>345</v>
      </c>
      <c r="B321" s="136">
        <v>4</v>
      </c>
      <c r="C321" s="146">
        <v>1923</v>
      </c>
      <c r="D321" s="136">
        <v>3</v>
      </c>
      <c r="E321">
        <v>322</v>
      </c>
      <c r="F321" s="146">
        <v>2306</v>
      </c>
      <c r="G321" s="143"/>
    </row>
    <row r="322" spans="1:7" x14ac:dyDescent="0.25">
      <c r="A322" s="136" t="s">
        <v>346</v>
      </c>
      <c r="B322" s="136">
        <v>12</v>
      </c>
      <c r="C322" s="146">
        <v>2347</v>
      </c>
      <c r="E322" s="136">
        <v>468</v>
      </c>
      <c r="F322" s="146">
        <v>2879</v>
      </c>
      <c r="G322" s="143"/>
    </row>
    <row r="323" spans="1:7" x14ac:dyDescent="0.25">
      <c r="A323" s="136" t="s">
        <v>347</v>
      </c>
      <c r="B323" s="136">
        <v>8</v>
      </c>
      <c r="C323" s="146">
        <v>3125</v>
      </c>
      <c r="D323" s="136">
        <v>2</v>
      </c>
      <c r="E323">
        <v>583</v>
      </c>
      <c r="F323" s="146">
        <v>3791</v>
      </c>
      <c r="G323" s="143"/>
    </row>
    <row r="324" spans="1:7" x14ac:dyDescent="0.25">
      <c r="A324" s="136" t="s">
        <v>348</v>
      </c>
      <c r="B324" s="136">
        <v>1</v>
      </c>
      <c r="C324" s="136">
        <v>410</v>
      </c>
      <c r="E324" s="136">
        <v>57</v>
      </c>
      <c r="F324" s="136">
        <v>479</v>
      </c>
      <c r="G324" s="143"/>
    </row>
    <row r="325" spans="1:7" x14ac:dyDescent="0.25">
      <c r="A325" s="136" t="s">
        <v>349</v>
      </c>
      <c r="B325" s="136">
        <v>5</v>
      </c>
      <c r="C325" s="146">
        <v>1234</v>
      </c>
      <c r="E325" s="136">
        <v>289</v>
      </c>
      <c r="F325" s="146">
        <v>1567</v>
      </c>
      <c r="G325" s="143"/>
    </row>
    <row r="326" spans="1:7" ht="30" x14ac:dyDescent="0.25">
      <c r="A326" s="136" t="s">
        <v>350</v>
      </c>
      <c r="B326" s="136">
        <v>6</v>
      </c>
      <c r="C326" s="146">
        <v>3044</v>
      </c>
      <c r="D326" s="136">
        <v>1</v>
      </c>
      <c r="E326">
        <v>704</v>
      </c>
      <c r="F326" s="146">
        <v>3820</v>
      </c>
      <c r="G326" s="143"/>
    </row>
    <row r="327" spans="1:7" ht="30" x14ac:dyDescent="0.25">
      <c r="A327" s="136" t="s">
        <v>351</v>
      </c>
      <c r="B327" s="136">
        <v>8</v>
      </c>
      <c r="C327" s="146">
        <v>3285</v>
      </c>
      <c r="D327" s="136">
        <v>1</v>
      </c>
      <c r="E327">
        <v>846</v>
      </c>
      <c r="F327" s="146">
        <v>4215</v>
      </c>
      <c r="G327" s="143"/>
    </row>
    <row r="328" spans="1:7" x14ac:dyDescent="0.25">
      <c r="A328" s="136" t="s">
        <v>352</v>
      </c>
      <c r="B328" s="136">
        <v>12</v>
      </c>
      <c r="C328" s="146">
        <v>2909</v>
      </c>
      <c r="D328" s="136">
        <v>1</v>
      </c>
      <c r="E328">
        <v>602</v>
      </c>
      <c r="F328" s="146">
        <v>3603</v>
      </c>
      <c r="G328" s="143"/>
    </row>
    <row r="329" spans="1:7" x14ac:dyDescent="0.25">
      <c r="A329" s="136" t="s">
        <v>353</v>
      </c>
      <c r="B329" s="136">
        <v>91</v>
      </c>
      <c r="C329" s="146">
        <v>29501</v>
      </c>
      <c r="D329" s="136">
        <v>5</v>
      </c>
      <c r="E329" s="145">
        <v>4407</v>
      </c>
      <c r="F329" s="146">
        <v>34740</v>
      </c>
      <c r="G329" s="143"/>
    </row>
    <row r="330" spans="1:7" x14ac:dyDescent="0.25">
      <c r="A330" s="136" t="s">
        <v>354</v>
      </c>
      <c r="B330" s="136">
        <v>2</v>
      </c>
      <c r="C330" s="136">
        <v>405</v>
      </c>
      <c r="D330" s="136">
        <v>1</v>
      </c>
      <c r="E330">
        <v>65</v>
      </c>
      <c r="F330" s="136">
        <v>482</v>
      </c>
      <c r="G330" s="143"/>
    </row>
    <row r="331" spans="1:7" ht="30" x14ac:dyDescent="0.25">
      <c r="A331" s="136" t="s">
        <v>355</v>
      </c>
      <c r="B331" s="136">
        <v>83</v>
      </c>
      <c r="C331" s="146">
        <v>30044</v>
      </c>
      <c r="D331" s="136">
        <v>11</v>
      </c>
      <c r="E331" s="145">
        <v>5777</v>
      </c>
      <c r="F331" s="146">
        <v>36694</v>
      </c>
      <c r="G331" s="143"/>
    </row>
    <row r="332" spans="1:7" ht="30" x14ac:dyDescent="0.25">
      <c r="A332" s="136" t="s">
        <v>356</v>
      </c>
      <c r="B332" s="136">
        <v>1</v>
      </c>
      <c r="C332" s="146">
        <v>1477</v>
      </c>
      <c r="E332" s="136">
        <v>248</v>
      </c>
      <c r="F332" s="146">
        <v>1766</v>
      </c>
      <c r="G332" s="143"/>
    </row>
    <row r="333" spans="1:7" ht="30" x14ac:dyDescent="0.25">
      <c r="A333" s="136" t="s">
        <v>357</v>
      </c>
      <c r="B333" s="136">
        <v>12</v>
      </c>
      <c r="C333" s="146">
        <v>5493</v>
      </c>
      <c r="D333" s="136">
        <v>6</v>
      </c>
      <c r="E333" s="145">
        <v>1168</v>
      </c>
      <c r="F333" s="146">
        <v>6845</v>
      </c>
      <c r="G333" s="143"/>
    </row>
    <row r="334" spans="1:7" ht="30" x14ac:dyDescent="0.25">
      <c r="A334" s="136" t="s">
        <v>358</v>
      </c>
      <c r="B334" s="136">
        <v>5</v>
      </c>
      <c r="C334" s="136">
        <v>717</v>
      </c>
      <c r="E334" s="136">
        <v>171</v>
      </c>
      <c r="F334" s="136">
        <v>906</v>
      </c>
      <c r="G334" s="143"/>
    </row>
    <row r="335" spans="1:7" ht="30" x14ac:dyDescent="0.25">
      <c r="A335" s="136" t="s">
        <v>359</v>
      </c>
      <c r="B335" s="136">
        <v>14</v>
      </c>
      <c r="C335" s="146">
        <v>4588</v>
      </c>
      <c r="E335" s="136">
        <v>603</v>
      </c>
      <c r="F335" s="146">
        <v>5321</v>
      </c>
      <c r="G335" s="143"/>
    </row>
    <row r="336" spans="1:7" x14ac:dyDescent="0.25">
      <c r="A336" s="136" t="s">
        <v>360</v>
      </c>
      <c r="B336" s="136">
        <v>4</v>
      </c>
      <c r="C336" s="146">
        <v>2166</v>
      </c>
      <c r="D336" s="136">
        <v>1</v>
      </c>
      <c r="E336">
        <v>380</v>
      </c>
      <c r="F336" s="146">
        <v>2617</v>
      </c>
      <c r="G336" s="143"/>
    </row>
    <row r="337" spans="1:7" x14ac:dyDescent="0.25">
      <c r="A337" s="136" t="s">
        <v>361</v>
      </c>
      <c r="B337" s="136">
        <v>4</v>
      </c>
      <c r="C337" s="136">
        <v>884</v>
      </c>
      <c r="D337" s="136">
        <v>1</v>
      </c>
      <c r="E337">
        <v>119</v>
      </c>
      <c r="F337" s="146">
        <v>1025</v>
      </c>
      <c r="G337" s="143"/>
    </row>
    <row r="338" spans="1:7" x14ac:dyDescent="0.25">
      <c r="A338" s="136" t="s">
        <v>362</v>
      </c>
      <c r="B338" s="136">
        <v>10</v>
      </c>
      <c r="C338" s="146">
        <v>3070</v>
      </c>
      <c r="D338" s="136">
        <v>2</v>
      </c>
      <c r="E338">
        <v>592</v>
      </c>
      <c r="F338" s="146">
        <v>3771</v>
      </c>
      <c r="G338" s="143"/>
    </row>
    <row r="339" spans="1:7" x14ac:dyDescent="0.25">
      <c r="A339" s="136" t="s">
        <v>363</v>
      </c>
      <c r="B339" s="136">
        <v>2</v>
      </c>
      <c r="C339" s="146">
        <v>1388</v>
      </c>
      <c r="D339" s="136">
        <v>1</v>
      </c>
      <c r="E339" s="145">
        <v>254</v>
      </c>
      <c r="F339" s="146">
        <v>1671</v>
      </c>
      <c r="G339" s="143"/>
    </row>
    <row r="340" spans="1:7" x14ac:dyDescent="0.25">
      <c r="A340" s="136" t="s">
        <v>364</v>
      </c>
      <c r="B340" s="136">
        <v>6</v>
      </c>
      <c r="C340" s="146">
        <v>1458</v>
      </c>
      <c r="D340" s="136">
        <v>1</v>
      </c>
      <c r="E340">
        <v>366</v>
      </c>
      <c r="F340" s="146">
        <v>1867</v>
      </c>
      <c r="G340" s="143"/>
    </row>
    <row r="341" spans="1:7" x14ac:dyDescent="0.25">
      <c r="A341" s="136" t="s">
        <v>365</v>
      </c>
      <c r="B341" s="136">
        <v>14</v>
      </c>
      <c r="C341" s="146">
        <v>2959</v>
      </c>
      <c r="D341" s="136">
        <v>2</v>
      </c>
      <c r="E341">
        <v>426</v>
      </c>
      <c r="F341" s="146">
        <v>3465</v>
      </c>
      <c r="G341" s="143"/>
    </row>
    <row r="342" spans="1:7" ht="45" x14ac:dyDescent="0.25">
      <c r="A342" s="136" t="s">
        <v>366</v>
      </c>
      <c r="B342" s="136">
        <v>9</v>
      </c>
      <c r="C342" s="146">
        <v>1697</v>
      </c>
      <c r="E342" s="136">
        <v>292</v>
      </c>
      <c r="F342" s="146">
        <v>2052</v>
      </c>
    </row>
    <row r="343" spans="1:7" x14ac:dyDescent="0.25">
      <c r="A343" s="136" t="s">
        <v>367</v>
      </c>
      <c r="B343" s="136">
        <v>8</v>
      </c>
      <c r="C343" s="146">
        <v>2247</v>
      </c>
      <c r="D343" s="136">
        <v>1</v>
      </c>
      <c r="E343" s="145">
        <v>300</v>
      </c>
      <c r="F343" s="146">
        <v>2627</v>
      </c>
      <c r="G343" s="143"/>
    </row>
    <row r="344" spans="1:7" x14ac:dyDescent="0.25">
      <c r="A344" s="136"/>
      <c r="G344" s="143"/>
    </row>
    <row r="345" spans="1:7" x14ac:dyDescent="0.25">
      <c r="A345" s="136" t="s">
        <v>28</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506</v>
      </c>
      <c r="B348" s="136" t="s">
        <v>507</v>
      </c>
      <c r="C348" s="136">
        <v>11</v>
      </c>
      <c r="D348" s="154"/>
      <c r="E348" s="154"/>
      <c r="F348" s="155"/>
    </row>
    <row r="349" spans="1:7" x14ac:dyDescent="0.25">
      <c r="A349" s="136"/>
      <c r="B349" s="136"/>
      <c r="C349" s="136"/>
      <c r="D349" s="136"/>
      <c r="F349" s="143"/>
    </row>
    <row r="350" spans="1:7" ht="30" x14ac:dyDescent="0.25">
      <c r="A350" s="136"/>
      <c r="B350" s="136"/>
      <c r="C350" s="136" t="s">
        <v>505</v>
      </c>
      <c r="D350" s="136"/>
      <c r="F350" s="143"/>
    </row>
    <row r="351" spans="1:7" x14ac:dyDescent="0.25">
      <c r="A351" s="136" t="s">
        <v>130</v>
      </c>
      <c r="B351" s="136" t="s">
        <v>484</v>
      </c>
      <c r="C351" s="136" t="s">
        <v>485</v>
      </c>
      <c r="D351" s="136" t="s">
        <v>486</v>
      </c>
      <c r="E351" t="s">
        <v>487</v>
      </c>
      <c r="F351" s="136" t="s">
        <v>488</v>
      </c>
      <c r="G351" s="136" t="s">
        <v>28</v>
      </c>
    </row>
    <row r="352" spans="1:7" x14ac:dyDescent="0.25">
      <c r="A352" s="136"/>
      <c r="B352" s="136"/>
      <c r="C352" s="136"/>
      <c r="G352" s="143"/>
    </row>
    <row r="353" spans="1:7" ht="30" x14ac:dyDescent="0.25">
      <c r="A353" s="136" t="s">
        <v>368</v>
      </c>
      <c r="B353" s="136">
        <v>3</v>
      </c>
      <c r="C353" s="146">
        <v>1159</v>
      </c>
      <c r="D353" s="136">
        <v>1</v>
      </c>
      <c r="E353">
        <v>200</v>
      </c>
      <c r="F353" s="136">
        <v>33</v>
      </c>
      <c r="G353" s="146">
        <v>1396</v>
      </c>
    </row>
    <row r="354" spans="1:7" x14ac:dyDescent="0.25">
      <c r="A354" s="136" t="s">
        <v>369</v>
      </c>
      <c r="B354" s="136">
        <v>3</v>
      </c>
      <c r="C354" s="136">
        <v>644</v>
      </c>
      <c r="D354" s="136">
        <v>1</v>
      </c>
      <c r="E354">
        <v>143</v>
      </c>
      <c r="F354" s="136">
        <v>16</v>
      </c>
      <c r="G354" s="136">
        <v>807</v>
      </c>
    </row>
    <row r="355" spans="1:7" x14ac:dyDescent="0.25">
      <c r="A355" s="136" t="s">
        <v>370</v>
      </c>
      <c r="B355" s="136">
        <v>3</v>
      </c>
      <c r="C355" s="136">
        <v>473</v>
      </c>
      <c r="D355" s="136">
        <v>2</v>
      </c>
      <c r="E355">
        <v>89</v>
      </c>
      <c r="F355" s="136">
        <v>15</v>
      </c>
      <c r="G355" s="136">
        <v>582</v>
      </c>
    </row>
    <row r="356" spans="1:7" x14ac:dyDescent="0.25">
      <c r="A356" s="136" t="s">
        <v>371</v>
      </c>
      <c r="B356" s="136">
        <v>26</v>
      </c>
      <c r="C356" s="146">
        <v>7403</v>
      </c>
      <c r="D356" s="136">
        <v>4</v>
      </c>
      <c r="E356" s="145">
        <v>1966</v>
      </c>
      <c r="F356" s="136">
        <v>194</v>
      </c>
      <c r="G356" s="146">
        <v>9593</v>
      </c>
    </row>
    <row r="357" spans="1:7" x14ac:dyDescent="0.25">
      <c r="A357" s="136" t="s">
        <v>372</v>
      </c>
      <c r="B357" s="136"/>
      <c r="C357" s="136">
        <v>153</v>
      </c>
      <c r="E357" s="136">
        <v>27</v>
      </c>
      <c r="F357" s="136">
        <v>3</v>
      </c>
      <c r="G357" s="136">
        <v>183</v>
      </c>
    </row>
    <row r="358" spans="1:7" ht="30" x14ac:dyDescent="0.25">
      <c r="A358" s="136" t="s">
        <v>373</v>
      </c>
      <c r="B358" s="136"/>
      <c r="C358" s="136">
        <v>158</v>
      </c>
      <c r="E358" s="136">
        <v>17</v>
      </c>
      <c r="F358" s="136">
        <v>3</v>
      </c>
      <c r="G358" s="136">
        <v>178</v>
      </c>
    </row>
    <row r="359" spans="1:7" x14ac:dyDescent="0.25">
      <c r="A359" s="136" t="s">
        <v>374</v>
      </c>
      <c r="B359" s="136"/>
      <c r="C359" s="136">
        <v>44</v>
      </c>
      <c r="E359" s="136">
        <v>5</v>
      </c>
      <c r="F359" s="136">
        <v>1</v>
      </c>
      <c r="G359" s="136">
        <v>50</v>
      </c>
    </row>
    <row r="360" spans="1:7" ht="30" x14ac:dyDescent="0.25">
      <c r="A360" s="136" t="s">
        <v>375</v>
      </c>
      <c r="B360" s="136">
        <v>7</v>
      </c>
      <c r="C360" s="146">
        <v>3013</v>
      </c>
      <c r="D360" s="136">
        <v>3</v>
      </c>
      <c r="E360">
        <v>662</v>
      </c>
      <c r="F360" s="136">
        <v>54</v>
      </c>
      <c r="G360" s="146">
        <v>3739</v>
      </c>
    </row>
    <row r="361" spans="1:7" x14ac:dyDescent="0.25">
      <c r="A361" s="136" t="s">
        <v>501</v>
      </c>
      <c r="B361" s="136">
        <v>2</v>
      </c>
      <c r="C361" s="136">
        <v>469</v>
      </c>
      <c r="E361" s="136">
        <v>83</v>
      </c>
      <c r="F361" s="136">
        <v>13</v>
      </c>
      <c r="G361" s="136">
        <v>567</v>
      </c>
    </row>
    <row r="362" spans="1:7" x14ac:dyDescent="0.25">
      <c r="A362" s="136" t="s">
        <v>376</v>
      </c>
      <c r="B362" s="136"/>
      <c r="C362" s="136">
        <v>41</v>
      </c>
      <c r="E362" s="136">
        <v>7</v>
      </c>
      <c r="F362" s="136">
        <v>1</v>
      </c>
      <c r="G362" s="136">
        <v>49</v>
      </c>
    </row>
    <row r="363" spans="1:7" x14ac:dyDescent="0.25">
      <c r="A363" s="136" t="s">
        <v>28</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506</v>
      </c>
      <c r="B368" s="136" t="s">
        <v>507</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505</v>
      </c>
      <c r="C371" s="156"/>
      <c r="F371" s="143"/>
      <c r="G371" s="156"/>
    </row>
    <row r="372" spans="1:9" x14ac:dyDescent="0.25">
      <c r="A372" s="159" t="s">
        <v>130</v>
      </c>
      <c r="B372" s="159" t="s">
        <v>484</v>
      </c>
      <c r="C372" s="159" t="s">
        <v>485</v>
      </c>
      <c r="D372" s="159" t="s">
        <v>486</v>
      </c>
      <c r="E372" s="152" t="s">
        <v>487</v>
      </c>
      <c r="F372" s="159" t="s">
        <v>488</v>
      </c>
      <c r="G372" s="159" t="s">
        <v>28</v>
      </c>
    </row>
    <row r="373" spans="1:9" x14ac:dyDescent="0.25">
      <c r="A373" s="159"/>
      <c r="B373" s="159"/>
      <c r="C373" s="159"/>
      <c r="D373" s="152"/>
      <c r="E373" s="152"/>
      <c r="F373" s="152"/>
      <c r="G373" s="152"/>
      <c r="H373" s="158"/>
    </row>
    <row r="374" spans="1:9" ht="30" x14ac:dyDescent="0.25">
      <c r="A374" s="159" t="s">
        <v>377</v>
      </c>
      <c r="B374" s="159">
        <v>1</v>
      </c>
      <c r="C374" s="159">
        <v>101</v>
      </c>
      <c r="D374" s="152"/>
      <c r="E374" s="159">
        <v>33</v>
      </c>
      <c r="F374" s="159">
        <v>4</v>
      </c>
      <c r="G374" s="159">
        <v>139</v>
      </c>
    </row>
    <row r="375" spans="1:9" ht="30" x14ac:dyDescent="0.25">
      <c r="A375" s="159" t="s">
        <v>378</v>
      </c>
      <c r="C375" s="159">
        <v>4</v>
      </c>
      <c r="D375" s="152"/>
      <c r="E375" s="152"/>
      <c r="F375" s="152"/>
      <c r="G375" s="159">
        <v>4</v>
      </c>
    </row>
    <row r="376" spans="1:9" ht="30" x14ac:dyDescent="0.25">
      <c r="A376" s="159" t="s">
        <v>379</v>
      </c>
      <c r="C376" s="159">
        <v>19</v>
      </c>
      <c r="E376" s="159">
        <v>4</v>
      </c>
      <c r="F376" s="159">
        <v>2</v>
      </c>
      <c r="G376" s="159">
        <v>25</v>
      </c>
      <c r="H376" s="171"/>
    </row>
    <row r="377" spans="1:9" x14ac:dyDescent="0.25">
      <c r="A377" s="159" t="s">
        <v>380</v>
      </c>
      <c r="B377" s="159">
        <v>7</v>
      </c>
      <c r="C377" s="172">
        <v>4322</v>
      </c>
      <c r="D377" s="159">
        <v>7</v>
      </c>
      <c r="E377" s="152">
        <v>872</v>
      </c>
      <c r="F377" s="159">
        <v>107</v>
      </c>
      <c r="G377" s="175">
        <v>5315</v>
      </c>
      <c r="H377" s="171"/>
    </row>
    <row r="378" spans="1:9" x14ac:dyDescent="0.25">
      <c r="A378" s="159" t="s">
        <v>381</v>
      </c>
      <c r="B378" s="159">
        <v>3</v>
      </c>
      <c r="C378" s="159">
        <v>918</v>
      </c>
      <c r="E378" s="159">
        <v>182</v>
      </c>
      <c r="F378" s="159">
        <v>17</v>
      </c>
      <c r="G378" s="175">
        <v>1120</v>
      </c>
    </row>
    <row r="379" spans="1:9" ht="30" x14ac:dyDescent="0.25">
      <c r="A379" s="159" t="s">
        <v>382</v>
      </c>
      <c r="B379" s="159"/>
      <c r="C379" s="159">
        <v>65</v>
      </c>
      <c r="E379" s="159">
        <v>13</v>
      </c>
      <c r="F379" s="159">
        <v>2</v>
      </c>
      <c r="G379" s="176">
        <v>80</v>
      </c>
      <c r="I379" s="171"/>
    </row>
    <row r="380" spans="1:9" ht="30" x14ac:dyDescent="0.25">
      <c r="A380" s="159" t="s">
        <v>383</v>
      </c>
      <c r="B380" s="159">
        <v>71</v>
      </c>
      <c r="C380" s="172">
        <v>19979</v>
      </c>
      <c r="D380" s="159">
        <v>32</v>
      </c>
      <c r="E380" s="173">
        <v>4673</v>
      </c>
      <c r="F380" s="159">
        <v>454</v>
      </c>
      <c r="G380" s="175">
        <v>25209</v>
      </c>
    </row>
    <row r="381" spans="1:9" x14ac:dyDescent="0.25">
      <c r="A381" s="159" t="s">
        <v>384</v>
      </c>
      <c r="B381" s="159"/>
      <c r="C381" s="159">
        <v>15</v>
      </c>
      <c r="F381" s="159">
        <v>1</v>
      </c>
      <c r="G381" s="176">
        <v>16</v>
      </c>
    </row>
    <row r="382" spans="1:9" ht="30" x14ac:dyDescent="0.25">
      <c r="A382" s="159" t="s">
        <v>385</v>
      </c>
      <c r="B382" s="159"/>
      <c r="C382" s="159">
        <v>28</v>
      </c>
      <c r="E382" s="159">
        <v>7</v>
      </c>
      <c r="G382" s="176">
        <v>35</v>
      </c>
    </row>
    <row r="383" spans="1:9" x14ac:dyDescent="0.25">
      <c r="A383" s="159" t="s">
        <v>386</v>
      </c>
      <c r="B383" s="159"/>
      <c r="C383" s="159">
        <v>3</v>
      </c>
      <c r="D383" s="159"/>
      <c r="E383" s="159"/>
      <c r="F383" s="159">
        <v>1</v>
      </c>
      <c r="G383" s="176">
        <v>4</v>
      </c>
    </row>
    <row r="384" spans="1:9" ht="30" x14ac:dyDescent="0.25">
      <c r="A384" s="159" t="s">
        <v>387</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28</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388</v>
      </c>
      <c r="B390" s="154"/>
      <c r="C390" s="154"/>
      <c r="D390" s="154"/>
      <c r="E390" s="154"/>
      <c r="F390" s="155"/>
    </row>
    <row r="391" spans="1:8" x14ac:dyDescent="0.25">
      <c r="A391" s="136"/>
      <c r="B391" s="136"/>
      <c r="C391" s="136"/>
      <c r="F391" s="143"/>
    </row>
    <row r="392" spans="1:8" ht="30" x14ac:dyDescent="0.25">
      <c r="A392" s="136"/>
      <c r="B392" s="136" t="s">
        <v>505</v>
      </c>
      <c r="C392" s="136"/>
      <c r="F392" s="143"/>
    </row>
    <row r="393" spans="1:8" x14ac:dyDescent="0.25">
      <c r="A393" s="136" t="s">
        <v>130</v>
      </c>
      <c r="B393" s="136" t="s">
        <v>484</v>
      </c>
      <c r="C393" s="136" t="s">
        <v>485</v>
      </c>
      <c r="D393" s="136" t="s">
        <v>486</v>
      </c>
      <c r="E393" t="s">
        <v>487</v>
      </c>
      <c r="F393" s="136" t="s">
        <v>488</v>
      </c>
      <c r="G393" s="136" t="s">
        <v>28</v>
      </c>
    </row>
    <row r="394" spans="1:8" x14ac:dyDescent="0.25">
      <c r="A394" s="136"/>
      <c r="B394" s="136"/>
      <c r="C394" s="136"/>
      <c r="G394" s="143"/>
    </row>
    <row r="395" spans="1:8" x14ac:dyDescent="0.25">
      <c r="A395" s="136" t="s">
        <v>389</v>
      </c>
      <c r="B395" s="136">
        <v>1</v>
      </c>
      <c r="C395" s="136">
        <v>924</v>
      </c>
      <c r="D395" s="136">
        <v>1</v>
      </c>
      <c r="E395">
        <v>119</v>
      </c>
      <c r="F395" s="136">
        <v>21</v>
      </c>
      <c r="G395" s="146">
        <v>1066</v>
      </c>
    </row>
    <row r="396" spans="1:8" x14ac:dyDescent="0.25">
      <c r="A396" s="136" t="s">
        <v>390</v>
      </c>
      <c r="B396" s="136">
        <v>17</v>
      </c>
      <c r="C396" s="146">
        <v>12230</v>
      </c>
      <c r="D396" s="136">
        <v>9</v>
      </c>
      <c r="E396" s="145">
        <v>1993</v>
      </c>
      <c r="F396" s="136">
        <v>282</v>
      </c>
      <c r="G396" s="146">
        <v>14531</v>
      </c>
    </row>
    <row r="397" spans="1:8" ht="30" x14ac:dyDescent="0.25">
      <c r="A397" s="136" t="s">
        <v>391</v>
      </c>
      <c r="B397" s="136">
        <v>6</v>
      </c>
      <c r="C397" s="146">
        <v>2917</v>
      </c>
      <c r="D397" s="136">
        <v>1</v>
      </c>
      <c r="E397">
        <v>571</v>
      </c>
      <c r="F397" s="136">
        <v>86</v>
      </c>
      <c r="G397" s="146">
        <v>3581</v>
      </c>
    </row>
    <row r="398" spans="1:8" x14ac:dyDescent="0.25">
      <c r="A398" s="136" t="s">
        <v>392</v>
      </c>
      <c r="B398" s="136">
        <v>38</v>
      </c>
      <c r="C398" s="146">
        <v>13179</v>
      </c>
      <c r="D398" s="136">
        <v>5</v>
      </c>
      <c r="E398" s="145">
        <v>2692</v>
      </c>
      <c r="F398" s="136">
        <v>261</v>
      </c>
      <c r="G398" s="146">
        <v>16175</v>
      </c>
    </row>
    <row r="399" spans="1:8" ht="30" x14ac:dyDescent="0.25">
      <c r="A399" s="136" t="s">
        <v>393</v>
      </c>
      <c r="B399" s="136">
        <v>62</v>
      </c>
      <c r="C399" s="146">
        <v>25815</v>
      </c>
      <c r="D399" s="136">
        <v>11</v>
      </c>
      <c r="E399" s="145">
        <v>3671</v>
      </c>
      <c r="F399" s="136">
        <v>485</v>
      </c>
      <c r="G399" s="146">
        <v>30044</v>
      </c>
    </row>
    <row r="400" spans="1:8" x14ac:dyDescent="0.25">
      <c r="A400" s="136" t="s">
        <v>394</v>
      </c>
      <c r="B400" s="136">
        <v>29</v>
      </c>
      <c r="C400" s="146">
        <v>12648</v>
      </c>
      <c r="D400" s="136">
        <v>7</v>
      </c>
      <c r="E400" s="145">
        <v>2490</v>
      </c>
      <c r="F400" s="136">
        <v>406</v>
      </c>
      <c r="G400" s="146">
        <v>15580</v>
      </c>
    </row>
    <row r="401" spans="1:7" x14ac:dyDescent="0.25">
      <c r="A401" s="136" t="s">
        <v>395</v>
      </c>
      <c r="B401" s="136">
        <v>66</v>
      </c>
      <c r="C401" s="146">
        <v>25984</v>
      </c>
      <c r="D401" s="136">
        <v>9</v>
      </c>
      <c r="E401" s="145">
        <v>4636</v>
      </c>
      <c r="F401" s="136">
        <v>488</v>
      </c>
      <c r="G401" s="146">
        <v>31183</v>
      </c>
    </row>
    <row r="402" spans="1:7" x14ac:dyDescent="0.25">
      <c r="A402" s="136" t="s">
        <v>396</v>
      </c>
      <c r="B402" s="136">
        <v>4</v>
      </c>
      <c r="C402" s="146">
        <v>5170</v>
      </c>
      <c r="D402" s="136">
        <v>1</v>
      </c>
      <c r="E402">
        <v>887</v>
      </c>
      <c r="F402" s="136">
        <v>158</v>
      </c>
      <c r="G402" s="146">
        <v>6220</v>
      </c>
    </row>
    <row r="403" spans="1:7" x14ac:dyDescent="0.25">
      <c r="A403" s="136" t="s">
        <v>397</v>
      </c>
      <c r="B403" s="136">
        <v>60</v>
      </c>
      <c r="C403" s="146">
        <v>28734</v>
      </c>
      <c r="D403" s="136">
        <v>22</v>
      </c>
      <c r="E403" s="145">
        <v>4750</v>
      </c>
      <c r="F403" s="136">
        <v>584</v>
      </c>
      <c r="G403" s="146">
        <v>34150</v>
      </c>
    </row>
    <row r="404" spans="1:7" x14ac:dyDescent="0.25">
      <c r="A404" s="136" t="s">
        <v>398</v>
      </c>
      <c r="B404" s="136">
        <v>16</v>
      </c>
      <c r="C404" s="146">
        <v>5174</v>
      </c>
      <c r="D404" s="136">
        <v>2</v>
      </c>
      <c r="E404">
        <v>822</v>
      </c>
      <c r="F404" s="136">
        <v>144</v>
      </c>
      <c r="G404" s="146">
        <v>6158</v>
      </c>
    </row>
    <row r="405" spans="1:7" ht="30" x14ac:dyDescent="0.25">
      <c r="A405" s="136" t="s">
        <v>399</v>
      </c>
      <c r="B405" s="136">
        <v>58</v>
      </c>
      <c r="C405" s="146">
        <v>24111</v>
      </c>
      <c r="D405" s="136">
        <v>18</v>
      </c>
      <c r="E405" s="145">
        <v>4393</v>
      </c>
      <c r="F405" s="136">
        <v>550</v>
      </c>
      <c r="G405" s="146">
        <v>29130</v>
      </c>
    </row>
    <row r="406" spans="1:7" ht="30" x14ac:dyDescent="0.25">
      <c r="A406" s="136" t="s">
        <v>400</v>
      </c>
      <c r="B406" s="136">
        <v>39</v>
      </c>
      <c r="C406" s="146">
        <v>12333</v>
      </c>
      <c r="D406" s="136">
        <v>7</v>
      </c>
      <c r="E406" s="145">
        <v>2733</v>
      </c>
      <c r="F406" s="136">
        <v>301</v>
      </c>
      <c r="G406" s="146">
        <v>15413</v>
      </c>
    </row>
    <row r="407" spans="1:7" ht="30" x14ac:dyDescent="0.25">
      <c r="A407" s="136" t="s">
        <v>401</v>
      </c>
      <c r="B407" s="136">
        <v>33</v>
      </c>
      <c r="C407" s="146">
        <v>14458</v>
      </c>
      <c r="D407" s="136">
        <v>11</v>
      </c>
      <c r="E407" s="145">
        <v>2637</v>
      </c>
      <c r="F407" s="136">
        <v>377</v>
      </c>
      <c r="G407" s="146">
        <v>17516</v>
      </c>
    </row>
    <row r="408" spans="1:7" ht="30" x14ac:dyDescent="0.25">
      <c r="A408" s="136" t="s">
        <v>402</v>
      </c>
      <c r="B408" s="136">
        <v>7</v>
      </c>
      <c r="C408" s="146">
        <v>5267</v>
      </c>
      <c r="D408" s="136">
        <v>2</v>
      </c>
      <c r="E408">
        <v>771</v>
      </c>
      <c r="F408" s="136">
        <v>127</v>
      </c>
      <c r="G408" s="146">
        <v>6174</v>
      </c>
    </row>
    <row r="409" spans="1:7" ht="30" x14ac:dyDescent="0.25">
      <c r="A409" s="136" t="s">
        <v>403</v>
      </c>
      <c r="B409" s="136">
        <v>40</v>
      </c>
      <c r="C409" s="146">
        <v>16217</v>
      </c>
      <c r="D409" s="136">
        <v>5</v>
      </c>
      <c r="E409" s="145">
        <v>2774</v>
      </c>
      <c r="F409" s="136">
        <v>315</v>
      </c>
      <c r="G409" s="146">
        <v>19351</v>
      </c>
    </row>
    <row r="410" spans="1:7" x14ac:dyDescent="0.25">
      <c r="A410" s="136" t="s">
        <v>404</v>
      </c>
      <c r="B410" s="136">
        <v>143</v>
      </c>
      <c r="C410" s="146">
        <v>60425</v>
      </c>
      <c r="D410" s="136">
        <v>33</v>
      </c>
      <c r="E410" s="145">
        <v>13569</v>
      </c>
      <c r="F410" s="146">
        <v>1419</v>
      </c>
      <c r="G410" s="146">
        <v>75589</v>
      </c>
    </row>
    <row r="411" spans="1:7" x14ac:dyDescent="0.25">
      <c r="A411" s="136" t="s">
        <v>405</v>
      </c>
      <c r="B411" s="136">
        <v>56</v>
      </c>
      <c r="C411" s="146">
        <v>22154</v>
      </c>
      <c r="D411" s="136">
        <v>8</v>
      </c>
      <c r="E411" s="145">
        <v>3556</v>
      </c>
      <c r="F411" s="136">
        <v>449</v>
      </c>
      <c r="G411" s="146">
        <v>26223</v>
      </c>
    </row>
    <row r="412" spans="1:7" ht="30" x14ac:dyDescent="0.25">
      <c r="A412" s="136" t="s">
        <v>406</v>
      </c>
      <c r="B412" s="136">
        <v>74</v>
      </c>
      <c r="C412" s="146">
        <v>28470</v>
      </c>
      <c r="D412" s="136">
        <v>6</v>
      </c>
      <c r="E412" s="145">
        <v>3852</v>
      </c>
      <c r="F412" s="136">
        <v>642</v>
      </c>
      <c r="G412" s="146">
        <v>33044</v>
      </c>
    </row>
    <row r="413" spans="1:7" x14ac:dyDescent="0.25">
      <c r="A413" s="136" t="s">
        <v>407</v>
      </c>
      <c r="B413" s="136">
        <v>18</v>
      </c>
      <c r="C413" s="146">
        <v>10581</v>
      </c>
      <c r="D413" s="136">
        <v>3</v>
      </c>
      <c r="E413" s="145">
        <v>2744</v>
      </c>
      <c r="F413" s="136">
        <v>327</v>
      </c>
      <c r="G413" s="146">
        <v>13673</v>
      </c>
    </row>
    <row r="414" spans="1:7" x14ac:dyDescent="0.25">
      <c r="A414" s="136" t="s">
        <v>408</v>
      </c>
      <c r="B414" s="136">
        <v>22</v>
      </c>
      <c r="C414" s="146">
        <v>8601</v>
      </c>
      <c r="D414" s="136">
        <v>4</v>
      </c>
      <c r="E414" s="145">
        <v>1394</v>
      </c>
      <c r="F414" s="136">
        <v>378</v>
      </c>
      <c r="G414" s="146">
        <v>10399</v>
      </c>
    </row>
    <row r="415" spans="1:7" ht="30" x14ac:dyDescent="0.25">
      <c r="A415" s="136" t="s">
        <v>409</v>
      </c>
      <c r="B415" s="136">
        <v>47</v>
      </c>
      <c r="C415" s="146">
        <v>25934</v>
      </c>
      <c r="D415" s="136">
        <v>19</v>
      </c>
      <c r="E415" s="145">
        <v>11809</v>
      </c>
      <c r="F415" s="136">
        <v>995</v>
      </c>
      <c r="G415" s="146">
        <v>38804</v>
      </c>
    </row>
    <row r="416" spans="1:7" ht="45" x14ac:dyDescent="0.25">
      <c r="A416" s="136" t="s">
        <v>410</v>
      </c>
      <c r="B416" s="136">
        <v>13</v>
      </c>
      <c r="C416" s="146">
        <v>5898</v>
      </c>
      <c r="D416" s="136">
        <v>3</v>
      </c>
      <c r="E416" s="145">
        <v>1373</v>
      </c>
      <c r="F416" s="136">
        <v>225</v>
      </c>
      <c r="G416" s="146">
        <v>7512</v>
      </c>
    </row>
    <row r="417" spans="1:7" x14ac:dyDescent="0.25">
      <c r="A417" s="136" t="s">
        <v>411</v>
      </c>
      <c r="B417" s="136">
        <v>66</v>
      </c>
      <c r="C417" s="146">
        <v>19232</v>
      </c>
      <c r="D417" s="136">
        <v>7</v>
      </c>
      <c r="E417" s="145">
        <v>2796</v>
      </c>
      <c r="F417" s="136">
        <v>398</v>
      </c>
      <c r="G417" s="146">
        <v>22499</v>
      </c>
    </row>
    <row r="418" spans="1:7" x14ac:dyDescent="0.25">
      <c r="A418" s="136" t="s">
        <v>412</v>
      </c>
      <c r="B418" s="136">
        <v>56</v>
      </c>
      <c r="C418" s="146">
        <v>19634</v>
      </c>
      <c r="D418" s="136">
        <v>8</v>
      </c>
      <c r="E418" s="145">
        <v>3323</v>
      </c>
      <c r="F418" s="136">
        <v>387</v>
      </c>
      <c r="G418" s="146">
        <v>23408</v>
      </c>
    </row>
    <row r="419" spans="1:7" x14ac:dyDescent="0.25">
      <c r="A419" s="136" t="s">
        <v>413</v>
      </c>
      <c r="B419" s="136">
        <v>39</v>
      </c>
      <c r="C419" s="146">
        <v>20899</v>
      </c>
      <c r="D419" s="136">
        <v>11</v>
      </c>
      <c r="E419" s="145">
        <v>3948</v>
      </c>
      <c r="F419" s="136">
        <v>426</v>
      </c>
      <c r="G419" s="146">
        <v>25323</v>
      </c>
    </row>
    <row r="420" spans="1:7" x14ac:dyDescent="0.25">
      <c r="A420" s="136" t="s">
        <v>414</v>
      </c>
      <c r="B420" s="136">
        <v>181</v>
      </c>
      <c r="C420" s="146">
        <v>72617</v>
      </c>
      <c r="D420" s="136">
        <v>61</v>
      </c>
      <c r="E420" s="145">
        <v>16053</v>
      </c>
      <c r="F420" s="146">
        <v>1674</v>
      </c>
      <c r="G420" s="146">
        <v>90586</v>
      </c>
    </row>
    <row r="421" spans="1:7" ht="30" x14ac:dyDescent="0.25">
      <c r="A421" s="136" t="s">
        <v>415</v>
      </c>
      <c r="B421" s="136">
        <v>8</v>
      </c>
      <c r="C421" s="146">
        <v>2095</v>
      </c>
      <c r="E421" s="136">
        <v>515</v>
      </c>
      <c r="F421" s="136">
        <v>49</v>
      </c>
      <c r="G421" s="146">
        <v>2667</v>
      </c>
    </row>
    <row r="422" spans="1:7" x14ac:dyDescent="0.25">
      <c r="A422" s="136" t="s">
        <v>416</v>
      </c>
      <c r="B422" s="136">
        <v>54</v>
      </c>
      <c r="C422" s="146">
        <v>21093</v>
      </c>
      <c r="D422" s="136">
        <v>13</v>
      </c>
      <c r="E422" s="145">
        <v>3862</v>
      </c>
      <c r="F422" s="136">
        <v>467</v>
      </c>
      <c r="G422" s="146">
        <v>25489</v>
      </c>
    </row>
    <row r="423" spans="1:7" ht="30" x14ac:dyDescent="0.25">
      <c r="A423" s="136" t="s">
        <v>417</v>
      </c>
      <c r="B423" s="136">
        <v>20</v>
      </c>
      <c r="C423" s="146">
        <v>8171</v>
      </c>
      <c r="D423" s="136">
        <v>2</v>
      </c>
      <c r="E423" s="145">
        <v>1386</v>
      </c>
      <c r="F423" s="136">
        <v>233</v>
      </c>
      <c r="G423" s="146">
        <v>9812</v>
      </c>
    </row>
    <row r="424" spans="1:7" x14ac:dyDescent="0.25">
      <c r="A424" s="136" t="s">
        <v>418</v>
      </c>
      <c r="B424" s="136">
        <v>24</v>
      </c>
      <c r="C424" s="146">
        <v>9511</v>
      </c>
      <c r="D424" s="136">
        <v>2</v>
      </c>
      <c r="E424" s="145">
        <v>1446</v>
      </c>
      <c r="F424" s="136">
        <v>258</v>
      </c>
      <c r="G424" s="146">
        <v>11241</v>
      </c>
    </row>
    <row r="425" spans="1:7" ht="45" x14ac:dyDescent="0.25">
      <c r="A425" s="136" t="s">
        <v>419</v>
      </c>
      <c r="B425" s="136">
        <v>49</v>
      </c>
      <c r="C425" s="146">
        <v>22381</v>
      </c>
      <c r="D425" s="136">
        <v>17</v>
      </c>
      <c r="E425" s="145">
        <v>3608</v>
      </c>
      <c r="F425" s="136">
        <v>479</v>
      </c>
      <c r="G425" s="146">
        <v>26534</v>
      </c>
    </row>
    <row r="426" spans="1:7" x14ac:dyDescent="0.25">
      <c r="A426" s="136" t="s">
        <v>502</v>
      </c>
      <c r="B426" s="136">
        <v>22</v>
      </c>
      <c r="C426" s="146">
        <v>13162</v>
      </c>
      <c r="D426" s="136">
        <v>7</v>
      </c>
      <c r="E426" s="145">
        <v>2639</v>
      </c>
      <c r="F426" s="136">
        <v>275</v>
      </c>
      <c r="G426" s="146">
        <v>16105</v>
      </c>
    </row>
    <row r="427" spans="1:7" x14ac:dyDescent="0.25">
      <c r="A427" s="136" t="s">
        <v>503</v>
      </c>
      <c r="B427" s="136">
        <v>78</v>
      </c>
      <c r="C427" s="146">
        <v>34107</v>
      </c>
      <c r="D427" s="136">
        <v>13</v>
      </c>
      <c r="E427" s="145">
        <v>5884</v>
      </c>
      <c r="F427" s="136">
        <v>805</v>
      </c>
      <c r="G427" s="146">
        <v>40887</v>
      </c>
    </row>
    <row r="428" spans="1:7" x14ac:dyDescent="0.25">
      <c r="A428" s="136" t="s">
        <v>420</v>
      </c>
      <c r="B428" s="136">
        <v>7</v>
      </c>
      <c r="C428" s="146">
        <v>3175</v>
      </c>
      <c r="D428" s="136">
        <v>1</v>
      </c>
      <c r="E428">
        <v>611</v>
      </c>
      <c r="F428" s="136">
        <v>103</v>
      </c>
      <c r="G428" s="146">
        <v>3897</v>
      </c>
    </row>
    <row r="429" spans="1:7" ht="30" x14ac:dyDescent="0.25">
      <c r="A429" s="136" t="s">
        <v>421</v>
      </c>
      <c r="B429" s="136">
        <v>22</v>
      </c>
      <c r="C429" s="146">
        <v>12602</v>
      </c>
      <c r="D429" s="136">
        <v>7</v>
      </c>
      <c r="E429" s="145">
        <v>4503</v>
      </c>
      <c r="F429" s="136">
        <v>493</v>
      </c>
      <c r="G429" s="146">
        <v>17627</v>
      </c>
    </row>
    <row r="430" spans="1:7" x14ac:dyDescent="0.25">
      <c r="A430" s="136" t="s">
        <v>422</v>
      </c>
      <c r="B430" s="136">
        <v>82</v>
      </c>
      <c r="C430" s="146">
        <v>31452</v>
      </c>
      <c r="D430" s="136">
        <v>25</v>
      </c>
      <c r="E430" s="145">
        <v>5262</v>
      </c>
      <c r="F430" s="136">
        <v>839</v>
      </c>
      <c r="G430" s="146">
        <v>37660</v>
      </c>
    </row>
    <row r="431" spans="1:7" ht="30" x14ac:dyDescent="0.25">
      <c r="A431" s="136" t="s">
        <v>423</v>
      </c>
      <c r="B431" s="136">
        <v>139</v>
      </c>
      <c r="C431" s="146">
        <v>71068</v>
      </c>
      <c r="D431" s="136">
        <v>25</v>
      </c>
      <c r="E431" s="145">
        <v>11252</v>
      </c>
      <c r="F431" s="146">
        <v>1837</v>
      </c>
      <c r="G431" s="146">
        <v>84321</v>
      </c>
    </row>
    <row r="432" spans="1:7" x14ac:dyDescent="0.25">
      <c r="A432" s="136" t="s">
        <v>424</v>
      </c>
      <c r="B432" s="136">
        <v>46</v>
      </c>
      <c r="C432" s="146">
        <v>18143</v>
      </c>
      <c r="D432" s="136">
        <v>6</v>
      </c>
      <c r="E432" s="145">
        <v>3143</v>
      </c>
      <c r="F432" s="136">
        <v>568</v>
      </c>
      <c r="G432" s="146">
        <v>21906</v>
      </c>
    </row>
    <row r="433" spans="1:7" ht="30" x14ac:dyDescent="0.25">
      <c r="A433" s="136" t="s">
        <v>425</v>
      </c>
      <c r="B433" s="136">
        <v>49</v>
      </c>
      <c r="C433" s="146">
        <v>21030</v>
      </c>
      <c r="D433" s="136">
        <v>4</v>
      </c>
      <c r="E433" s="145">
        <v>3207</v>
      </c>
      <c r="F433" s="136">
        <v>438</v>
      </c>
      <c r="G433" s="146">
        <v>24728</v>
      </c>
    </row>
    <row r="434" spans="1:7" x14ac:dyDescent="0.25">
      <c r="A434" s="136" t="s">
        <v>426</v>
      </c>
      <c r="B434" s="136">
        <v>89</v>
      </c>
      <c r="C434" s="146">
        <v>28084</v>
      </c>
      <c r="D434" s="136">
        <v>6</v>
      </c>
      <c r="E434" s="145">
        <v>4734</v>
      </c>
      <c r="F434" s="136">
        <v>625</v>
      </c>
      <c r="G434" s="146">
        <v>33538</v>
      </c>
    </row>
    <row r="435" spans="1:7" x14ac:dyDescent="0.25">
      <c r="A435" s="136" t="s">
        <v>427</v>
      </c>
      <c r="B435" s="136">
        <v>50</v>
      </c>
      <c r="C435" s="146">
        <v>23517</v>
      </c>
      <c r="D435" s="136">
        <v>10</v>
      </c>
      <c r="E435" s="145">
        <v>3534</v>
      </c>
      <c r="F435" s="136">
        <v>544</v>
      </c>
      <c r="G435" s="146">
        <v>27655</v>
      </c>
    </row>
    <row r="436" spans="1:7" ht="30" x14ac:dyDescent="0.25">
      <c r="A436" s="136" t="s">
        <v>428</v>
      </c>
      <c r="B436" s="136">
        <v>87</v>
      </c>
      <c r="C436" s="146">
        <v>40881</v>
      </c>
      <c r="D436" s="136">
        <v>25</v>
      </c>
      <c r="E436" s="145">
        <v>6718</v>
      </c>
      <c r="F436" s="146">
        <v>1025</v>
      </c>
      <c r="G436" s="146">
        <v>48736</v>
      </c>
    </row>
    <row r="437" spans="1:7" ht="30" x14ac:dyDescent="0.25">
      <c r="A437" s="136" t="s">
        <v>429</v>
      </c>
      <c r="B437" s="136">
        <v>50</v>
      </c>
      <c r="C437" s="146">
        <v>19809</v>
      </c>
      <c r="D437" s="136">
        <v>8</v>
      </c>
      <c r="E437" s="145">
        <v>2971</v>
      </c>
      <c r="F437" s="136">
        <v>448</v>
      </c>
      <c r="G437" s="146">
        <v>23286</v>
      </c>
    </row>
    <row r="438" spans="1:7" ht="30" x14ac:dyDescent="0.25">
      <c r="A438" s="136" t="s">
        <v>430</v>
      </c>
      <c r="B438" s="136">
        <v>3</v>
      </c>
      <c r="C438" s="146">
        <v>2383</v>
      </c>
      <c r="D438" s="136">
        <v>1</v>
      </c>
      <c r="E438">
        <v>492</v>
      </c>
      <c r="F438" s="136">
        <v>53</v>
      </c>
      <c r="G438" s="146">
        <v>2932</v>
      </c>
    </row>
    <row r="439" spans="1:7" ht="30" x14ac:dyDescent="0.25">
      <c r="A439" s="136" t="s">
        <v>431</v>
      </c>
      <c r="B439" s="136">
        <v>49</v>
      </c>
      <c r="C439" s="146">
        <v>16683</v>
      </c>
      <c r="D439" s="136">
        <v>5</v>
      </c>
      <c r="E439" s="145">
        <v>3202</v>
      </c>
      <c r="F439" s="136">
        <v>431</v>
      </c>
      <c r="G439" s="146">
        <v>20370</v>
      </c>
    </row>
    <row r="440" spans="1:7" x14ac:dyDescent="0.25">
      <c r="A440" s="136" t="s">
        <v>432</v>
      </c>
      <c r="B440" s="136">
        <v>6</v>
      </c>
      <c r="C440" s="146">
        <v>1653</v>
      </c>
      <c r="D440" s="136">
        <v>2</v>
      </c>
      <c r="E440">
        <v>321</v>
      </c>
      <c r="F440" s="136">
        <v>47</v>
      </c>
      <c r="G440" s="146">
        <v>2029</v>
      </c>
    </row>
    <row r="441" spans="1:7" ht="30" x14ac:dyDescent="0.25">
      <c r="A441" s="136" t="s">
        <v>433</v>
      </c>
      <c r="B441" s="136">
        <v>45</v>
      </c>
      <c r="C441" s="146">
        <v>17432</v>
      </c>
      <c r="D441" s="136">
        <v>5</v>
      </c>
      <c r="E441" s="145">
        <v>2147</v>
      </c>
      <c r="F441" s="136">
        <v>292</v>
      </c>
      <c r="G441" s="146">
        <v>19921</v>
      </c>
    </row>
    <row r="442" spans="1:7" x14ac:dyDescent="0.25">
      <c r="A442" s="136" t="s">
        <v>434</v>
      </c>
      <c r="B442" s="136">
        <v>420</v>
      </c>
      <c r="C442" s="146">
        <v>53928</v>
      </c>
      <c r="D442" s="136">
        <v>14</v>
      </c>
      <c r="E442" s="145">
        <v>10554</v>
      </c>
      <c r="F442" s="146">
        <v>1765</v>
      </c>
      <c r="G442" s="146">
        <v>66681</v>
      </c>
    </row>
    <row r="443" spans="1:7" x14ac:dyDescent="0.25">
      <c r="A443" s="136" t="s">
        <v>435</v>
      </c>
      <c r="B443" s="136">
        <v>22</v>
      </c>
      <c r="C443" s="146">
        <v>10410</v>
      </c>
      <c r="D443" s="136">
        <v>10</v>
      </c>
      <c r="E443" s="145">
        <v>1956</v>
      </c>
      <c r="F443" s="136">
        <v>255</v>
      </c>
      <c r="G443" s="146">
        <v>12653</v>
      </c>
    </row>
    <row r="444" spans="1:7" x14ac:dyDescent="0.25">
      <c r="A444" s="136" t="s">
        <v>436</v>
      </c>
      <c r="B444" s="136">
        <v>6</v>
      </c>
      <c r="C444" s="146">
        <v>2581</v>
      </c>
      <c r="E444" s="136">
        <v>416</v>
      </c>
      <c r="F444" s="136">
        <v>58</v>
      </c>
      <c r="G444" s="146">
        <v>3061</v>
      </c>
    </row>
    <row r="445" spans="1:7" x14ac:dyDescent="0.25">
      <c r="A445" s="136" t="s">
        <v>437</v>
      </c>
      <c r="B445" s="136">
        <v>7</v>
      </c>
      <c r="C445" s="146">
        <v>4977</v>
      </c>
      <c r="E445" s="146">
        <v>2219</v>
      </c>
      <c r="F445" s="136">
        <v>223</v>
      </c>
      <c r="G445" s="146">
        <v>7426</v>
      </c>
    </row>
    <row r="446" spans="1:7" x14ac:dyDescent="0.25">
      <c r="A446" s="136" t="s">
        <v>504</v>
      </c>
      <c r="B446" s="136">
        <v>56</v>
      </c>
      <c r="C446" s="146">
        <v>28379</v>
      </c>
      <c r="D446" s="136">
        <v>13</v>
      </c>
      <c r="E446" s="145">
        <v>7415</v>
      </c>
      <c r="F446" s="136">
        <v>772</v>
      </c>
      <c r="G446" s="146">
        <v>36635</v>
      </c>
    </row>
    <row r="447" spans="1:7" x14ac:dyDescent="0.25">
      <c r="A447" s="136"/>
      <c r="G447" s="143"/>
    </row>
    <row r="448" spans="1:7" x14ac:dyDescent="0.25">
      <c r="A448" s="136" t="s">
        <v>28</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438</v>
      </c>
      <c r="B454" s="154"/>
      <c r="C454" s="154"/>
      <c r="D454" s="154"/>
      <c r="E454" s="154"/>
      <c r="F454" s="155"/>
    </row>
    <row r="455" spans="1:7" x14ac:dyDescent="0.25">
      <c r="A455" s="136"/>
      <c r="B455" s="136"/>
      <c r="C455" s="136"/>
      <c r="F455" s="143"/>
    </row>
    <row r="456" spans="1:7" ht="30" x14ac:dyDescent="0.25">
      <c r="A456" s="136"/>
      <c r="B456" s="136" t="s">
        <v>505</v>
      </c>
      <c r="C456" s="136"/>
      <c r="F456" s="143"/>
    </row>
    <row r="457" spans="1:7" x14ac:dyDescent="0.25">
      <c r="A457" s="136" t="s">
        <v>130</v>
      </c>
      <c r="B457" s="136" t="s">
        <v>484</v>
      </c>
      <c r="C457" s="136" t="s">
        <v>485</v>
      </c>
      <c r="D457" s="136" t="s">
        <v>486</v>
      </c>
      <c r="E457" s="136" t="s">
        <v>487</v>
      </c>
      <c r="F457" s="136" t="s">
        <v>488</v>
      </c>
      <c r="G457" s="136" t="s">
        <v>28</v>
      </c>
    </row>
    <row r="458" spans="1:7" x14ac:dyDescent="0.25">
      <c r="A458" s="136"/>
      <c r="B458" s="136"/>
      <c r="C458" s="136"/>
      <c r="G458" s="143"/>
    </row>
    <row r="459" spans="1:7" x14ac:dyDescent="0.25">
      <c r="A459" s="136" t="s">
        <v>439</v>
      </c>
      <c r="B459" s="136">
        <v>2</v>
      </c>
      <c r="C459" s="146">
        <v>1040</v>
      </c>
      <c r="D459" s="136">
        <v>1</v>
      </c>
      <c r="E459" s="136">
        <v>159</v>
      </c>
      <c r="F459" s="136">
        <v>13</v>
      </c>
      <c r="G459" s="146">
        <v>1215</v>
      </c>
    </row>
    <row r="460" spans="1:7" x14ac:dyDescent="0.25">
      <c r="A460" s="136" t="s">
        <v>440</v>
      </c>
      <c r="B460" s="136">
        <v>9</v>
      </c>
      <c r="C460" s="146">
        <v>2600</v>
      </c>
      <c r="D460" s="136">
        <v>2</v>
      </c>
      <c r="E460" s="136">
        <v>421</v>
      </c>
      <c r="F460" s="136">
        <v>81</v>
      </c>
      <c r="G460" s="146">
        <v>3113</v>
      </c>
    </row>
    <row r="461" spans="1:7" x14ac:dyDescent="0.25">
      <c r="A461" s="136" t="s">
        <v>441</v>
      </c>
      <c r="B461" s="136">
        <v>22</v>
      </c>
      <c r="C461" s="146">
        <v>8352</v>
      </c>
      <c r="D461" s="136">
        <v>8</v>
      </c>
      <c r="E461" s="146">
        <v>1465</v>
      </c>
      <c r="F461" s="136">
        <v>187</v>
      </c>
      <c r="G461" s="146">
        <v>10034</v>
      </c>
    </row>
    <row r="462" spans="1:7" ht="30" x14ac:dyDescent="0.25">
      <c r="A462" s="136" t="s">
        <v>442</v>
      </c>
      <c r="B462" s="136">
        <v>5</v>
      </c>
      <c r="C462" s="146">
        <v>1993</v>
      </c>
      <c r="D462" s="136">
        <v>1</v>
      </c>
      <c r="E462" s="136">
        <v>282</v>
      </c>
      <c r="F462" s="136">
        <v>48</v>
      </c>
      <c r="G462" s="146">
        <v>2329</v>
      </c>
    </row>
    <row r="463" spans="1:7" x14ac:dyDescent="0.25">
      <c r="A463" s="136" t="s">
        <v>443</v>
      </c>
      <c r="B463" s="136">
        <v>17</v>
      </c>
      <c r="C463" s="146">
        <v>3454</v>
      </c>
      <c r="D463" s="136">
        <v>5</v>
      </c>
      <c r="E463" s="136">
        <v>556</v>
      </c>
      <c r="F463" s="136">
        <v>66</v>
      </c>
      <c r="G463" s="146">
        <v>4098</v>
      </c>
    </row>
    <row r="464" spans="1:7" x14ac:dyDescent="0.25">
      <c r="A464" s="136" t="s">
        <v>444</v>
      </c>
      <c r="B464" s="136">
        <v>10</v>
      </c>
      <c r="C464" s="146">
        <v>3912</v>
      </c>
      <c r="D464" s="136">
        <v>2</v>
      </c>
      <c r="E464" s="136">
        <v>567</v>
      </c>
      <c r="F464" s="136">
        <v>98</v>
      </c>
      <c r="G464" s="146">
        <v>4589</v>
      </c>
    </row>
    <row r="465" spans="1:7" x14ac:dyDescent="0.25">
      <c r="A465" s="136" t="s">
        <v>445</v>
      </c>
      <c r="B465" s="136">
        <v>7</v>
      </c>
      <c r="C465" s="146">
        <v>1486</v>
      </c>
      <c r="D465" s="136">
        <v>1</v>
      </c>
      <c r="E465" s="136">
        <v>250</v>
      </c>
      <c r="F465" s="136">
        <v>24</v>
      </c>
      <c r="G465" s="146">
        <v>1768</v>
      </c>
    </row>
    <row r="466" spans="1:7" x14ac:dyDescent="0.25">
      <c r="A466" s="136" t="s">
        <v>446</v>
      </c>
      <c r="B466" s="136">
        <v>19</v>
      </c>
      <c r="C466" s="146">
        <v>4468</v>
      </c>
      <c r="D466" s="136">
        <v>2</v>
      </c>
      <c r="E466" s="136">
        <v>955</v>
      </c>
      <c r="F466" s="136">
        <v>104</v>
      </c>
      <c r="G466" s="146">
        <v>5548</v>
      </c>
    </row>
    <row r="467" spans="1:7" ht="30" x14ac:dyDescent="0.25">
      <c r="A467" s="136" t="s">
        <v>447</v>
      </c>
      <c r="B467" s="136">
        <v>12</v>
      </c>
      <c r="C467" s="146">
        <v>6294</v>
      </c>
      <c r="D467" s="136">
        <v>5</v>
      </c>
      <c r="E467" s="146">
        <v>1104</v>
      </c>
      <c r="F467" s="136">
        <v>155</v>
      </c>
      <c r="G467" s="146">
        <v>7570</v>
      </c>
    </row>
    <row r="468" spans="1:7" x14ac:dyDescent="0.25">
      <c r="A468" s="136" t="s">
        <v>448</v>
      </c>
      <c r="B468" s="136">
        <v>20</v>
      </c>
      <c r="C468" s="146">
        <v>6998</v>
      </c>
      <c r="D468" s="136">
        <v>11</v>
      </c>
      <c r="E468" s="146">
        <v>1159</v>
      </c>
      <c r="F468" s="136">
        <v>156</v>
      </c>
      <c r="G468" s="146">
        <v>8344</v>
      </c>
    </row>
    <row r="469" spans="1:7" ht="60" x14ac:dyDescent="0.25">
      <c r="A469" s="136" t="s">
        <v>508</v>
      </c>
      <c r="B469" s="136">
        <v>13</v>
      </c>
      <c r="C469" s="146">
        <v>3804</v>
      </c>
      <c r="D469" s="136">
        <v>1</v>
      </c>
      <c r="E469" s="136">
        <v>560</v>
      </c>
      <c r="F469" s="136">
        <v>88</v>
      </c>
      <c r="G469" s="146">
        <v>4466</v>
      </c>
    </row>
    <row r="470" spans="1:7" x14ac:dyDescent="0.25">
      <c r="A470" s="136" t="s">
        <v>450</v>
      </c>
      <c r="B470" s="136">
        <v>97</v>
      </c>
      <c r="C470" s="146">
        <v>27778</v>
      </c>
      <c r="D470" s="136">
        <v>29</v>
      </c>
      <c r="E470" s="146">
        <v>4913</v>
      </c>
      <c r="F470" s="136">
        <v>600</v>
      </c>
      <c r="G470" s="146">
        <v>33417</v>
      </c>
    </row>
    <row r="471" spans="1:7" x14ac:dyDescent="0.25">
      <c r="A471" s="136"/>
      <c r="G471" s="143"/>
    </row>
    <row r="472" spans="1:7" x14ac:dyDescent="0.25">
      <c r="A472" s="136" t="s">
        <v>28</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506</v>
      </c>
      <c r="B478" s="136" t="s">
        <v>507</v>
      </c>
      <c r="C478" s="136">
        <v>15</v>
      </c>
      <c r="D478" s="154"/>
      <c r="E478" s="154"/>
      <c r="F478" s="155"/>
    </row>
    <row r="479" spans="1:7" x14ac:dyDescent="0.25">
      <c r="A479" s="136"/>
      <c r="B479" s="136"/>
      <c r="C479" s="136"/>
      <c r="D479" s="136"/>
      <c r="F479" s="143"/>
    </row>
    <row r="480" spans="1:7" ht="30" x14ac:dyDescent="0.25">
      <c r="A480" s="136"/>
      <c r="B480" s="136"/>
      <c r="C480" s="136" t="s">
        <v>505</v>
      </c>
      <c r="D480" s="136"/>
      <c r="F480" s="143"/>
    </row>
    <row r="481" spans="1:7" x14ac:dyDescent="0.25">
      <c r="A481" s="136" t="s">
        <v>130</v>
      </c>
      <c r="B481" s="136" t="s">
        <v>484</v>
      </c>
      <c r="C481" s="136" t="s">
        <v>485</v>
      </c>
      <c r="D481" s="136" t="s">
        <v>486</v>
      </c>
      <c r="E481" s="136" t="s">
        <v>487</v>
      </c>
      <c r="F481" s="136" t="s">
        <v>488</v>
      </c>
      <c r="G481" s="136" t="s">
        <v>28</v>
      </c>
    </row>
    <row r="482" spans="1:7" x14ac:dyDescent="0.25">
      <c r="A482" s="136"/>
      <c r="B482" s="136"/>
      <c r="C482" s="136"/>
      <c r="G482" s="143"/>
    </row>
    <row r="483" spans="1:7" x14ac:dyDescent="0.25">
      <c r="A483" s="136" t="s">
        <v>451</v>
      </c>
      <c r="B483" s="136">
        <v>109</v>
      </c>
      <c r="C483" s="146">
        <v>34285</v>
      </c>
      <c r="D483" s="136">
        <v>16</v>
      </c>
      <c r="E483" s="146">
        <v>5811</v>
      </c>
      <c r="F483" s="136">
        <v>828</v>
      </c>
      <c r="G483" s="146">
        <v>41049</v>
      </c>
    </row>
    <row r="484" spans="1:7" ht="30" x14ac:dyDescent="0.25">
      <c r="A484" s="136" t="s">
        <v>452</v>
      </c>
      <c r="B484" s="136"/>
      <c r="C484" s="136">
        <v>75</v>
      </c>
      <c r="E484" s="136">
        <v>15</v>
      </c>
      <c r="F484" s="136">
        <v>1</v>
      </c>
      <c r="G484" s="136">
        <v>91</v>
      </c>
    </row>
    <row r="485" spans="1:7" ht="30" x14ac:dyDescent="0.25">
      <c r="A485" s="136" t="s">
        <v>453</v>
      </c>
      <c r="B485" s="136">
        <v>1</v>
      </c>
      <c r="C485" s="136">
        <v>62</v>
      </c>
      <c r="E485" s="136">
        <v>21</v>
      </c>
      <c r="G485" s="136">
        <v>84</v>
      </c>
    </row>
    <row r="486" spans="1:7" x14ac:dyDescent="0.25">
      <c r="A486" s="136" t="s">
        <v>454</v>
      </c>
      <c r="B486" s="136"/>
      <c r="C486" s="136">
        <v>218</v>
      </c>
      <c r="E486" s="136">
        <v>58</v>
      </c>
      <c r="F486" s="136">
        <v>8</v>
      </c>
      <c r="G486" s="136">
        <v>284</v>
      </c>
    </row>
    <row r="487" spans="1:7" x14ac:dyDescent="0.25">
      <c r="A487" s="136" t="s">
        <v>28</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506</v>
      </c>
      <c r="B492" s="136" t="s">
        <v>507</v>
      </c>
      <c r="C492" s="136">
        <v>16</v>
      </c>
      <c r="D492" s="154"/>
      <c r="E492" s="154"/>
      <c r="F492" s="155"/>
    </row>
    <row r="493" spans="1:7" x14ac:dyDescent="0.25">
      <c r="A493" s="136"/>
      <c r="B493" s="136"/>
      <c r="C493" s="136"/>
      <c r="D493" s="136"/>
      <c r="F493" s="143"/>
    </row>
    <row r="494" spans="1:7" ht="30" x14ac:dyDescent="0.25">
      <c r="A494" s="136"/>
      <c r="B494" s="136"/>
      <c r="C494" s="136" t="s">
        <v>505</v>
      </c>
      <c r="D494" s="136"/>
      <c r="F494" s="143"/>
    </row>
    <row r="495" spans="1:7" x14ac:dyDescent="0.25">
      <c r="A495" s="136" t="s">
        <v>130</v>
      </c>
      <c r="B495" s="136" t="s">
        <v>484</v>
      </c>
      <c r="C495" s="136" t="s">
        <v>485</v>
      </c>
      <c r="D495" s="136" t="s">
        <v>486</v>
      </c>
      <c r="E495" s="136" t="s">
        <v>487</v>
      </c>
      <c r="F495" s="136" t="s">
        <v>488</v>
      </c>
      <c r="G495" s="136" t="s">
        <v>28</v>
      </c>
    </row>
    <row r="496" spans="1:7" x14ac:dyDescent="0.25">
      <c r="A496" s="136"/>
      <c r="B496" s="136"/>
      <c r="C496" s="136"/>
      <c r="G496" s="143"/>
    </row>
    <row r="497" spans="1:7" x14ac:dyDescent="0.25">
      <c r="A497" s="136" t="s">
        <v>455</v>
      </c>
      <c r="B497" s="136">
        <v>13</v>
      </c>
      <c r="C497" s="146">
        <v>4610</v>
      </c>
      <c r="D497" s="136">
        <v>1</v>
      </c>
      <c r="E497" s="146">
        <v>1258</v>
      </c>
      <c r="F497" s="136">
        <v>132</v>
      </c>
      <c r="G497" s="146">
        <v>6014</v>
      </c>
    </row>
    <row r="498" spans="1:7" x14ac:dyDescent="0.25">
      <c r="A498" s="136" t="s">
        <v>456</v>
      </c>
      <c r="B498" s="136">
        <v>107</v>
      </c>
      <c r="C498" s="146">
        <v>35823</v>
      </c>
      <c r="D498" s="136">
        <v>9</v>
      </c>
      <c r="E498" s="146">
        <v>8805</v>
      </c>
      <c r="F498" s="136">
        <v>912</v>
      </c>
      <c r="G498" s="146">
        <v>45656</v>
      </c>
    </row>
    <row r="499" spans="1:7" ht="30" x14ac:dyDescent="0.25">
      <c r="A499" s="136" t="s">
        <v>457</v>
      </c>
      <c r="B499" s="136">
        <v>18</v>
      </c>
      <c r="C499" s="146">
        <v>4008</v>
      </c>
      <c r="E499" s="136">
        <v>891</v>
      </c>
      <c r="F499" s="136">
        <v>106</v>
      </c>
      <c r="G499" s="146">
        <v>5023</v>
      </c>
    </row>
    <row r="500" spans="1:7" ht="30" x14ac:dyDescent="0.25">
      <c r="A500" s="136" t="s">
        <v>458</v>
      </c>
      <c r="B500" s="136">
        <v>5</v>
      </c>
      <c r="C500" s="146">
        <v>1172</v>
      </c>
      <c r="E500" s="136">
        <v>277</v>
      </c>
      <c r="F500" s="136">
        <v>24</v>
      </c>
      <c r="G500" s="146">
        <v>1478</v>
      </c>
    </row>
    <row r="501" spans="1:7" x14ac:dyDescent="0.25">
      <c r="A501" s="136" t="s">
        <v>459</v>
      </c>
      <c r="B501" s="136">
        <v>5</v>
      </c>
      <c r="C501" s="146">
        <v>3897</v>
      </c>
      <c r="E501" s="136">
        <v>822</v>
      </c>
      <c r="F501" s="136">
        <v>74</v>
      </c>
      <c r="G501" s="146">
        <v>4798</v>
      </c>
    </row>
    <row r="502" spans="1:7" x14ac:dyDescent="0.25">
      <c r="A502" s="136" t="s">
        <v>460</v>
      </c>
      <c r="B502" s="136">
        <v>18</v>
      </c>
      <c r="C502" s="146">
        <v>4370</v>
      </c>
      <c r="D502" s="136">
        <v>1</v>
      </c>
      <c r="E502" s="146">
        <v>1431</v>
      </c>
      <c r="F502" s="136">
        <v>147</v>
      </c>
      <c r="G502" s="146">
        <v>5967</v>
      </c>
    </row>
    <row r="503" spans="1:7" x14ac:dyDescent="0.25">
      <c r="A503" s="136" t="s">
        <v>461</v>
      </c>
      <c r="B503" s="136">
        <v>10</v>
      </c>
      <c r="C503" s="146">
        <v>2703</v>
      </c>
      <c r="D503" s="136">
        <v>1</v>
      </c>
      <c r="E503" s="136">
        <v>848</v>
      </c>
      <c r="F503" s="136">
        <v>73</v>
      </c>
      <c r="G503" s="146">
        <v>3635</v>
      </c>
    </row>
    <row r="504" spans="1:7" x14ac:dyDescent="0.25">
      <c r="A504" s="136" t="s">
        <v>462</v>
      </c>
      <c r="B504" s="136">
        <v>3</v>
      </c>
      <c r="C504" s="146">
        <v>1384</v>
      </c>
      <c r="E504" s="136">
        <v>494</v>
      </c>
      <c r="F504" s="136">
        <v>28</v>
      </c>
      <c r="G504" s="146">
        <v>1909</v>
      </c>
    </row>
    <row r="505" spans="1:7" x14ac:dyDescent="0.25">
      <c r="A505" s="136" t="s">
        <v>463</v>
      </c>
      <c r="B505" s="136">
        <v>2</v>
      </c>
      <c r="C505" s="146">
        <v>1686</v>
      </c>
      <c r="E505" s="136">
        <v>551</v>
      </c>
      <c r="F505" s="136">
        <v>51</v>
      </c>
      <c r="G505" s="146">
        <v>2290</v>
      </c>
    </row>
    <row r="506" spans="1:7" x14ac:dyDescent="0.25">
      <c r="A506" s="136" t="s">
        <v>464</v>
      </c>
      <c r="B506" s="136">
        <v>5</v>
      </c>
      <c r="C506" s="146">
        <v>2316</v>
      </c>
      <c r="E506" s="136">
        <v>695</v>
      </c>
      <c r="F506" s="136">
        <v>81</v>
      </c>
      <c r="G506" s="146">
        <v>3097</v>
      </c>
    </row>
    <row r="507" spans="1:7" ht="30" x14ac:dyDescent="0.25">
      <c r="A507" s="136" t="s">
        <v>465</v>
      </c>
      <c r="B507" s="136">
        <v>4</v>
      </c>
      <c r="C507" s="146">
        <v>1278</v>
      </c>
      <c r="E507" s="136">
        <v>260</v>
      </c>
      <c r="F507" s="136">
        <v>26</v>
      </c>
      <c r="G507" s="146">
        <v>1568</v>
      </c>
    </row>
    <row r="508" spans="1:7" x14ac:dyDescent="0.25">
      <c r="A508" s="136" t="s">
        <v>466</v>
      </c>
      <c r="B508" s="136">
        <v>15</v>
      </c>
      <c r="C508" s="146">
        <v>4075</v>
      </c>
      <c r="D508" s="136">
        <v>3</v>
      </c>
      <c r="E508" s="136">
        <v>910</v>
      </c>
      <c r="F508" s="136">
        <v>132</v>
      </c>
      <c r="G508" s="146">
        <v>5135</v>
      </c>
    </row>
    <row r="509" spans="1:7" x14ac:dyDescent="0.25">
      <c r="A509" s="136" t="s">
        <v>467</v>
      </c>
      <c r="B509" s="136">
        <v>9</v>
      </c>
      <c r="C509" s="146">
        <v>2735</v>
      </c>
      <c r="E509" s="136">
        <v>605</v>
      </c>
      <c r="F509" s="136">
        <v>57</v>
      </c>
      <c r="G509" s="146">
        <v>3406</v>
      </c>
    </row>
    <row r="510" spans="1:7" x14ac:dyDescent="0.25">
      <c r="A510" s="136" t="s">
        <v>468</v>
      </c>
      <c r="B510" s="136">
        <v>4</v>
      </c>
      <c r="C510" s="146">
        <v>1532</v>
      </c>
      <c r="D510" s="136">
        <v>1</v>
      </c>
      <c r="E510" s="136">
        <v>322</v>
      </c>
      <c r="F510" s="136">
        <v>37</v>
      </c>
      <c r="G510" s="146">
        <v>1896</v>
      </c>
    </row>
    <row r="511" spans="1:7" ht="30" x14ac:dyDescent="0.25">
      <c r="A511" s="136" t="s">
        <v>469</v>
      </c>
      <c r="B511" s="136">
        <v>34</v>
      </c>
      <c r="C511" s="146">
        <v>11662</v>
      </c>
      <c r="D511" s="136">
        <v>6</v>
      </c>
      <c r="E511" s="146">
        <v>2801</v>
      </c>
      <c r="F511" s="136">
        <v>253</v>
      </c>
      <c r="G511" s="146">
        <v>14756</v>
      </c>
    </row>
    <row r="512" spans="1:7" ht="30" x14ac:dyDescent="0.25">
      <c r="A512" s="136" t="s">
        <v>470</v>
      </c>
      <c r="B512" s="136">
        <v>2</v>
      </c>
      <c r="C512" s="136">
        <v>915</v>
      </c>
      <c r="E512" s="136">
        <v>208</v>
      </c>
      <c r="F512" s="136">
        <v>24</v>
      </c>
      <c r="G512" s="146">
        <v>1149</v>
      </c>
    </row>
    <row r="513" spans="1:7" ht="30" x14ac:dyDescent="0.25">
      <c r="A513" s="136" t="s">
        <v>471</v>
      </c>
      <c r="B513" s="136">
        <v>16</v>
      </c>
      <c r="C513" s="146">
        <v>3685</v>
      </c>
      <c r="E513" s="146">
        <v>1109</v>
      </c>
      <c r="F513" s="136">
        <v>141</v>
      </c>
      <c r="G513" s="146">
        <v>4951</v>
      </c>
    </row>
    <row r="514" spans="1:7" ht="30" x14ac:dyDescent="0.25">
      <c r="A514" s="136" t="s">
        <v>472</v>
      </c>
      <c r="B514" s="136">
        <v>10</v>
      </c>
      <c r="C514" s="146">
        <v>2256</v>
      </c>
      <c r="D514" s="136">
        <v>1</v>
      </c>
      <c r="E514" s="136">
        <v>614</v>
      </c>
      <c r="F514" s="136">
        <v>62</v>
      </c>
      <c r="G514" s="146">
        <v>2943</v>
      </c>
    </row>
    <row r="515" spans="1:7" x14ac:dyDescent="0.25">
      <c r="A515" s="136" t="s">
        <v>473</v>
      </c>
      <c r="B515" s="136">
        <v>5</v>
      </c>
      <c r="C515" s="146">
        <v>1271</v>
      </c>
      <c r="D515" s="136">
        <v>1</v>
      </c>
      <c r="E515" s="136">
        <v>240</v>
      </c>
      <c r="F515" s="136">
        <v>33</v>
      </c>
      <c r="G515" s="146">
        <v>1550</v>
      </c>
    </row>
    <row r="516" spans="1:7" x14ac:dyDescent="0.25">
      <c r="A516" s="136" t="s">
        <v>474</v>
      </c>
      <c r="B516" s="136">
        <v>11</v>
      </c>
      <c r="C516" s="146">
        <v>3744</v>
      </c>
      <c r="E516" s="136">
        <v>854</v>
      </c>
      <c r="F516" s="136">
        <v>95</v>
      </c>
      <c r="G516" s="146">
        <v>4704</v>
      </c>
    </row>
    <row r="517" spans="1:7" x14ac:dyDescent="0.25">
      <c r="A517" s="136" t="s">
        <v>475</v>
      </c>
      <c r="B517" s="136">
        <v>3</v>
      </c>
      <c r="C517" s="146">
        <v>2785</v>
      </c>
      <c r="D517" s="136">
        <v>1</v>
      </c>
      <c r="E517" s="136">
        <v>811</v>
      </c>
      <c r="F517" s="136">
        <v>75</v>
      </c>
      <c r="G517" s="146">
        <v>3675</v>
      </c>
    </row>
    <row r="518" spans="1:7" x14ac:dyDescent="0.25">
      <c r="A518" s="136" t="s">
        <v>28</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 workbookViewId="1"/>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70</v>
      </c>
      <c r="G2" s="92"/>
      <c r="J2" s="7"/>
    </row>
    <row r="3" spans="1:18" ht="23.25" x14ac:dyDescent="0.25">
      <c r="B3" s="1"/>
      <c r="G3" s="92"/>
      <c r="J3" s="7"/>
    </row>
    <row r="4" spans="1:18" ht="41.25" customHeight="1" x14ac:dyDescent="0.25">
      <c r="B4" s="509" t="s">
        <v>539</v>
      </c>
      <c r="C4" s="509"/>
      <c r="D4" s="509"/>
      <c r="E4" s="509"/>
      <c r="F4" s="509"/>
      <c r="G4" s="92"/>
      <c r="H4" s="509" t="s">
        <v>540</v>
      </c>
      <c r="I4" s="509"/>
      <c r="J4" s="509"/>
      <c r="K4" s="509"/>
      <c r="L4" s="509"/>
      <c r="N4" s="509" t="s">
        <v>541</v>
      </c>
      <c r="O4" s="509"/>
      <c r="P4" s="509"/>
      <c r="Q4" s="509"/>
      <c r="R4" s="509"/>
    </row>
    <row r="5" spans="1:18" x14ac:dyDescent="0.25">
      <c r="B5" s="3" t="s">
        <v>509</v>
      </c>
      <c r="C5" s="9"/>
      <c r="D5" s="9"/>
      <c r="E5" s="9"/>
      <c r="F5" s="9"/>
      <c r="H5" s="3" t="s">
        <v>509</v>
      </c>
      <c r="I5" s="9"/>
      <c r="J5" s="9"/>
      <c r="K5" s="9"/>
      <c r="L5" s="9"/>
      <c r="N5" s="3" t="s">
        <v>509</v>
      </c>
      <c r="O5" s="9"/>
      <c r="P5" s="9"/>
      <c r="Q5" s="9"/>
      <c r="R5" s="9"/>
    </row>
    <row r="6" spans="1:18" x14ac:dyDescent="0.25">
      <c r="B6" s="3"/>
      <c r="C6" s="9"/>
      <c r="D6" s="9"/>
      <c r="E6" s="9"/>
      <c r="F6" s="9"/>
      <c r="H6" s="15"/>
      <c r="I6" s="9"/>
      <c r="J6" s="9"/>
      <c r="K6" s="9"/>
      <c r="L6" s="9"/>
      <c r="N6" s="15"/>
      <c r="O6" s="9"/>
      <c r="P6" s="9"/>
      <c r="Q6" s="9"/>
      <c r="R6" s="9"/>
    </row>
    <row r="7" spans="1:18" x14ac:dyDescent="0.25">
      <c r="B7" s="513" t="s">
        <v>75</v>
      </c>
      <c r="C7" s="193" t="s">
        <v>476</v>
      </c>
      <c r="D7" s="193" t="s">
        <v>76</v>
      </c>
      <c r="E7" s="193" t="s">
        <v>77</v>
      </c>
      <c r="F7" s="148" t="s">
        <v>78</v>
      </c>
      <c r="H7" s="513" t="s">
        <v>75</v>
      </c>
      <c r="I7" s="193" t="s">
        <v>476</v>
      </c>
      <c r="J7" s="193" t="s">
        <v>76</v>
      </c>
      <c r="K7" s="193" t="s">
        <v>77</v>
      </c>
      <c r="L7" s="148" t="s">
        <v>78</v>
      </c>
      <c r="N7" s="513" t="s">
        <v>75</v>
      </c>
      <c r="O7" s="193" t="s">
        <v>476</v>
      </c>
      <c r="P7" s="193" t="s">
        <v>76</v>
      </c>
      <c r="Q7" s="193" t="s">
        <v>77</v>
      </c>
      <c r="R7" s="148" t="s">
        <v>78</v>
      </c>
    </row>
    <row r="8" spans="1:18" x14ac:dyDescent="0.25">
      <c r="B8" s="513"/>
      <c r="C8" s="150">
        <v>44835</v>
      </c>
      <c r="D8" s="87">
        <v>26497</v>
      </c>
      <c r="E8" s="87">
        <v>23095</v>
      </c>
      <c r="F8" s="151">
        <f t="shared" ref="F8:F10" si="0">SUM(D8:E8)</f>
        <v>49592</v>
      </c>
      <c r="H8" s="513"/>
      <c r="I8" s="150">
        <v>44835</v>
      </c>
      <c r="J8" s="87">
        <v>18824</v>
      </c>
      <c r="K8" s="87">
        <v>15337</v>
      </c>
      <c r="L8" s="151">
        <f t="shared" ref="L8:L11" si="1">SUM(J8:K8)</f>
        <v>34161</v>
      </c>
      <c r="N8" s="513"/>
      <c r="O8" s="150">
        <v>44835</v>
      </c>
      <c r="P8" s="87">
        <v>4420</v>
      </c>
      <c r="Q8" s="87">
        <v>4711</v>
      </c>
      <c r="R8" s="151">
        <f t="shared" ref="R8:R11" si="2">SUM(P8:Q8)</f>
        <v>9131</v>
      </c>
    </row>
    <row r="9" spans="1:18" x14ac:dyDescent="0.25">
      <c r="B9" s="513"/>
      <c r="C9" s="150">
        <v>44866</v>
      </c>
      <c r="D9" s="87">
        <v>25410</v>
      </c>
      <c r="E9" s="87">
        <v>22601</v>
      </c>
      <c r="F9" s="151">
        <f t="shared" si="0"/>
        <v>48011</v>
      </c>
      <c r="H9" s="513"/>
      <c r="I9" s="150">
        <v>44866</v>
      </c>
      <c r="J9" s="87">
        <v>12715</v>
      </c>
      <c r="K9" s="87">
        <v>11825</v>
      </c>
      <c r="L9" s="151">
        <f t="shared" si="1"/>
        <v>24540</v>
      </c>
      <c r="N9" s="513"/>
      <c r="O9" s="150">
        <v>44866</v>
      </c>
      <c r="P9" s="87">
        <v>3462</v>
      </c>
      <c r="Q9" s="87">
        <v>4015</v>
      </c>
      <c r="R9" s="151">
        <f t="shared" si="2"/>
        <v>7477</v>
      </c>
    </row>
    <row r="10" spans="1:18" x14ac:dyDescent="0.25">
      <c r="B10" s="513"/>
      <c r="C10" s="150">
        <v>44896</v>
      </c>
      <c r="D10" s="87">
        <v>20337</v>
      </c>
      <c r="E10" s="87">
        <v>18577</v>
      </c>
      <c r="F10" s="151">
        <f t="shared" si="0"/>
        <v>38914</v>
      </c>
      <c r="H10" s="513"/>
      <c r="I10" s="150">
        <v>44896</v>
      </c>
      <c r="J10" s="87">
        <v>6609</v>
      </c>
      <c r="K10" s="87">
        <v>5547</v>
      </c>
      <c r="L10" s="151">
        <f t="shared" si="1"/>
        <v>12156</v>
      </c>
      <c r="N10" s="513"/>
      <c r="O10" s="150">
        <v>44896</v>
      </c>
      <c r="P10" s="87">
        <v>19</v>
      </c>
      <c r="Q10" s="87">
        <v>29</v>
      </c>
      <c r="R10" s="151">
        <f t="shared" si="2"/>
        <v>48</v>
      </c>
    </row>
    <row r="11" spans="1:18" x14ac:dyDescent="0.25">
      <c r="B11" s="513"/>
      <c r="C11" s="149" t="s">
        <v>477</v>
      </c>
      <c r="D11" s="87">
        <f>SUM(D8:D10)</f>
        <v>72244</v>
      </c>
      <c r="E11" s="87">
        <f>SUM(E8:E10)</f>
        <v>64273</v>
      </c>
      <c r="F11" s="151">
        <f>SUM(D11:E11)</f>
        <v>136517</v>
      </c>
      <c r="H11" s="513"/>
      <c r="I11" s="149" t="s">
        <v>477</v>
      </c>
      <c r="J11" s="87">
        <f>SUM(J8:J10)</f>
        <v>38148</v>
      </c>
      <c r="K11" s="87">
        <f>SUM(K8:K10)</f>
        <v>32709</v>
      </c>
      <c r="L11" s="151">
        <f t="shared" si="1"/>
        <v>70857</v>
      </c>
      <c r="N11" s="513"/>
      <c r="O11" s="149" t="s">
        <v>477</v>
      </c>
      <c r="P11" s="87">
        <f>SUM(P8:P10)</f>
        <v>7901</v>
      </c>
      <c r="Q11" s="87">
        <f>SUM(Q8:Q10)</f>
        <v>8755</v>
      </c>
      <c r="R11" s="151">
        <f t="shared" si="2"/>
        <v>16656</v>
      </c>
    </row>
    <row r="15" spans="1:18" ht="39" customHeight="1" x14ac:dyDescent="0.25">
      <c r="B15" s="509" t="s">
        <v>71</v>
      </c>
      <c r="C15" s="509"/>
      <c r="D15" s="509"/>
      <c r="E15" s="509"/>
      <c r="F15" s="509"/>
      <c r="G15" s="9"/>
      <c r="H15" s="509" t="s">
        <v>72</v>
      </c>
      <c r="I15" s="509"/>
      <c r="J15" s="509"/>
      <c r="K15" s="509"/>
      <c r="L15" s="509"/>
      <c r="N15" s="509" t="s">
        <v>73</v>
      </c>
      <c r="O15" s="509"/>
      <c r="P15" s="509"/>
      <c r="Q15" s="509"/>
      <c r="R15" s="509"/>
    </row>
    <row r="16" spans="1:18" x14ac:dyDescent="0.25">
      <c r="A16" s="10"/>
      <c r="B16" s="3" t="s">
        <v>74</v>
      </c>
      <c r="C16" s="9"/>
      <c r="D16" s="9"/>
      <c r="E16" s="9"/>
      <c r="F16" s="9"/>
      <c r="G16" s="10"/>
      <c r="H16" s="15" t="s">
        <v>74</v>
      </c>
      <c r="I16" s="9"/>
      <c r="J16" s="9"/>
      <c r="K16" s="9"/>
      <c r="L16" s="9"/>
      <c r="N16" s="15" t="s">
        <v>74</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510" t="s">
        <v>75</v>
      </c>
      <c r="C18" s="94" t="s">
        <v>60</v>
      </c>
      <c r="D18" s="95" t="s">
        <v>76</v>
      </c>
      <c r="E18" s="96" t="s">
        <v>77</v>
      </c>
      <c r="F18" s="97" t="s">
        <v>78</v>
      </c>
      <c r="G18" s="10"/>
      <c r="H18" s="510" t="s">
        <v>75</v>
      </c>
      <c r="I18" s="98" t="s">
        <v>60</v>
      </c>
      <c r="J18" s="95" t="s">
        <v>76</v>
      </c>
      <c r="K18" s="96" t="s">
        <v>77</v>
      </c>
      <c r="L18" s="97" t="s">
        <v>78</v>
      </c>
      <c r="N18" s="510" t="s">
        <v>75</v>
      </c>
      <c r="O18" s="99" t="s">
        <v>60</v>
      </c>
      <c r="P18" s="100" t="s">
        <v>76</v>
      </c>
      <c r="Q18" s="101" t="s">
        <v>77</v>
      </c>
      <c r="R18" s="102" t="s">
        <v>78</v>
      </c>
    </row>
    <row r="19" spans="1:18" x14ac:dyDescent="0.25">
      <c r="B19" s="511"/>
      <c r="C19" s="103">
        <v>2008</v>
      </c>
      <c r="D19" s="104">
        <v>107640</v>
      </c>
      <c r="E19" s="105">
        <v>31722</v>
      </c>
      <c r="F19" s="106">
        <f t="shared" ref="F19:F25" si="3">SUM(D19:E19)</f>
        <v>139362</v>
      </c>
      <c r="G19" s="10"/>
      <c r="H19" s="511"/>
      <c r="I19" s="107">
        <v>2008</v>
      </c>
      <c r="J19" s="104">
        <v>88629</v>
      </c>
      <c r="K19" s="105">
        <v>26452</v>
      </c>
      <c r="L19" s="106">
        <f>SUM(J19:K19)</f>
        <v>115081</v>
      </c>
      <c r="N19" s="511"/>
      <c r="O19" s="108">
        <v>2008</v>
      </c>
      <c r="P19" s="109">
        <v>18804</v>
      </c>
      <c r="Q19" s="110">
        <v>5186</v>
      </c>
      <c r="R19" s="111">
        <v>23990</v>
      </c>
    </row>
    <row r="20" spans="1:18" x14ac:dyDescent="0.25">
      <c r="B20" s="511"/>
      <c r="C20" s="112">
        <v>2009</v>
      </c>
      <c r="D20" s="113">
        <v>256079</v>
      </c>
      <c r="E20" s="114">
        <v>148361</v>
      </c>
      <c r="F20" s="115">
        <f t="shared" si="3"/>
        <v>404440</v>
      </c>
      <c r="G20" s="10"/>
      <c r="H20" s="511"/>
      <c r="I20" s="116">
        <v>2009</v>
      </c>
      <c r="J20" s="113">
        <v>225147</v>
      </c>
      <c r="K20" s="114">
        <v>140811</v>
      </c>
      <c r="L20" s="115">
        <f t="shared" ref="L20:L32" si="4">SUM(J20:K20)</f>
        <v>365958</v>
      </c>
      <c r="N20" s="511"/>
      <c r="O20" s="116">
        <v>2009</v>
      </c>
      <c r="P20" s="113">
        <v>30542</v>
      </c>
      <c r="Q20" s="117">
        <v>7415</v>
      </c>
      <c r="R20" s="115">
        <v>37957</v>
      </c>
    </row>
    <row r="21" spans="1:18" x14ac:dyDescent="0.25">
      <c r="B21" s="511"/>
      <c r="C21" s="112">
        <v>2010</v>
      </c>
      <c r="D21" s="113">
        <v>152798</v>
      </c>
      <c r="E21" s="114">
        <v>92877</v>
      </c>
      <c r="F21" s="115">
        <f t="shared" si="3"/>
        <v>245675</v>
      </c>
      <c r="G21" s="10"/>
      <c r="H21" s="511"/>
      <c r="I21" s="116">
        <v>2010</v>
      </c>
      <c r="J21" s="113">
        <v>119671</v>
      </c>
      <c r="K21" s="114">
        <v>77499</v>
      </c>
      <c r="L21" s="115">
        <f t="shared" si="4"/>
        <v>197170</v>
      </c>
      <c r="N21" s="511"/>
      <c r="O21" s="116">
        <v>2010</v>
      </c>
      <c r="P21" s="113">
        <v>32361</v>
      </c>
      <c r="Q21" s="117">
        <v>14916</v>
      </c>
      <c r="R21" s="115">
        <v>47277</v>
      </c>
    </row>
    <row r="22" spans="1:18" x14ac:dyDescent="0.25">
      <c r="B22" s="511"/>
      <c r="C22" s="112">
        <v>2011</v>
      </c>
      <c r="D22" s="113">
        <v>123376</v>
      </c>
      <c r="E22" s="114">
        <v>71415</v>
      </c>
      <c r="F22" s="115">
        <f t="shared" si="3"/>
        <v>194791</v>
      </c>
      <c r="G22" s="10"/>
      <c r="H22" s="511"/>
      <c r="I22" s="116">
        <v>2011</v>
      </c>
      <c r="J22" s="113">
        <v>84838</v>
      </c>
      <c r="K22" s="114">
        <v>54466</v>
      </c>
      <c r="L22" s="115">
        <f t="shared" si="4"/>
        <v>139304</v>
      </c>
      <c r="N22" s="511"/>
      <c r="O22" s="116">
        <v>2011</v>
      </c>
      <c r="P22" s="113">
        <v>37699</v>
      </c>
      <c r="Q22" s="117">
        <v>16497</v>
      </c>
      <c r="R22" s="115">
        <v>54196</v>
      </c>
    </row>
    <row r="23" spans="1:18" x14ac:dyDescent="0.25">
      <c r="B23" s="511"/>
      <c r="C23" s="112">
        <v>2012</v>
      </c>
      <c r="D23" s="113">
        <v>118771</v>
      </c>
      <c r="E23" s="114">
        <v>73499</v>
      </c>
      <c r="F23" s="115">
        <f t="shared" si="3"/>
        <v>192270</v>
      </c>
      <c r="G23" s="10"/>
      <c r="H23" s="511"/>
      <c r="I23" s="116">
        <v>2012</v>
      </c>
      <c r="J23" s="113">
        <v>95751</v>
      </c>
      <c r="K23" s="114">
        <v>64376</v>
      </c>
      <c r="L23" s="115">
        <f t="shared" si="4"/>
        <v>160127</v>
      </c>
      <c r="N23" s="511"/>
      <c r="O23" s="116">
        <v>2012</v>
      </c>
      <c r="P23" s="113">
        <v>22288</v>
      </c>
      <c r="Q23" s="117">
        <v>8812</v>
      </c>
      <c r="R23" s="115">
        <v>31100</v>
      </c>
    </row>
    <row r="24" spans="1:18" x14ac:dyDescent="0.25">
      <c r="B24" s="511"/>
      <c r="C24" s="112">
        <v>2013</v>
      </c>
      <c r="D24" s="113">
        <v>82046</v>
      </c>
      <c r="E24" s="114">
        <v>51988</v>
      </c>
      <c r="F24" s="115">
        <f t="shared" si="3"/>
        <v>134034</v>
      </c>
      <c r="G24" s="10"/>
      <c r="H24" s="511"/>
      <c r="I24" s="116">
        <v>2013</v>
      </c>
      <c r="J24" s="113">
        <v>65748</v>
      </c>
      <c r="K24" s="114">
        <v>44360</v>
      </c>
      <c r="L24" s="115">
        <f t="shared" si="4"/>
        <v>110108</v>
      </c>
      <c r="N24" s="511"/>
      <c r="O24" s="116">
        <v>2013</v>
      </c>
      <c r="P24" s="113">
        <v>15792</v>
      </c>
      <c r="Q24" s="117">
        <v>7374</v>
      </c>
      <c r="R24" s="115">
        <v>23166</v>
      </c>
    </row>
    <row r="25" spans="1:18" x14ac:dyDescent="0.25">
      <c r="B25" s="511"/>
      <c r="C25" s="112">
        <v>2014</v>
      </c>
      <c r="D25" s="113">
        <v>92858</v>
      </c>
      <c r="E25" s="114">
        <v>58706</v>
      </c>
      <c r="F25" s="115">
        <f t="shared" si="3"/>
        <v>151564</v>
      </c>
      <c r="G25" s="10"/>
      <c r="H25" s="511"/>
      <c r="I25" s="116">
        <v>2014</v>
      </c>
      <c r="J25" s="113">
        <v>70004</v>
      </c>
      <c r="K25" s="114">
        <v>47881</v>
      </c>
      <c r="L25" s="115">
        <f t="shared" si="4"/>
        <v>117885</v>
      </c>
      <c r="N25" s="511"/>
      <c r="O25" s="116">
        <v>2014</v>
      </c>
      <c r="P25" s="113">
        <v>22698</v>
      </c>
      <c r="Q25" s="117">
        <v>10710</v>
      </c>
      <c r="R25" s="115">
        <v>33408</v>
      </c>
    </row>
    <row r="26" spans="1:18" x14ac:dyDescent="0.25">
      <c r="B26" s="511"/>
      <c r="C26" s="112">
        <v>2015</v>
      </c>
      <c r="D26" s="113">
        <v>86238</v>
      </c>
      <c r="E26" s="114">
        <v>54740</v>
      </c>
      <c r="F26" s="115">
        <f>SUM(D26:E26)</f>
        <v>140978</v>
      </c>
      <c r="G26" s="10"/>
      <c r="H26" s="511"/>
      <c r="I26" s="116">
        <v>2015</v>
      </c>
      <c r="J26" s="113">
        <v>65990</v>
      </c>
      <c r="K26" s="114">
        <v>45355</v>
      </c>
      <c r="L26" s="115">
        <f t="shared" si="4"/>
        <v>111345</v>
      </c>
      <c r="N26" s="511"/>
      <c r="O26" s="116">
        <v>2015</v>
      </c>
      <c r="P26" s="113">
        <v>20102</v>
      </c>
      <c r="Q26" s="117">
        <v>9307</v>
      </c>
      <c r="R26" s="115">
        <v>29409</v>
      </c>
    </row>
    <row r="27" spans="1:18" x14ac:dyDescent="0.25">
      <c r="B27" s="511"/>
      <c r="C27" s="112">
        <v>2016</v>
      </c>
      <c r="D27" s="113">
        <v>86383</v>
      </c>
      <c r="E27" s="114">
        <v>52405</v>
      </c>
      <c r="F27" s="115">
        <f t="shared" ref="F27:F33" si="5">SUM(D27:E27)</f>
        <v>138788</v>
      </c>
      <c r="G27" s="10"/>
      <c r="H27" s="511"/>
      <c r="I27" s="116">
        <v>2016</v>
      </c>
      <c r="J27" s="113">
        <v>64506</v>
      </c>
      <c r="K27" s="114">
        <v>42193</v>
      </c>
      <c r="L27" s="115">
        <f t="shared" si="4"/>
        <v>106699</v>
      </c>
      <c r="N27" s="511"/>
      <c r="O27" s="116">
        <v>2016</v>
      </c>
      <c r="P27" s="113">
        <v>21719</v>
      </c>
      <c r="Q27" s="117">
        <v>10118</v>
      </c>
      <c r="R27" s="115">
        <v>31837</v>
      </c>
    </row>
    <row r="28" spans="1:18" x14ac:dyDescent="0.25">
      <c r="B28" s="511"/>
      <c r="C28" s="112">
        <v>2017</v>
      </c>
      <c r="D28" s="113">
        <v>95362</v>
      </c>
      <c r="E28" s="114">
        <v>61704</v>
      </c>
      <c r="F28" s="115">
        <f t="shared" si="5"/>
        <v>157066</v>
      </c>
      <c r="G28" s="10"/>
      <c r="H28" s="511"/>
      <c r="I28" s="116">
        <v>2017</v>
      </c>
      <c r="J28" s="113">
        <v>72374</v>
      </c>
      <c r="K28" s="114">
        <v>50736</v>
      </c>
      <c r="L28" s="115">
        <f t="shared" si="4"/>
        <v>123110</v>
      </c>
      <c r="N28" s="511"/>
      <c r="O28" s="116">
        <v>2017</v>
      </c>
      <c r="P28" s="113">
        <v>22804</v>
      </c>
      <c r="Q28" s="117">
        <v>10855</v>
      </c>
      <c r="R28" s="115">
        <v>33659</v>
      </c>
    </row>
    <row r="29" spans="1:18" x14ac:dyDescent="0.25">
      <c r="B29" s="511"/>
      <c r="C29" s="112">
        <v>2018</v>
      </c>
      <c r="D29" s="113">
        <v>107375</v>
      </c>
      <c r="E29" s="114">
        <v>71026</v>
      </c>
      <c r="F29" s="115">
        <f t="shared" si="5"/>
        <v>178401</v>
      </c>
      <c r="G29" s="10"/>
      <c r="H29" s="511"/>
      <c r="I29" s="116">
        <v>2018</v>
      </c>
      <c r="J29" s="113">
        <v>91770</v>
      </c>
      <c r="K29" s="114">
        <v>65379</v>
      </c>
      <c r="L29" s="115">
        <f t="shared" si="4"/>
        <v>157149</v>
      </c>
      <c r="N29" s="511"/>
      <c r="O29" s="116">
        <v>2018</v>
      </c>
      <c r="P29" s="113">
        <v>15382</v>
      </c>
      <c r="Q29" s="117">
        <v>5540</v>
      </c>
      <c r="R29" s="115">
        <v>20922</v>
      </c>
    </row>
    <row r="30" spans="1:18" x14ac:dyDescent="0.25">
      <c r="B30" s="511"/>
      <c r="C30" s="112">
        <v>2019</v>
      </c>
      <c r="D30" s="113">
        <v>98722</v>
      </c>
      <c r="E30" s="114">
        <v>66590</v>
      </c>
      <c r="F30" s="115">
        <f t="shared" si="5"/>
        <v>165312</v>
      </c>
      <c r="G30" s="10"/>
      <c r="H30" s="511"/>
      <c r="I30" s="116">
        <v>2019</v>
      </c>
      <c r="J30" s="113">
        <v>83709</v>
      </c>
      <c r="K30" s="114">
        <v>61500</v>
      </c>
      <c r="L30" s="115">
        <f t="shared" si="4"/>
        <v>145209</v>
      </c>
      <c r="N30" s="511"/>
      <c r="O30" s="116">
        <v>2019</v>
      </c>
      <c r="P30" s="113">
        <v>14748</v>
      </c>
      <c r="Q30" s="117">
        <v>4976</v>
      </c>
      <c r="R30" s="115">
        <v>19724</v>
      </c>
    </row>
    <row r="31" spans="1:18" x14ac:dyDescent="0.25">
      <c r="B31" s="511"/>
      <c r="C31" s="112">
        <v>2020</v>
      </c>
      <c r="D31" s="113">
        <v>126382</v>
      </c>
      <c r="E31" s="114">
        <v>93427</v>
      </c>
      <c r="F31" s="115">
        <f t="shared" si="5"/>
        <v>219809</v>
      </c>
      <c r="G31" s="10"/>
      <c r="H31" s="511"/>
      <c r="I31" s="116">
        <v>2020</v>
      </c>
      <c r="J31" s="113">
        <v>107846</v>
      </c>
      <c r="K31" s="114">
        <v>85846</v>
      </c>
      <c r="L31" s="115">
        <f t="shared" si="4"/>
        <v>193692</v>
      </c>
      <c r="N31" s="511"/>
      <c r="O31" s="116">
        <v>2020</v>
      </c>
      <c r="P31" s="113">
        <v>18220</v>
      </c>
      <c r="Q31" s="117">
        <v>7384</v>
      </c>
      <c r="R31" s="115">
        <v>25604</v>
      </c>
    </row>
    <row r="32" spans="1:18" x14ac:dyDescent="0.25">
      <c r="B32" s="511"/>
      <c r="C32" s="112">
        <v>2021</v>
      </c>
      <c r="D32" s="113">
        <v>165351</v>
      </c>
      <c r="E32" s="114">
        <v>114859</v>
      </c>
      <c r="F32" s="115">
        <f t="shared" si="5"/>
        <v>280210</v>
      </c>
      <c r="G32" s="10"/>
      <c r="H32" s="511"/>
      <c r="I32" s="116">
        <v>2021</v>
      </c>
      <c r="J32" s="113">
        <v>133904</v>
      </c>
      <c r="K32" s="114">
        <v>103140</v>
      </c>
      <c r="L32" s="115">
        <f t="shared" si="4"/>
        <v>237044</v>
      </c>
      <c r="N32" s="511"/>
      <c r="O32" s="116">
        <v>2021</v>
      </c>
      <c r="P32" s="113">
        <v>30908</v>
      </c>
      <c r="Q32" s="117">
        <v>11467</v>
      </c>
      <c r="R32" s="115">
        <v>42375</v>
      </c>
    </row>
    <row r="33" spans="1:23" ht="15.75" thickBot="1" x14ac:dyDescent="0.3">
      <c r="B33" s="511"/>
      <c r="C33" s="118">
        <v>2022</v>
      </c>
      <c r="D33" s="119">
        <v>331479</v>
      </c>
      <c r="E33" s="120">
        <v>322108</v>
      </c>
      <c r="F33" s="121">
        <f t="shared" si="5"/>
        <v>653587</v>
      </c>
      <c r="G33" s="10"/>
      <c r="H33" s="511"/>
      <c r="I33" s="122">
        <v>2022</v>
      </c>
      <c r="J33" s="119">
        <v>242068</v>
      </c>
      <c r="K33" s="120">
        <v>240971</v>
      </c>
      <c r="L33" s="121">
        <f>SUM(J33:K33)</f>
        <v>483039</v>
      </c>
      <c r="N33" s="511"/>
      <c r="O33" s="116">
        <v>2022</v>
      </c>
      <c r="P33" s="113">
        <v>50840</v>
      </c>
      <c r="Q33" s="117">
        <v>52551</v>
      </c>
      <c r="R33" s="115">
        <v>103391</v>
      </c>
    </row>
    <row r="34" spans="1:23" ht="15.75" thickBot="1" x14ac:dyDescent="0.3">
      <c r="A34" s="123"/>
      <c r="B34" s="512"/>
      <c r="C34" s="122" t="s">
        <v>28</v>
      </c>
      <c r="D34" s="119">
        <f>SUM(D19:D33)</f>
        <v>2030860</v>
      </c>
      <c r="E34" s="124">
        <f>SUM(E19:E33)</f>
        <v>1365427</v>
      </c>
      <c r="F34" s="121">
        <f t="shared" ref="F34" si="6">SUM(F19:F33)</f>
        <v>3396287</v>
      </c>
      <c r="G34" s="10"/>
      <c r="H34" s="512"/>
      <c r="I34" s="122" t="s">
        <v>28</v>
      </c>
      <c r="J34" s="119">
        <f>SUM(J19:J33)</f>
        <v>1611955</v>
      </c>
      <c r="K34" s="124">
        <f>SUM(K19:K33)</f>
        <v>1150965</v>
      </c>
      <c r="L34" s="121">
        <f t="shared" ref="L34" si="7">SUM(L19:L33)</f>
        <v>2762920</v>
      </c>
      <c r="M34" s="5"/>
      <c r="N34" s="512"/>
      <c r="O34" s="122" t="s">
        <v>28</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20</v>
      </c>
      <c r="T36" s="508"/>
      <c r="U36" s="508"/>
      <c r="V36" s="508"/>
      <c r="W36" s="508"/>
    </row>
    <row r="37" spans="1:23" ht="14.45" customHeight="1" x14ac:dyDescent="0.25">
      <c r="B37" s="440" t="s">
        <v>79</v>
      </c>
      <c r="C37" s="440"/>
      <c r="D37" s="440"/>
      <c r="E37" s="440"/>
      <c r="F37" s="440"/>
      <c r="G37" s="440"/>
      <c r="H37" s="440"/>
      <c r="I37" s="440"/>
      <c r="J37" s="440"/>
      <c r="K37" s="440"/>
      <c r="L37" s="440"/>
      <c r="M37" s="440"/>
      <c r="N37" s="440"/>
      <c r="O37" s="440"/>
      <c r="P37" s="440"/>
      <c r="Q37" s="440"/>
      <c r="R37" s="440"/>
      <c r="T37" s="508"/>
      <c r="U37" s="508"/>
      <c r="V37" s="508"/>
      <c r="W37" s="508"/>
    </row>
    <row r="38" spans="1:23" x14ac:dyDescent="0.25">
      <c r="B38" s="440"/>
      <c r="C38" s="440"/>
      <c r="D38" s="440"/>
      <c r="E38" s="440"/>
      <c r="F38" s="440"/>
      <c r="G38" s="440"/>
      <c r="H38" s="440"/>
      <c r="I38" s="440"/>
      <c r="J38" s="440"/>
      <c r="K38" s="440"/>
      <c r="L38" s="440"/>
      <c r="M38" s="440"/>
      <c r="N38" s="440"/>
      <c r="O38" s="440"/>
      <c r="P38" s="440"/>
      <c r="Q38" s="440"/>
      <c r="R38" s="440"/>
      <c r="T38" s="508"/>
      <c r="U38" s="508"/>
      <c r="V38" s="508"/>
      <c r="W38" s="508"/>
    </row>
    <row r="39" spans="1:23" x14ac:dyDescent="0.25">
      <c r="B39" s="440"/>
      <c r="C39" s="440"/>
      <c r="D39" s="440"/>
      <c r="E39" s="440"/>
      <c r="F39" s="440"/>
      <c r="G39" s="440"/>
      <c r="H39" s="440"/>
      <c r="I39" s="440"/>
      <c r="J39" s="440"/>
      <c r="K39" s="440"/>
      <c r="L39" s="440"/>
      <c r="M39" s="440"/>
      <c r="N39" s="440"/>
      <c r="O39" s="440"/>
      <c r="P39" s="440"/>
      <c r="Q39" s="440"/>
      <c r="R39" s="440"/>
      <c r="T39" s="508"/>
      <c r="U39" s="508"/>
      <c r="V39" s="508"/>
      <c r="W39" s="508"/>
    </row>
    <row r="40" spans="1:23" x14ac:dyDescent="0.25">
      <c r="B40" s="440"/>
      <c r="C40" s="440"/>
      <c r="D40" s="440"/>
      <c r="E40" s="440"/>
      <c r="F40" s="440"/>
      <c r="G40" s="440"/>
      <c r="H40" s="440"/>
      <c r="I40" s="440"/>
      <c r="J40" s="440"/>
      <c r="K40" s="440"/>
      <c r="L40" s="440"/>
      <c r="M40" s="440"/>
      <c r="N40" s="440"/>
      <c r="O40" s="440"/>
      <c r="P40" s="440"/>
      <c r="Q40" s="440"/>
      <c r="R40" s="440"/>
    </row>
    <row r="41" spans="1:23" x14ac:dyDescent="0.25">
      <c r="B41" s="440"/>
      <c r="C41" s="440"/>
      <c r="D41" s="440"/>
      <c r="E41" s="440"/>
      <c r="F41" s="440"/>
      <c r="G41" s="440"/>
      <c r="H41" s="440"/>
      <c r="I41" s="440"/>
      <c r="J41" s="440"/>
      <c r="K41" s="440"/>
      <c r="L41" s="440"/>
      <c r="M41" s="440"/>
      <c r="N41" s="440"/>
      <c r="O41" s="440"/>
      <c r="P41" s="440"/>
      <c r="Q41" s="440"/>
      <c r="R41" s="440"/>
    </row>
  </sheetData>
  <mergeCells count="14">
    <mergeCell ref="B4:F4"/>
    <mergeCell ref="H4:L4"/>
    <mergeCell ref="N4:R4"/>
    <mergeCell ref="B7:B11"/>
    <mergeCell ref="H7:H11"/>
    <mergeCell ref="N7:N11"/>
    <mergeCell ref="T36:W39"/>
    <mergeCell ref="B37:R41"/>
    <mergeCell ref="B15:F15"/>
    <mergeCell ref="H15:L15"/>
    <mergeCell ref="N15:R15"/>
    <mergeCell ref="B18:B34"/>
    <mergeCell ref="H18:H34"/>
    <mergeCell ref="N18:N34"/>
  </mergeCell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 workbookViewId="1"/>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81</v>
      </c>
      <c r="C2" s="126"/>
      <c r="D2" s="126"/>
      <c r="E2" s="126"/>
      <c r="F2" s="126"/>
      <c r="G2" s="126"/>
      <c r="H2" s="126"/>
      <c r="I2" s="126"/>
      <c r="J2" s="126"/>
      <c r="K2" s="126"/>
      <c r="L2" s="126"/>
      <c r="M2" s="126"/>
      <c r="N2" s="127"/>
      <c r="O2" s="127"/>
      <c r="P2" s="127"/>
    </row>
    <row r="3" spans="2:16" x14ac:dyDescent="0.25">
      <c r="B3" s="15" t="s">
        <v>82</v>
      </c>
    </row>
    <row r="5" spans="2:16" ht="20.45" customHeight="1" x14ac:dyDescent="0.25">
      <c r="B5" s="515" t="s">
        <v>83</v>
      </c>
      <c r="C5" s="515"/>
      <c r="D5" s="515"/>
      <c r="E5" s="515"/>
      <c r="F5" s="515"/>
      <c r="G5" s="128"/>
      <c r="H5" s="128"/>
      <c r="I5" s="516" t="s">
        <v>84</v>
      </c>
      <c r="J5" s="516"/>
      <c r="K5" s="516"/>
    </row>
    <row r="6" spans="2:16" x14ac:dyDescent="0.25">
      <c r="B6" s="129"/>
      <c r="C6" s="129"/>
      <c r="D6" s="129"/>
      <c r="E6" s="129"/>
      <c r="F6" s="129"/>
    </row>
    <row r="7" spans="2:16" ht="45" x14ac:dyDescent="0.25">
      <c r="B7" s="130" t="s">
        <v>85</v>
      </c>
      <c r="C7" s="130" t="s">
        <v>86</v>
      </c>
      <c r="D7" s="130" t="s">
        <v>87</v>
      </c>
      <c r="E7" s="130" t="s">
        <v>88</v>
      </c>
      <c r="F7" s="130" t="s">
        <v>89</v>
      </c>
      <c r="I7" s="130" t="s">
        <v>85</v>
      </c>
      <c r="J7" s="130" t="s">
        <v>87</v>
      </c>
      <c r="K7" s="130" t="s">
        <v>90</v>
      </c>
    </row>
    <row r="8" spans="2:16" ht="30" x14ac:dyDescent="0.25">
      <c r="B8" s="131" t="s">
        <v>91</v>
      </c>
      <c r="C8" s="132" t="s">
        <v>92</v>
      </c>
      <c r="D8" s="132" t="s">
        <v>93</v>
      </c>
      <c r="E8" s="133">
        <v>70000</v>
      </c>
      <c r="F8" s="133">
        <v>60000</v>
      </c>
      <c r="I8" s="134" t="s">
        <v>94</v>
      </c>
      <c r="J8" s="132" t="s">
        <v>95</v>
      </c>
      <c r="K8" s="133">
        <v>193935</v>
      </c>
    </row>
    <row r="9" spans="2:16" ht="30" x14ac:dyDescent="0.25">
      <c r="B9" s="131" t="s">
        <v>96</v>
      </c>
      <c r="C9" s="132" t="s">
        <v>92</v>
      </c>
      <c r="D9" s="132" t="s">
        <v>97</v>
      </c>
      <c r="E9" s="133">
        <v>120000</v>
      </c>
      <c r="F9" s="133">
        <v>75000</v>
      </c>
      <c r="I9" s="134" t="s">
        <v>98</v>
      </c>
      <c r="J9" s="132" t="s">
        <v>95</v>
      </c>
      <c r="K9" s="133">
        <v>206173</v>
      </c>
    </row>
    <row r="10" spans="2:16" ht="30" x14ac:dyDescent="0.25">
      <c r="B10" s="131" t="s">
        <v>99</v>
      </c>
      <c r="C10" s="132" t="s">
        <v>92</v>
      </c>
      <c r="D10" s="132" t="s">
        <v>100</v>
      </c>
      <c r="E10" s="133">
        <v>150000</v>
      </c>
      <c r="F10" s="133">
        <v>75000</v>
      </c>
      <c r="I10" s="134" t="s">
        <v>101</v>
      </c>
      <c r="J10" s="132" t="s">
        <v>102</v>
      </c>
      <c r="K10" s="133">
        <v>206173</v>
      </c>
    </row>
    <row r="11" spans="2:16" ht="30" x14ac:dyDescent="0.25">
      <c r="B11" s="131" t="s">
        <v>103</v>
      </c>
      <c r="C11" s="132" t="s">
        <v>92</v>
      </c>
      <c r="D11" s="132" t="s">
        <v>104</v>
      </c>
      <c r="E11" s="133">
        <v>200000</v>
      </c>
      <c r="F11" s="133">
        <v>75840</v>
      </c>
      <c r="I11" s="135" t="s">
        <v>105</v>
      </c>
    </row>
    <row r="12" spans="2:16" ht="30" x14ac:dyDescent="0.25">
      <c r="B12" s="131" t="s">
        <v>106</v>
      </c>
      <c r="C12" s="132" t="s">
        <v>92</v>
      </c>
      <c r="D12" s="132" t="s">
        <v>107</v>
      </c>
      <c r="E12" s="133">
        <v>255000</v>
      </c>
      <c r="F12" s="133">
        <v>78449</v>
      </c>
    </row>
    <row r="13" spans="2:16" ht="30" x14ac:dyDescent="0.25">
      <c r="B13" s="131" t="s">
        <v>108</v>
      </c>
      <c r="C13" s="132" t="s">
        <v>92</v>
      </c>
      <c r="D13" s="132" t="s">
        <v>107</v>
      </c>
      <c r="E13" s="133">
        <v>261758</v>
      </c>
      <c r="F13" s="133">
        <v>80528</v>
      </c>
    </row>
    <row r="14" spans="2:16" ht="30" x14ac:dyDescent="0.25">
      <c r="B14" s="131" t="s">
        <v>109</v>
      </c>
      <c r="C14" s="132" t="s">
        <v>92</v>
      </c>
      <c r="D14" s="132" t="s">
        <v>107</v>
      </c>
      <c r="E14" s="133">
        <v>266731</v>
      </c>
      <c r="F14" s="133">
        <v>82058</v>
      </c>
    </row>
    <row r="15" spans="2:16" ht="30" x14ac:dyDescent="0.25">
      <c r="B15" s="131" t="s">
        <v>110</v>
      </c>
      <c r="C15" s="132" t="s">
        <v>92</v>
      </c>
      <c r="D15" s="132" t="s">
        <v>107</v>
      </c>
      <c r="E15" s="133">
        <v>279427</v>
      </c>
      <c r="F15" s="133">
        <v>85964</v>
      </c>
    </row>
    <row r="16" spans="2:16" ht="30" x14ac:dyDescent="0.25">
      <c r="B16" s="131" t="s">
        <v>111</v>
      </c>
      <c r="C16" s="132" t="s">
        <v>92</v>
      </c>
      <c r="D16" s="132" t="s">
        <v>107</v>
      </c>
      <c r="E16" s="133">
        <v>291778</v>
      </c>
      <c r="F16" s="133">
        <v>89764</v>
      </c>
    </row>
    <row r="17" spans="2:6" ht="30" x14ac:dyDescent="0.25">
      <c r="B17" s="131" t="s">
        <v>112</v>
      </c>
      <c r="C17" s="132" t="s">
        <v>92</v>
      </c>
      <c r="D17" s="132" t="s">
        <v>107</v>
      </c>
      <c r="E17" s="133">
        <v>304062</v>
      </c>
      <c r="F17" s="133">
        <v>93543</v>
      </c>
    </row>
    <row r="18" spans="2:6" ht="30" x14ac:dyDescent="0.25">
      <c r="B18" s="131" t="s">
        <v>113</v>
      </c>
      <c r="C18" s="132" t="s">
        <v>92</v>
      </c>
      <c r="D18" s="132" t="s">
        <v>107</v>
      </c>
      <c r="E18" s="133">
        <v>304062</v>
      </c>
      <c r="F18" s="133">
        <v>102897</v>
      </c>
    </row>
    <row r="19" spans="2:6" ht="30" x14ac:dyDescent="0.25">
      <c r="B19" s="131" t="s">
        <v>114</v>
      </c>
      <c r="C19" s="132" t="s">
        <v>92</v>
      </c>
      <c r="D19" s="132" t="s">
        <v>107</v>
      </c>
      <c r="E19" s="133">
        <v>309231</v>
      </c>
      <c r="F19" s="133">
        <v>104646</v>
      </c>
    </row>
    <row r="20" spans="2:6" ht="30" x14ac:dyDescent="0.25">
      <c r="B20" s="131" t="s">
        <v>115</v>
      </c>
      <c r="C20" s="132" t="s">
        <v>92</v>
      </c>
      <c r="D20" s="132" t="s">
        <v>107</v>
      </c>
      <c r="E20" s="133">
        <v>317085</v>
      </c>
      <c r="F20" s="133">
        <v>107304</v>
      </c>
    </row>
    <row r="21" spans="2:6" ht="30" x14ac:dyDescent="0.25">
      <c r="B21" s="131" t="s">
        <v>116</v>
      </c>
      <c r="C21" s="132" t="s">
        <v>92</v>
      </c>
      <c r="D21" s="132" t="s">
        <v>107</v>
      </c>
      <c r="E21" s="133">
        <v>325656</v>
      </c>
      <c r="F21" s="133">
        <v>110201</v>
      </c>
    </row>
    <row r="22" spans="2:6" x14ac:dyDescent="0.25">
      <c r="B22" s="517" t="s">
        <v>117</v>
      </c>
      <c r="C22" s="132" t="s">
        <v>118</v>
      </c>
      <c r="D22" s="132" t="s">
        <v>107</v>
      </c>
      <c r="E22" s="133">
        <v>407058</v>
      </c>
      <c r="F22" s="133">
        <v>137751</v>
      </c>
    </row>
    <row r="23" spans="2:6" ht="30" x14ac:dyDescent="0.25">
      <c r="B23" s="518"/>
      <c r="C23" s="132" t="s">
        <v>119</v>
      </c>
      <c r="D23" s="132" t="s">
        <v>107</v>
      </c>
      <c r="E23" s="133">
        <v>423340</v>
      </c>
      <c r="F23" s="133">
        <v>143261</v>
      </c>
    </row>
    <row r="24" spans="2:6" x14ac:dyDescent="0.25">
      <c r="B24" s="519"/>
      <c r="C24" s="132" t="s">
        <v>120</v>
      </c>
      <c r="D24" s="132" t="s">
        <v>107</v>
      </c>
      <c r="E24" s="133">
        <v>488469</v>
      </c>
      <c r="F24" s="133">
        <v>165302</v>
      </c>
    </row>
    <row r="25" spans="2:6" x14ac:dyDescent="0.25">
      <c r="B25" s="514" t="s">
        <v>121</v>
      </c>
      <c r="C25" s="132" t="s">
        <v>118</v>
      </c>
      <c r="D25" s="132" t="s">
        <v>107</v>
      </c>
      <c r="E25" s="133">
        <v>417764</v>
      </c>
      <c r="F25" s="133">
        <v>141374</v>
      </c>
    </row>
    <row r="26" spans="2:6" ht="30" x14ac:dyDescent="0.25">
      <c r="B26" s="514"/>
      <c r="C26" s="132" t="s">
        <v>119</v>
      </c>
      <c r="D26" s="132" t="s">
        <v>107</v>
      </c>
      <c r="E26" s="133">
        <v>434474</v>
      </c>
      <c r="F26" s="133">
        <v>147029</v>
      </c>
    </row>
    <row r="27" spans="2:6" x14ac:dyDescent="0.25">
      <c r="B27" s="514"/>
      <c r="C27" s="132" t="s">
        <v>120</v>
      </c>
      <c r="D27" s="132" t="s">
        <v>107</v>
      </c>
      <c r="E27" s="133">
        <v>501316</v>
      </c>
      <c r="F27" s="133">
        <v>169649</v>
      </c>
    </row>
    <row r="28" spans="2:6" x14ac:dyDescent="0.25">
      <c r="B28" s="514" t="s">
        <v>122</v>
      </c>
      <c r="C28" s="132" t="s">
        <v>123</v>
      </c>
      <c r="D28" s="132" t="s">
        <v>107</v>
      </c>
      <c r="E28" s="133">
        <v>467894</v>
      </c>
      <c r="F28" s="133">
        <v>158339</v>
      </c>
    </row>
    <row r="29" spans="2:6" x14ac:dyDescent="0.25">
      <c r="B29" s="514"/>
      <c r="C29" s="132" t="s">
        <v>124</v>
      </c>
      <c r="D29" s="132" t="s">
        <v>107</v>
      </c>
      <c r="E29" s="133">
        <v>501316</v>
      </c>
      <c r="F29" s="133">
        <v>169649</v>
      </c>
    </row>
    <row r="30" spans="2:6" ht="21" customHeight="1" x14ac:dyDescent="0.25">
      <c r="B30" s="514" t="s">
        <v>125</v>
      </c>
      <c r="C30" s="132" t="s">
        <v>123</v>
      </c>
      <c r="D30" s="132" t="s">
        <v>107</v>
      </c>
      <c r="E30" s="133">
        <v>485674</v>
      </c>
      <c r="F30" s="133">
        <v>164356</v>
      </c>
    </row>
    <row r="31" spans="2:6" x14ac:dyDescent="0.25">
      <c r="B31" s="514"/>
      <c r="C31" s="132" t="s">
        <v>124</v>
      </c>
      <c r="D31" s="132" t="s">
        <v>107</v>
      </c>
      <c r="E31" s="133">
        <v>520366</v>
      </c>
      <c r="F31" s="133">
        <v>176096</v>
      </c>
    </row>
    <row r="32" spans="2:6" ht="30" x14ac:dyDescent="0.25">
      <c r="B32" s="131" t="s">
        <v>126</v>
      </c>
      <c r="C32" s="132" t="s">
        <v>92</v>
      </c>
      <c r="D32" s="132" t="s">
        <v>107</v>
      </c>
      <c r="E32" s="133">
        <v>520366</v>
      </c>
      <c r="F32" s="133">
        <v>176096</v>
      </c>
    </row>
    <row r="33" spans="2:6" ht="30" x14ac:dyDescent="0.25">
      <c r="B33" s="131" t="s">
        <v>127</v>
      </c>
      <c r="C33" s="132" t="s">
        <v>92</v>
      </c>
      <c r="D33" s="132" t="s">
        <v>107</v>
      </c>
      <c r="E33" s="133">
        <v>520366</v>
      </c>
      <c r="F33" s="133">
        <v>185000</v>
      </c>
    </row>
    <row r="34" spans="2:6" ht="30" x14ac:dyDescent="0.25">
      <c r="B34" s="131" t="s">
        <v>128</v>
      </c>
      <c r="C34" s="132" t="s">
        <v>92</v>
      </c>
      <c r="D34" s="132" t="s">
        <v>107</v>
      </c>
      <c r="E34" s="133">
        <v>573079</v>
      </c>
      <c r="F34" s="133">
        <v>193935</v>
      </c>
    </row>
    <row r="35" spans="2:6" ht="30" x14ac:dyDescent="0.25">
      <c r="B35" s="131" t="s">
        <v>129</v>
      </c>
      <c r="C35" s="132" t="s">
        <v>92</v>
      </c>
      <c r="D35" s="132" t="s">
        <v>107</v>
      </c>
      <c r="E35" s="133">
        <v>573079</v>
      </c>
      <c r="F35" s="133">
        <v>206173</v>
      </c>
    </row>
    <row r="36" spans="2:6" x14ac:dyDescent="0.25">
      <c r="B36" s="5" t="s">
        <v>105</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Indice General</vt:lpstr>
      <vt:lpstr>I. Beneficios pagados</vt:lpstr>
      <vt:lpstr>dinamica pgu</vt:lpstr>
      <vt:lpstr>N PBS</vt:lpstr>
      <vt:lpstr>MONTOS PBS</vt:lpstr>
      <vt:lpstr>1.1</vt:lpstr>
      <vt:lpstr>1.2</vt:lpstr>
      <vt:lpstr>1.3</vt:lpstr>
      <vt:lpstr>DINAMICA APS</vt:lpstr>
      <vt:lpstr>1.4</vt:lpstr>
      <vt:lpstr>Hoja2</vt:lpstr>
      <vt:lpstr>II. Estado de Solicitudes</vt:lpstr>
      <vt:lpstr>2.1</vt:lpstr>
      <vt:lpstr>Solicitudes_compl</vt:lpstr>
      <vt:lpstr>2.2</vt:lpstr>
      <vt:lpstr>2.3</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2023-12-15T20:36:38Z</dcterms:modified>
</cp:coreProperties>
</file>